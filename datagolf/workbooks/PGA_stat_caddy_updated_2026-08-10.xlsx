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ttish Open" sheetId="1" state="visible" r:id="rId3"/>
    <sheet name="YTD StatCaddy18" sheetId="2" state="visible" r:id="rId4"/>
    <sheet name="Class" sheetId="3" state="visible" r:id="rId5"/>
    <sheet name="SG PUTT" sheetId="4" state="visible" r:id="rId6"/>
    <sheet name="SG ARG" sheetId="5" state="visible" r:id="rId7"/>
    <sheet name="SG APP" sheetId="6" state="visible" r:id="rId8"/>
    <sheet name="SG OTT" sheetId="7" state="visible" r:id="rId9"/>
    <sheet name="Current Form" sheetId="8" state="visible" r:id="rId10"/>
    <sheet name="PGA Database" sheetId="9" state="visible" r:id="rId11"/>
    <sheet name="Scottish Open Field" sheetId="10" state="visible" r:id="rId12"/>
    <sheet name="Wyndham Field" sheetId="11" state="visible" r:id="rId13"/>
    <sheet name="Course History X" sheetId="12" state="visible" r:id="rId14"/>
    <sheet name="Greens" sheetId="13" state="visible" r:id="rId15"/>
    <sheet name="2026 Greens" sheetId="14" state="visible" r:id="rId16"/>
  </sheets>
  <externalReferences>
    <externalReference r:id="rId17"/>
  </externalReferences>
  <definedNames>
    <definedName function="false" hidden="false" name="BILLS_Account_Info_List" vbProcedure="false">#REF!</definedName>
    <definedName function="false" hidden="false" name="SSLink_0" vbProcedure="false">[1]Aug!$A$1:$IV$1048576</definedName>
    <definedName function="false" hidden="false" name="SSLink_1" vbProcedure="false">[1]Aug!$A$1:$L$1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<sst xmlns="http://schemas.openxmlformats.org/spreadsheetml/2006/main" count="4731" uniqueCount="809">
  <si>
    <t xml:space="preserve">Player 1</t>
  </si>
  <si>
    <t xml:space="preserve">Player 2</t>
  </si>
  <si>
    <t xml:space="preserve">Simulator</t>
  </si>
  <si>
    <t xml:space="preserve">Pick</t>
  </si>
  <si>
    <t xml:space="preserve">%</t>
  </si>
  <si>
    <t xml:space="preserve">Win</t>
  </si>
  <si>
    <t xml:space="preserve">Loss</t>
  </si>
  <si>
    <t xml:space="preserve">Tie</t>
  </si>
  <si>
    <t xml:space="preserve">Profit</t>
  </si>
  <si>
    <t xml:space="preserve">Course ADV</t>
  </si>
  <si>
    <t xml:space="preserve">Line</t>
  </si>
  <si>
    <t xml:space="preserve">prompt</t>
  </si>
  <si>
    <t xml:space="preserve">Scott</t>
  </si>
  <si>
    <t xml:space="preserve">Tom Kim</t>
  </si>
  <si>
    <t xml:space="preserve">StatCaddy21</t>
  </si>
  <si>
    <t xml:space="preserve">Fox</t>
  </si>
  <si>
    <t xml:space="preserve">Ayora</t>
  </si>
  <si>
    <t xml:space="preserve">“Use the saved PGA Monte Carlo matchup code on the file I uploaded. It’s a new tournament, same weights and randomness settings. Save the results to Excel.”</t>
  </si>
  <si>
    <t xml:space="preserve">Reed</t>
  </si>
  <si>
    <t xml:space="preserve">Penge</t>
  </si>
  <si>
    <t xml:space="preserve">Knapp</t>
  </si>
  <si>
    <t xml:space="preserve">Cauley</t>
  </si>
  <si>
    <t xml:space="preserve">Run the power rankings by multiplying each raw metric by my listed weights and summing them. Do not standardize the inputs. Convert scores to fair win odds using a softened softmax with temperature 3.0.</t>
  </si>
  <si>
    <t xml:space="preserve">Wallace</t>
  </si>
  <si>
    <t xml:space="preserve">Hall</t>
  </si>
  <si>
    <t xml:space="preserve">Cole</t>
  </si>
  <si>
    <t xml:space="preserve">Smalley</t>
  </si>
  <si>
    <t xml:space="preserve">Michael Kim</t>
  </si>
  <si>
    <t xml:space="preserve">J Svensson</t>
  </si>
  <si>
    <t xml:space="preserve">M Kim</t>
  </si>
  <si>
    <t xml:space="preserve">Jarvis</t>
  </si>
  <si>
    <t xml:space="preserve">Weisberger</t>
  </si>
  <si>
    <t xml:space="preserve">Wiesberger</t>
  </si>
  <si>
    <t xml:space="preserve">Si Woo Kim</t>
  </si>
  <si>
    <t xml:space="preserve">Min Woo Lee</t>
  </si>
  <si>
    <t xml:space="preserve">StatCaddy22</t>
  </si>
  <si>
    <t xml:space="preserve">Si Woo</t>
  </si>
  <si>
    <t xml:space="preserve">Spaun</t>
  </si>
  <si>
    <t xml:space="preserve">Koepka</t>
  </si>
  <si>
    <t xml:space="preserve">Cantlay</t>
  </si>
  <si>
    <t xml:space="preserve">Thomas</t>
  </si>
  <si>
    <t xml:space="preserve">N Hojgaard</t>
  </si>
  <si>
    <t xml:space="preserve">Reitan</t>
  </si>
  <si>
    <t xml:space="preserve">Brennan</t>
  </si>
  <si>
    <t xml:space="preserve">Thorbjornsen</t>
  </si>
  <si>
    <t xml:space="preserve">Schauffele</t>
  </si>
  <si>
    <t xml:space="preserve">Fleetwood</t>
  </si>
  <si>
    <t xml:space="preserve">Kitayama</t>
  </si>
  <si>
    <t xml:space="preserve">English</t>
  </si>
  <si>
    <t xml:space="preserve">`</t>
  </si>
  <si>
    <t xml:space="preserve">R Hojgaard</t>
  </si>
  <si>
    <t xml:space="preserve">Neergaard Peterson</t>
  </si>
  <si>
    <t xml:space="preserve">Neergaard</t>
  </si>
  <si>
    <t xml:space="preserve">Rai</t>
  </si>
  <si>
    <t xml:space="preserve">Lowry</t>
  </si>
  <si>
    <t xml:space="preserve">Straka</t>
  </si>
  <si>
    <t xml:space="preserve">Hillier</t>
  </si>
  <si>
    <t xml:space="preserve">Gotterup</t>
  </si>
  <si>
    <t xml:space="preserve">Clark</t>
  </si>
  <si>
    <t xml:space="preserve">Hatton</t>
  </si>
  <si>
    <t xml:space="preserve">MacIntyre</t>
  </si>
  <si>
    <t xml:space="preserve">Potgieter</t>
  </si>
  <si>
    <t xml:space="preserve">Yellamaraju</t>
  </si>
  <si>
    <t xml:space="preserve">Aberg</t>
  </si>
  <si>
    <t xml:space="preserve">Hovland</t>
  </si>
  <si>
    <t xml:space="preserve">Chacarra</t>
  </si>
  <si>
    <t xml:space="preserve">Noren</t>
  </si>
  <si>
    <t xml:space="preserve">McKibbin</t>
  </si>
  <si>
    <t xml:space="preserve">Perez</t>
  </si>
  <si>
    <t xml:space="preserve">Yu</t>
  </si>
  <si>
    <t xml:space="preserve">Li</t>
  </si>
  <si>
    <t xml:space="preserve">Coody</t>
  </si>
  <si>
    <t xml:space="preserve">Gerard</t>
  </si>
  <si>
    <t xml:space="preserve">Stevens</t>
  </si>
  <si>
    <t xml:space="preserve">Keefer</t>
  </si>
  <si>
    <t xml:space="preserve">Ghim</t>
  </si>
  <si>
    <t xml:space="preserve">Harman</t>
  </si>
  <si>
    <t xml:space="preserve">A Fitzpatrick</t>
  </si>
  <si>
    <t xml:space="preserve">Puig</t>
  </si>
  <si>
    <t xml:space="preserve">Fitzpatrick</t>
  </si>
  <si>
    <t xml:space="preserve">.</t>
  </si>
  <si>
    <t xml:space="preserve">Overall</t>
  </si>
  <si>
    <t xml:space="preserve">vs Data Golf</t>
  </si>
  <si>
    <t xml:space="preserve">Bets</t>
  </si>
  <si>
    <t xml:space="preserve">60%+</t>
  </si>
  <si>
    <t xml:space="preserve">SIM - Altered Stat Weights </t>
  </si>
  <si>
    <t xml:space="preserve">OVERALL</t>
  </si>
  <si>
    <t xml:space="preserve">Win %</t>
  </si>
  <si>
    <t xml:space="preserve">Green Lights</t>
  </si>
  <si>
    <t xml:space="preserve">57% + Course Fit or History</t>
  </si>
  <si>
    <t xml:space="preserve">W</t>
  </si>
  <si>
    <t xml:space="preserve">L</t>
  </si>
  <si>
    <t xml:space="preserve">T</t>
  </si>
  <si>
    <t xml:space="preserve">$</t>
  </si>
  <si>
    <t xml:space="preserve">World Wide Technology</t>
  </si>
  <si>
    <t xml:space="preserve">Butterfield Bermuda</t>
  </si>
  <si>
    <t xml:space="preserve">RSM Classic</t>
  </si>
  <si>
    <t xml:space="preserve">Hero World Challenge</t>
  </si>
  <si>
    <t xml:space="preserve">Wyndham Champ.</t>
  </si>
  <si>
    <t xml:space="preserve">BMW Champ.</t>
  </si>
  <si>
    <t xml:space="preserve">Tour Champ.</t>
  </si>
  <si>
    <t xml:space="preserve">2025 Year  End</t>
  </si>
  <si>
    <t xml:space="preserve">Sony Open</t>
  </si>
  <si>
    <t xml:space="preserve">American Express</t>
  </si>
  <si>
    <t xml:space="preserve">Must add other 2 courses</t>
  </si>
  <si>
    <t xml:space="preserve">Farmers Insurance</t>
  </si>
  <si>
    <t xml:space="preserve">WM Phoenix Open</t>
  </si>
  <si>
    <t xml:space="preserve">AT&amp;T Pebble Beach</t>
  </si>
  <si>
    <t xml:space="preserve">Genesis Invitational</t>
  </si>
  <si>
    <t xml:space="preserve">Cognizant Classic</t>
  </si>
  <si>
    <t xml:space="preserve">Arnold Palmer Invitational</t>
  </si>
  <si>
    <t xml:space="preserve">5X course fit</t>
  </si>
  <si>
    <t xml:space="preserve">The Players Championship</t>
  </si>
  <si>
    <t xml:space="preserve">Valspar Championship</t>
  </si>
  <si>
    <t xml:space="preserve">Texas Childrens Houston Open</t>
  </si>
  <si>
    <t xml:space="preserve">Start of current weights</t>
  </si>
  <si>
    <t xml:space="preserve">Valero Texas Open</t>
  </si>
  <si>
    <t xml:space="preserve">Horrible weather</t>
  </si>
  <si>
    <t xml:space="preserve">Masters</t>
  </si>
  <si>
    <t xml:space="preserve">Course History</t>
  </si>
  <si>
    <t xml:space="preserve">RBC Heritage</t>
  </si>
  <si>
    <t xml:space="preserve">Miami Championship</t>
  </si>
  <si>
    <t xml:space="preserve">Truist Championship</t>
  </si>
  <si>
    <t xml:space="preserve">Myrtle Beach Classic</t>
  </si>
  <si>
    <t xml:space="preserve">PGA Championship</t>
  </si>
  <si>
    <t xml:space="preserve">Charles Schwab Challenge</t>
  </si>
  <si>
    <t xml:space="preserve">Memorial Tournament</t>
  </si>
  <si>
    <t xml:space="preserve">RBC Canadian Open</t>
  </si>
  <si>
    <t xml:space="preserve">U.S. Open</t>
  </si>
  <si>
    <t xml:space="preserve">Travelers Championship</t>
  </si>
  <si>
    <t xml:space="preserve">John Deere Classic</t>
  </si>
  <si>
    <t xml:space="preserve">Genesis Scottish Open</t>
  </si>
  <si>
    <t xml:space="preserve">ISCO Championship</t>
  </si>
  <si>
    <t xml:space="preserve">The Open Championship</t>
  </si>
  <si>
    <t xml:space="preserve">Corales Puntacana Championship</t>
  </si>
  <si>
    <t xml:space="preserve">3M Open</t>
  </si>
  <si>
    <t xml:space="preserve">Rocket Classic</t>
  </si>
  <si>
    <t xml:space="preserve">Wyndham Championship</t>
  </si>
  <si>
    <t xml:space="preserve">FedEx St. Jude Championship</t>
  </si>
  <si>
    <t xml:space="preserve">BMW Championship</t>
  </si>
  <si>
    <t xml:space="preserve">Tour Championship</t>
  </si>
  <si>
    <t xml:space="preserve">YTD</t>
  </si>
  <si>
    <t xml:space="preserve">YTD </t>
  </si>
  <si>
    <t xml:space="preserve">LAST 10</t>
  </si>
  <si>
    <t xml:space="preserve">DG POINTS</t>
  </si>
  <si>
    <t xml:space="preserve">Weighted</t>
  </si>
  <si>
    <t xml:space="preserve">Ludvig Aberg  </t>
  </si>
  <si>
    <t xml:space="preserve">Marcus Armitage</t>
  </si>
  <si>
    <t xml:space="preserve">Angel Ayora</t>
  </si>
  <si>
    <t xml:space="preserve">Zach Bauchou</t>
  </si>
  <si>
    <t xml:space="preserve">Christiaan Bezuidenhout</t>
  </si>
  <si>
    <t xml:space="preserve">Daniel Berger</t>
  </si>
  <si>
    <t xml:space="preserve">Akshay Bhatia  </t>
  </si>
  <si>
    <t xml:space="preserve">Zac Blair</t>
  </si>
  <si>
    <t xml:space="preserve">Chandler Blanchet</t>
  </si>
  <si>
    <t xml:space="preserve">Dan Bradbury</t>
  </si>
  <si>
    <t xml:space="preserve">Keegan Bradley  </t>
  </si>
  <si>
    <t xml:space="preserve">Michael Brennan</t>
  </si>
  <si>
    <t xml:space="preserve">Jacob Bridgeman  </t>
  </si>
  <si>
    <t xml:space="preserve">Blades Brown</t>
  </si>
  <si>
    <t xml:space="preserve">Dan Brown</t>
  </si>
  <si>
    <t xml:space="preserve">Hayden Buckley</t>
  </si>
  <si>
    <t xml:space="preserve">Bronson Burgoon</t>
  </si>
  <si>
    <t xml:space="preserve">Sam Burns</t>
  </si>
  <si>
    <t xml:space="preserve">Brian Campbell  </t>
  </si>
  <si>
    <t xml:space="preserve">Rafael Campos</t>
  </si>
  <si>
    <t xml:space="preserve">Laurie Canter</t>
  </si>
  <si>
    <t xml:space="preserve">Patrick Cantlay  </t>
  </si>
  <si>
    <t xml:space="preserve">Frankie Capan III</t>
  </si>
  <si>
    <t xml:space="preserve">Ricky Castillo</t>
  </si>
  <si>
    <t xml:space="preserve">Bud Cauley  </t>
  </si>
  <si>
    <t xml:space="preserve">Eugenio Chacarra</t>
  </si>
  <si>
    <t xml:space="preserve">Cameron Champ</t>
  </si>
  <si>
    <t xml:space="preserve">Will Chandler</t>
  </si>
  <si>
    <t xml:space="preserve">Davis Chatfield</t>
  </si>
  <si>
    <t xml:space="preserve">Luke Clanton</t>
  </si>
  <si>
    <t xml:space="preserve">Wyndham Clark  </t>
  </si>
  <si>
    <t xml:space="preserve">Eric Cole</t>
  </si>
  <si>
    <t xml:space="preserve">Trevor Cone</t>
  </si>
  <si>
    <t xml:space="preserve">Corey Conners  </t>
  </si>
  <si>
    <t xml:space="preserve">Pierceson Coody</t>
  </si>
  <si>
    <t xml:space="preserve">Austin Cook</t>
  </si>
  <si>
    <t xml:space="preserve">Martin Couvra</t>
  </si>
  <si>
    <t xml:space="preserve">Quade Cummins</t>
  </si>
  <si>
    <t xml:space="preserve">Joel Dahmen</t>
  </si>
  <si>
    <t xml:space="preserve">Cam Davis  </t>
  </si>
  <si>
    <t xml:space="preserve">Jason Day  </t>
  </si>
  <si>
    <t xml:space="preserve">Bryson DeChambeau</t>
  </si>
  <si>
    <t xml:space="preserve">Alejandro Del Rey</t>
  </si>
  <si>
    <t xml:space="preserve">Cristobal Del Solar</t>
  </si>
  <si>
    <t xml:space="preserve">Thomas Detry  </t>
  </si>
  <si>
    <t xml:space="preserve">Taylor Dickson</t>
  </si>
  <si>
    <t xml:space="preserve">Zecheng Dou</t>
  </si>
  <si>
    <t xml:space="preserve">Jason Dufner</t>
  </si>
  <si>
    <t xml:space="preserve">Adrien Dumont de Chassart</t>
  </si>
  <si>
    <t xml:space="preserve">Tyler Duncan</t>
  </si>
  <si>
    <t xml:space="preserve">Nick Dunlap</t>
  </si>
  <si>
    <t xml:space="preserve">Hennie Du Plessis</t>
  </si>
  <si>
    <t xml:space="preserve">Nico Echavarria  </t>
  </si>
  <si>
    <t xml:space="preserve">Austin Eckroat</t>
  </si>
  <si>
    <t xml:space="preserve">Nacho Elvira</t>
  </si>
  <si>
    <t xml:space="preserve">Harris English  </t>
  </si>
  <si>
    <t xml:space="preserve">AJ Ewart</t>
  </si>
  <si>
    <t xml:space="preserve">Ewen Ferguson</t>
  </si>
  <si>
    <t xml:space="preserve">Tony Finau  </t>
  </si>
  <si>
    <t xml:space="preserve">Patrick Fishburn</t>
  </si>
  <si>
    <t xml:space="preserve">Steven Fisk</t>
  </si>
  <si>
    <t xml:space="preserve">Alex Fitzpatrick</t>
  </si>
  <si>
    <t xml:space="preserve">Matt Fitzpatrick  </t>
  </si>
  <si>
    <t xml:space="preserve">Tommy Fleetwood  </t>
  </si>
  <si>
    <t xml:space="preserve">David Ford</t>
  </si>
  <si>
    <t xml:space="preserve">Grant Forrest</t>
  </si>
  <si>
    <t xml:space="preserve">Rickie Fowler  </t>
  </si>
  <si>
    <t xml:space="preserve">Ryan Fox  </t>
  </si>
  <si>
    <t xml:space="preserve">Dylan Frittelli</t>
  </si>
  <si>
    <t xml:space="preserve">Sergio Garcia</t>
  </si>
  <si>
    <t xml:space="preserve">Brice Garnett</t>
  </si>
  <si>
    <t xml:space="preserve">Ryan Gerard  </t>
  </si>
  <si>
    <t xml:space="preserve">Doug Ghim</t>
  </si>
  <si>
    <t xml:space="preserve">Lucas Glover  </t>
  </si>
  <si>
    <t xml:space="preserve">Emilio Gonzalez</t>
  </si>
  <si>
    <t xml:space="preserve">Noah Goodwin</t>
  </si>
  <si>
    <t xml:space="preserve">Will Gordon</t>
  </si>
  <si>
    <t xml:space="preserve">Chris Gotterup  </t>
  </si>
  <si>
    <t xml:space="preserve">Max Greyserman  </t>
  </si>
  <si>
    <t xml:space="preserve">Ben Griffin  </t>
  </si>
  <si>
    <t xml:space="preserve">Lanto Griffin</t>
  </si>
  <si>
    <t xml:space="preserve">Emiliano Grillo  </t>
  </si>
  <si>
    <t xml:space="preserve">Julien Guerrier</t>
  </si>
  <si>
    <t xml:space="preserve">Jordan Gumberg</t>
  </si>
  <si>
    <t xml:space="preserve">Chesson Hadley</t>
  </si>
  <si>
    <t xml:space="preserve">Adam Hadwin</t>
  </si>
  <si>
    <t xml:space="preserve">James Hahn</t>
  </si>
  <si>
    <t xml:space="preserve">Harry Hall  </t>
  </si>
  <si>
    <t xml:space="preserve">Nick Hardy</t>
  </si>
  <si>
    <t xml:space="preserve">Brian Harman  </t>
  </si>
  <si>
    <t xml:space="preserve">Padraig Harrington</t>
  </si>
  <si>
    <t xml:space="preserve">Justin Hastings</t>
  </si>
  <si>
    <t xml:space="preserve">Tyrell Hatton</t>
  </si>
  <si>
    <t xml:space="preserve">Russell Henley  </t>
  </si>
  <si>
    <t xml:space="preserve">Angel Hidalgo</t>
  </si>
  <si>
    <t xml:space="preserve">Garrick Higgo</t>
  </si>
  <si>
    <t xml:space="preserve">Harry Higgs</t>
  </si>
  <si>
    <t xml:space="preserve">Joe Highsmith  </t>
  </si>
  <si>
    <t xml:space="preserve">Calum Hill</t>
  </si>
  <si>
    <t xml:space="preserve">Daniel Hillier</t>
  </si>
  <si>
    <t xml:space="preserve">Kensei Hirata</t>
  </si>
  <si>
    <t xml:space="preserve">Ryo Hisatsune</t>
  </si>
  <si>
    <t xml:space="preserve">Lee Hodges</t>
  </si>
  <si>
    <t xml:space="preserve">Rico Hoey</t>
  </si>
  <si>
    <t xml:space="preserve">Charley Hoffman</t>
  </si>
  <si>
    <t xml:space="preserve">Tom Hoge  </t>
  </si>
  <si>
    <t xml:space="preserve">Nicolai Hojgaard</t>
  </si>
  <si>
    <t xml:space="preserve">Rasmus Hojgaard</t>
  </si>
  <si>
    <t xml:space="preserve">Max Homa</t>
  </si>
  <si>
    <t xml:space="preserve">Billy Horschel</t>
  </si>
  <si>
    <t xml:space="preserve">Rikuya Hoshino</t>
  </si>
  <si>
    <t xml:space="preserve">Beau Hossler</t>
  </si>
  <si>
    <t xml:space="preserve">Viktor Hovland  </t>
  </si>
  <si>
    <t xml:space="preserve">Mark Hubbard</t>
  </si>
  <si>
    <t xml:space="preserve">Mackenzie Hughes  </t>
  </si>
  <si>
    <t xml:space="preserve">Sungjae Im  </t>
  </si>
  <si>
    <t xml:space="preserve">Stephan Jaeger  </t>
  </si>
  <si>
    <t xml:space="preserve">Scott Jamieson</t>
  </si>
  <si>
    <t xml:space="preserve">Ben James</t>
  </si>
  <si>
    <t xml:space="preserve">Casey Jarvis</t>
  </si>
  <si>
    <t xml:space="preserve">Dustin Johnson</t>
  </si>
  <si>
    <t xml:space="preserve">Zach Johnson</t>
  </si>
  <si>
    <t xml:space="preserve">Ryggs Johnston</t>
  </si>
  <si>
    <t xml:space="preserve">Takumi Kanaya</t>
  </si>
  <si>
    <t xml:space="preserve">Kota Kaneko</t>
  </si>
  <si>
    <t xml:space="preserve">Jeffrey Kang</t>
  </si>
  <si>
    <t xml:space="preserve">Yuto Katsuragawa</t>
  </si>
  <si>
    <t xml:space="preserve">Johnny Keefer</t>
  </si>
  <si>
    <t xml:space="preserve">Chan Kim</t>
  </si>
  <si>
    <t xml:space="preserve">Michael Kim  </t>
  </si>
  <si>
    <t xml:space="preserve">SH Kim</t>
  </si>
  <si>
    <t xml:space="preserve">Si Woo Kim  </t>
  </si>
  <si>
    <t xml:space="preserve">Chris Kirk  </t>
  </si>
  <si>
    <t xml:space="preserve">Kurt Kitayama  </t>
  </si>
  <si>
    <t xml:space="preserve">Patton Kizzire</t>
  </si>
  <si>
    <t xml:space="preserve">Jake Knapp  </t>
  </si>
  <si>
    <t xml:space="preserve">Philip Knowles</t>
  </si>
  <si>
    <t xml:space="preserve">Brooks Koepka</t>
  </si>
  <si>
    <t xml:space="preserve">Ben Kohles</t>
  </si>
  <si>
    <t xml:space="preserve">Jackson Koivun</t>
  </si>
  <si>
    <t xml:space="preserve">Jacques Kruyswijk</t>
  </si>
  <si>
    <t xml:space="preserve">Matt Kuchar</t>
  </si>
  <si>
    <t xml:space="preserve">Frederic LaCroix</t>
  </si>
  <si>
    <t xml:space="preserve">Joakim Lagergren </t>
  </si>
  <si>
    <t xml:space="preserve">Martin Laird</t>
  </si>
  <si>
    <t xml:space="preserve">Michael La Sasso</t>
  </si>
  <si>
    <t xml:space="preserve">Christo Lamprecht</t>
  </si>
  <si>
    <t xml:space="preserve">Pablo Larrazabal</t>
  </si>
  <si>
    <t xml:space="preserve">Thriston Lawrence</t>
  </si>
  <si>
    <t xml:space="preserve">Hank Lebioda</t>
  </si>
  <si>
    <t xml:space="preserve">Junghwan Lee</t>
  </si>
  <si>
    <t xml:space="preserve">KH Lee</t>
  </si>
  <si>
    <t xml:space="preserve">Min Woo Lee  </t>
  </si>
  <si>
    <t xml:space="preserve">ST Lee</t>
  </si>
  <si>
    <t xml:space="preserve">Haotong Li</t>
  </si>
  <si>
    <t xml:space="preserve">Mikael Lindberg</t>
  </si>
  <si>
    <t xml:space="preserve">Oliver Lindell</t>
  </si>
  <si>
    <t xml:space="preserve">David Lipsky</t>
  </si>
  <si>
    <t xml:space="preserve">Luke List</t>
  </si>
  <si>
    <t xml:space="preserve">Justin Lower</t>
  </si>
  <si>
    <t xml:space="preserve">Shane Lowry  </t>
  </si>
  <si>
    <t xml:space="preserve">Joost Luiten</t>
  </si>
  <si>
    <t xml:space="preserve">Robert MacIntyre  </t>
  </si>
  <si>
    <t xml:space="preserve">Peter Malnati</t>
  </si>
  <si>
    <t xml:space="preserve">Matteo Manassero</t>
  </si>
  <si>
    <t xml:space="preserve">Richard Mansell</t>
  </si>
  <si>
    <t xml:space="preserve">Ben Martin</t>
  </si>
  <si>
    <t xml:space="preserve">Hideki Matsuyama  </t>
  </si>
  <si>
    <t xml:space="preserve">Denny McCarthy</t>
  </si>
  <si>
    <t xml:space="preserve">Matt McCarty</t>
  </si>
  <si>
    <t xml:space="preserve">Max McGreevy</t>
  </si>
  <si>
    <t xml:space="preserve">Tom McKibbin</t>
  </si>
  <si>
    <t xml:space="preserve">Rory McIlroy</t>
  </si>
  <si>
    <t xml:space="preserve">Maverick McNealy  </t>
  </si>
  <si>
    <t xml:space="preserve">Mac Meissner</t>
  </si>
  <si>
    <t xml:space="preserve">Adrian Meronk</t>
  </si>
  <si>
    <t xml:space="preserve">Guido Migliozzi</t>
  </si>
  <si>
    <t xml:space="preserve">Keith Mitchell</t>
  </si>
  <si>
    <t xml:space="preserve">Francesco Molinari</t>
  </si>
  <si>
    <t xml:space="preserve">Taylor Montgomery</t>
  </si>
  <si>
    <t xml:space="preserve">Taylor Moore</t>
  </si>
  <si>
    <t xml:space="preserve">Collin Morikawa  </t>
  </si>
  <si>
    <t xml:space="preserve">William Mouw</t>
  </si>
  <si>
    <t xml:space="preserve">Trey Mullinax</t>
  </si>
  <si>
    <t xml:space="preserve">Dylan Naidoo</t>
  </si>
  <si>
    <t xml:space="preserve">Keita Nakajima</t>
  </si>
  <si>
    <t xml:space="preserve">Rasmus Neergaard-Petersen</t>
  </si>
  <si>
    <t xml:space="preserve">Matt NeSmith</t>
  </si>
  <si>
    <t xml:space="preserve">Joaquin Niemann</t>
  </si>
  <si>
    <t xml:space="preserve">Alex Noren</t>
  </si>
  <si>
    <t xml:space="preserve">Niklas Norgaard</t>
  </si>
  <si>
    <t xml:space="preserve">Henrik Norlander</t>
  </si>
  <si>
    <t xml:space="preserve">Shaun Norris</t>
  </si>
  <si>
    <t xml:space="preserve">Andrew Novak  </t>
  </si>
  <si>
    <t xml:space="preserve">Pontus Nyholm</t>
  </si>
  <si>
    <t xml:space="preserve">Thorbjorn Olesen</t>
  </si>
  <si>
    <t xml:space="preserve">Kaito Onishi</t>
  </si>
  <si>
    <t xml:space="preserve">Carlos Ortiz</t>
  </si>
  <si>
    <t xml:space="preserve">Adrian Otaegui</t>
  </si>
  <si>
    <t xml:space="preserve">Ryan Palmer</t>
  </si>
  <si>
    <t xml:space="preserve">John Parry</t>
  </si>
  <si>
    <t xml:space="preserve">Jeremy Paul</t>
  </si>
  <si>
    <t xml:space="preserve">Matthieu Pavon</t>
  </si>
  <si>
    <t xml:space="preserve">Taylor Pendrith  </t>
  </si>
  <si>
    <t xml:space="preserve">Marco Penge</t>
  </si>
  <si>
    <t xml:space="preserve">Victor Perez</t>
  </si>
  <si>
    <t xml:space="preserve">Paul Peterson</t>
  </si>
  <si>
    <t xml:space="preserve">Chandler Phillips</t>
  </si>
  <si>
    <t xml:space="preserve">Scott Piercy</t>
  </si>
  <si>
    <t xml:space="preserve">J.T. Poston  </t>
  </si>
  <si>
    <t xml:space="preserve">Aldrich Potgieter  </t>
  </si>
  <si>
    <t xml:space="preserve">Seamus Power</t>
  </si>
  <si>
    <t xml:space="preserve">Yurav Premlall</t>
  </si>
  <si>
    <t xml:space="preserve">David Puig</t>
  </si>
  <si>
    <t xml:space="preserve">Andrew Putnam</t>
  </si>
  <si>
    <t xml:space="preserve">Jon Rahm</t>
  </si>
  <si>
    <t xml:space="preserve">Aaron Rai  </t>
  </si>
  <si>
    <t xml:space="preserve">Chad Ramey</t>
  </si>
  <si>
    <t xml:space="preserve">David Ravetto</t>
  </si>
  <si>
    <t xml:space="preserve">Chez Reavie</t>
  </si>
  <si>
    <t xml:space="preserve">Patrick Reed</t>
  </si>
  <si>
    <t xml:space="preserve">Kristoffer Reitan</t>
  </si>
  <si>
    <t xml:space="preserve">Matthew Riedel</t>
  </si>
  <si>
    <t xml:space="preserve">Davis Riley  </t>
  </si>
  <si>
    <t xml:space="preserve">Patrick Rodgers  </t>
  </si>
  <si>
    <t xml:space="preserve">Daniel Rodrigues</t>
  </si>
  <si>
    <t xml:space="preserve">Justin Rose  </t>
  </si>
  <si>
    <t xml:space="preserve">Thomas Rosenmueller</t>
  </si>
  <si>
    <t xml:space="preserve">Kevin Roy</t>
  </si>
  <si>
    <t xml:space="preserve">Antoine Rozner</t>
  </si>
  <si>
    <t xml:space="preserve">Marcelo Rozo</t>
  </si>
  <si>
    <t xml:space="preserve">Sam Ryder</t>
  </si>
  <si>
    <t xml:space="preserve">Adrien Saddier</t>
  </si>
  <si>
    <t xml:space="preserve">Isaiah Salinda</t>
  </si>
  <si>
    <t xml:space="preserve">Gordon Sargent</t>
  </si>
  <si>
    <t xml:space="preserve">Jayden Schaper</t>
  </si>
  <si>
    <t xml:space="preserve">Xander Schauffele  </t>
  </si>
  <si>
    <t xml:space="preserve">Scottie Scheffler  </t>
  </si>
  <si>
    <t xml:space="preserve">Adam Schenk</t>
  </si>
  <si>
    <t xml:space="preserve">Matti Schmid  </t>
  </si>
  <si>
    <t xml:space="preserve">Charl Schwartzel</t>
  </si>
  <si>
    <t xml:space="preserve">Freddy Schott</t>
  </si>
  <si>
    <t xml:space="preserve">Adam Scott</t>
  </si>
  <si>
    <t xml:space="preserve">Robbie Shelton</t>
  </si>
  <si>
    <t xml:space="preserve">Neil Shipley</t>
  </si>
  <si>
    <t xml:space="preserve">Marcel Siem</t>
  </si>
  <si>
    <t xml:space="preserve">Greyson Sigg</t>
  </si>
  <si>
    <t xml:space="preserve">Ben Silverman</t>
  </si>
  <si>
    <t xml:space="preserve">Webb Simpson</t>
  </si>
  <si>
    <t xml:space="preserve">David Skinns</t>
  </si>
  <si>
    <t xml:space="preserve">Alex Smalley</t>
  </si>
  <si>
    <t xml:space="preserve">Cam Smith</t>
  </si>
  <si>
    <t xml:space="preserve">Jordan Smith</t>
  </si>
  <si>
    <t xml:space="preserve">Austin Smotherman</t>
  </si>
  <si>
    <t xml:space="preserve">Brandt Snedeker</t>
  </si>
  <si>
    <t xml:space="preserve">J.J. Spaun  </t>
  </si>
  <si>
    <t xml:space="preserve">Jordan Spieth  </t>
  </si>
  <si>
    <t xml:space="preserve">Jimmy Stanger</t>
  </si>
  <si>
    <t xml:space="preserve">Richard Sterne</t>
  </si>
  <si>
    <t xml:space="preserve">Sam Stevens  </t>
  </si>
  <si>
    <t xml:space="preserve">Sepp Straka  </t>
  </si>
  <si>
    <t xml:space="preserve">Kevin Streelman</t>
  </si>
  <si>
    <t xml:space="preserve">Ockie Strydom</t>
  </si>
  <si>
    <t xml:space="preserve">Jackson Suber</t>
  </si>
  <si>
    <t xml:space="preserve">Andy Sullivan</t>
  </si>
  <si>
    <t xml:space="preserve">Adam Svensson</t>
  </si>
  <si>
    <t xml:space="preserve">Jesper Svensson</t>
  </si>
  <si>
    <t xml:space="preserve">Connor Syme</t>
  </si>
  <si>
    <t xml:space="preserve">Nick Taylor  </t>
  </si>
  <si>
    <t xml:space="preserve">Sahith Theegala</t>
  </si>
  <si>
    <t xml:space="preserve">Justin Thomas  </t>
  </si>
  <si>
    <t xml:space="preserve">Davis Thompson</t>
  </si>
  <si>
    <t xml:space="preserve">Michael Thorbjornsen</t>
  </si>
  <si>
    <t xml:space="preserve">Braden Thornberry</t>
  </si>
  <si>
    <t xml:space="preserve">Brendon Todd</t>
  </si>
  <si>
    <t xml:space="preserve">Alejandro Tosti</t>
  </si>
  <si>
    <t xml:space="preserve">Sami Valimaki</t>
  </si>
  <si>
    <t xml:space="preserve">Darius Van Driel</t>
  </si>
  <si>
    <t xml:space="preserve">Erik van Rooyen  </t>
  </si>
  <si>
    <t xml:space="preserve">John VanDerLaan</t>
  </si>
  <si>
    <t xml:space="preserve">Johannes Veerman</t>
  </si>
  <si>
    <t xml:space="preserve">Jhonattan Vegas  </t>
  </si>
  <si>
    <t xml:space="preserve">Kevin Velo</t>
  </si>
  <si>
    <t xml:space="preserve">Kris Ventura</t>
  </si>
  <si>
    <t xml:space="preserve">Karl Vilips</t>
  </si>
  <si>
    <t xml:space="preserve">Camilo Villegas</t>
  </si>
  <si>
    <t xml:space="preserve">Nicolai Von Dellingshausen</t>
  </si>
  <si>
    <t xml:space="preserve">Danny Walker</t>
  </si>
  <si>
    <t xml:space="preserve">Matt Wallace</t>
  </si>
  <si>
    <t xml:space="preserve">Paul Waring</t>
  </si>
  <si>
    <t xml:space="preserve">Bubba Watson</t>
  </si>
  <si>
    <t xml:space="preserve">Vince Whaley</t>
  </si>
  <si>
    <t xml:space="preserve">Tim Widing</t>
  </si>
  <si>
    <t xml:space="preserve">Gunner Wiebe</t>
  </si>
  <si>
    <t xml:space="preserve">Bernd Wiesberger</t>
  </si>
  <si>
    <t xml:space="preserve">Danny Willett</t>
  </si>
  <si>
    <t xml:space="preserve">Aaron Wise</t>
  </si>
  <si>
    <t xml:space="preserve">Gary Woodland</t>
  </si>
  <si>
    <t xml:space="preserve">Ashun Wu</t>
  </si>
  <si>
    <t xml:space="preserve">Brandon Wu</t>
  </si>
  <si>
    <t xml:space="preserve">Dylan Wu</t>
  </si>
  <si>
    <t xml:space="preserve">Norman Xiong</t>
  </si>
  <si>
    <t xml:space="preserve">Sudarshan Yellamaraju</t>
  </si>
  <si>
    <t xml:space="preserve">Cameron Young</t>
  </si>
  <si>
    <t xml:space="preserve">Carson Young</t>
  </si>
  <si>
    <t xml:space="preserve">Kevin Yu  </t>
  </si>
  <si>
    <t xml:space="preserve">Will Zalatoris</t>
  </si>
  <si>
    <t xml:space="preserve">SG PUTT</t>
  </si>
  <si>
    <t xml:space="preserve">SG ARG</t>
  </si>
  <si>
    <t xml:space="preserve">SG APP</t>
  </si>
  <si>
    <t xml:space="preserve">SG OTT</t>
  </si>
  <si>
    <t xml:space="preserve">Form</t>
  </si>
  <si>
    <t xml:space="preserve">Player</t>
  </si>
  <si>
    <t xml:space="preserve">Points</t>
  </si>
  <si>
    <t xml:space="preserve">Approach</t>
  </si>
  <si>
    <t xml:space="preserve">Putting</t>
  </si>
  <si>
    <t xml:space="preserve">Around Green</t>
  </si>
  <si>
    <t xml:space="preserve">T2Green</t>
  </si>
  <si>
    <t xml:space="preserve">History</t>
  </si>
  <si>
    <t xml:space="preserve">Tournament</t>
  </si>
  <si>
    <t xml:space="preserve">Tour</t>
  </si>
  <si>
    <t xml:space="preserve">Scottish Open</t>
  </si>
  <si>
    <t xml:space="preserve">PGA Tour</t>
  </si>
  <si>
    <t xml:space="preserve">DP </t>
  </si>
  <si>
    <t xml:space="preserve">Course</t>
  </si>
  <si>
    <t xml:space="preserve">Tier</t>
  </si>
  <si>
    <t xml:space="preserve">pts</t>
  </si>
  <si>
    <t xml:space="preserve">ott</t>
  </si>
  <si>
    <t xml:space="preserve">ar green</t>
  </si>
  <si>
    <t xml:space="preserve">approach</t>
  </si>
  <si>
    <t xml:space="preserve">putting</t>
  </si>
  <si>
    <t xml:space="preserve">Fit</t>
  </si>
  <si>
    <t xml:space="preserve">Torrey South</t>
  </si>
  <si>
    <t xml:space="preserve">Vidanta</t>
  </si>
  <si>
    <t xml:space="preserve">PGA National</t>
  </si>
  <si>
    <t xml:space="preserve">Pebble Beach</t>
  </si>
  <si>
    <t xml:space="preserve">Bay Hill</t>
  </si>
  <si>
    <t xml:space="preserve">Sawgrass</t>
  </si>
  <si>
    <t xml:space="preserve">Innisbrook</t>
  </si>
  <si>
    <t xml:space="preserve">Memorial Park</t>
  </si>
  <si>
    <t xml:space="preserve">default</t>
  </si>
  <si>
    <t xml:space="preserve">TPC San Antonio (Oaks Course)</t>
  </si>
  <si>
    <t xml:space="preserve">Augusta National</t>
  </si>
  <si>
    <t xml:space="preserve">Harbour Town</t>
  </si>
  <si>
    <t xml:space="preserve">Craig Ranch</t>
  </si>
  <si>
    <t xml:space="preserve">Trump National Doral</t>
  </si>
  <si>
    <t xml:space="preserve">?</t>
  </si>
  <si>
    <t xml:space="preserve">no previous recent history</t>
  </si>
  <si>
    <t xml:space="preserve">Weights can't be this high, percentages were ridiculous</t>
  </si>
  <si>
    <t xml:space="preserve">Truist (not normal site)</t>
  </si>
  <si>
    <t xml:space="preserve">Quail Hollow (PGA Champ)</t>
  </si>
  <si>
    <t xml:space="preserve">Colonial Country Club</t>
  </si>
  <si>
    <t xml:space="preserve">Muirfield</t>
  </si>
  <si>
    <t xml:space="preserve">TPC Toronto</t>
  </si>
  <si>
    <t xml:space="preserve">None</t>
  </si>
  <si>
    <t xml:space="preserve">Port Royal Golf Course</t>
  </si>
  <si>
    <t xml:space="preserve">Sea Island Golf Club</t>
  </si>
  <si>
    <t xml:space="preserve">Waialae Country Club</t>
  </si>
  <si>
    <t xml:space="preserve">PGA West Pete Dye Stadium Course</t>
  </si>
  <si>
    <t xml:space="preserve">TPC Scottsdale</t>
  </si>
  <si>
    <t xml:space="preserve">Greens</t>
  </si>
  <si>
    <t xml:space="preserve">Hero (Bermuda)</t>
  </si>
  <si>
    <t xml:space="preserve">RSM Classic (Bermuda)</t>
  </si>
  <si>
    <t xml:space="preserve">Good Good (Bermuda)</t>
  </si>
  <si>
    <t xml:space="preserve">World Wide Tech (paspalum)</t>
  </si>
  <si>
    <t xml:space="preserve">Vidanta (Paspalum)</t>
  </si>
  <si>
    <t xml:space="preserve">Butterfield Berm. (Bermuda)</t>
  </si>
  <si>
    <t xml:space="preserve">Baycurrent (Bentgrass)</t>
  </si>
  <si>
    <t xml:space="preserve">Bank Of Utah (Bentgrass)</t>
  </si>
  <si>
    <t xml:space="preserve">Biltmore (Bentgrass)</t>
  </si>
  <si>
    <t xml:space="preserve">Tour Champ. (Bermuda)</t>
  </si>
  <si>
    <t xml:space="preserve">BMW (Bentgrass)</t>
  </si>
  <si>
    <t xml:space="preserve">St. Jude (Bermuda)</t>
  </si>
  <si>
    <t xml:space="preserve">Wyndham (Bermuda)</t>
  </si>
  <si>
    <t xml:space="preserve">Rocket Classic (Bent/Poa)</t>
  </si>
  <si>
    <t xml:space="preserve">3M Open (Bentgrass)</t>
  </si>
  <si>
    <t xml:space="preserve">Puntacana (Paspalum)</t>
  </si>
  <si>
    <t xml:space="preserve">The Open (Bentgrass)</t>
  </si>
  <si>
    <t xml:space="preserve">ISCO (Bentgrass)</t>
  </si>
  <si>
    <t xml:space="preserve">Scottish Open (Bentgrass)</t>
  </si>
  <si>
    <t xml:space="preserve">John Deere (Bentgrass)</t>
  </si>
  <si>
    <t xml:space="preserve">Travelers (Bentgrass)</t>
  </si>
  <si>
    <t xml:space="preserve">USO Shinnecock (Bentgrass)</t>
  </si>
  <si>
    <t xml:space="preserve">RBC Canadian (Bentgrass)</t>
  </si>
  <si>
    <t xml:space="preserve">Memorial (Bentgrass)</t>
  </si>
  <si>
    <t xml:space="preserve">Charles Schwab (Bermuda)</t>
  </si>
  <si>
    <t xml:space="preserve">CJ Cup B. Nelson (Bermuda)</t>
  </si>
  <si>
    <t xml:space="preserve">Aronimink PGA (Bentgrass)</t>
  </si>
  <si>
    <t xml:space="preserve">Myrtle Beach (Bentgrass)</t>
  </si>
  <si>
    <t xml:space="preserve">Truist (Bentgrass)</t>
  </si>
  <si>
    <t xml:space="preserve">Cadillac (Bermuda)</t>
  </si>
  <si>
    <t xml:space="preserve">RBC Heritage (Bermuda)</t>
  </si>
  <si>
    <t xml:space="preserve">Masters (Bentgrass)</t>
  </si>
  <si>
    <t xml:space="preserve">Valero Texas (Bermuda)</t>
  </si>
  <si>
    <t xml:space="preserve">Houston Open (Bermuda)</t>
  </si>
  <si>
    <t xml:space="preserve">Valspar (Bermuda)</t>
  </si>
  <si>
    <t xml:space="preserve">TPC Sawgrass (Bermuda)</t>
  </si>
  <si>
    <t xml:space="preserve">Arnold Palmer (Bermuda)</t>
  </si>
  <si>
    <t xml:space="preserve">Cognizant (Bermuda)</t>
  </si>
  <si>
    <t xml:space="preserve">Genesis Inv. (Poa annua)</t>
  </si>
  <si>
    <t xml:space="preserve">Pebble Beach (Poa annua)</t>
  </si>
  <si>
    <t xml:space="preserve">TPC Scottsdale (Poa)</t>
  </si>
  <si>
    <t xml:space="preserve">Torrey Pines (Poa annua)</t>
  </si>
  <si>
    <t xml:space="preserve">La Quinta (Bermuda)</t>
  </si>
  <si>
    <t xml:space="preserve">Wailea (Bermuda)</t>
  </si>
  <si>
    <t xml:space="preserve">Bentgrass</t>
  </si>
  <si>
    <t xml:space="preserve">Bermuda</t>
  </si>
  <si>
    <t xml:space="preserve">Poa annua</t>
  </si>
  <si>
    <t xml:space="preserve">Paspalum</t>
  </si>
  <si>
    <t xml:space="preserve">Bent/Poa</t>
  </si>
  <si>
    <t xml:space="preserve">Bauchou, Zach</t>
  </si>
  <si>
    <t xml:space="preserve">Blair, Zac</t>
  </si>
  <si>
    <t xml:space="preserve">Brown, Blades</t>
  </si>
  <si>
    <t xml:space="preserve">Buckley, Hayden</t>
  </si>
  <si>
    <t xml:space="preserve">Campos, Rafael</t>
  </si>
  <si>
    <t xml:space="preserve">Capan, Frankie</t>
  </si>
  <si>
    <t xml:space="preserve">Champ, Cameron</t>
  </si>
  <si>
    <t xml:space="preserve">Chandler, Will</t>
  </si>
  <si>
    <t xml:space="preserve">Chatfield, Davis</t>
  </si>
  <si>
    <t xml:space="preserve">Clanton, Luke</t>
  </si>
  <si>
    <t xml:space="preserve">Cole, Eric</t>
  </si>
  <si>
    <t xml:space="preserve">Cone, Trevor</t>
  </si>
  <si>
    <t xml:space="preserve">Cook, Austin</t>
  </si>
  <si>
    <t xml:space="preserve">Cummins, Quade</t>
  </si>
  <si>
    <t xml:space="preserve">Dahmen, Joel</t>
  </si>
  <si>
    <t xml:space="preserve">Davis, Cam</t>
  </si>
  <si>
    <t xml:space="preserve">Del Solar, Cristobal</t>
  </si>
  <si>
    <t xml:space="preserve">Dickson, Taylor</t>
  </si>
  <si>
    <t xml:space="preserve">Dou, Zecheng</t>
  </si>
  <si>
    <t xml:space="preserve">Dumont de Chassart, Adrian</t>
  </si>
  <si>
    <t xml:space="preserve">Duncan, Tyler</t>
  </si>
  <si>
    <t xml:space="preserve">Dunlap, Nick</t>
  </si>
  <si>
    <t xml:space="preserve">Eckroat, Austin</t>
  </si>
  <si>
    <t xml:space="preserve">Ewart, AJ</t>
  </si>
  <si>
    <t xml:space="preserve">Finau, Tony</t>
  </si>
  <si>
    <t xml:space="preserve">Fishburn, Patrick</t>
  </si>
  <si>
    <t xml:space="preserve">Ford, David</t>
  </si>
  <si>
    <t xml:space="preserve">Frittelli, Dylan</t>
  </si>
  <si>
    <t xml:space="preserve">Garnett, Brice</t>
  </si>
  <si>
    <t xml:space="preserve">Ghim, Doug</t>
  </si>
  <si>
    <t xml:space="preserve">Gonzalez, Emilio</t>
  </si>
  <si>
    <t xml:space="preserve">Goodwin, Noah</t>
  </si>
  <si>
    <t xml:space="preserve">Gordon, Will</t>
  </si>
  <si>
    <t xml:space="preserve">Griffin, Lanto</t>
  </si>
  <si>
    <t xml:space="preserve">Hadley, Chesson</t>
  </si>
  <si>
    <t xml:space="preserve">Hadwin, Adam</t>
  </si>
  <si>
    <t xml:space="preserve">Hahn, James</t>
  </si>
  <si>
    <t xml:space="preserve">Hardy, Nick</t>
  </si>
  <si>
    <t xml:space="preserve">Hastings, Justin</t>
  </si>
  <si>
    <t xml:space="preserve">Higgs, Harry</t>
  </si>
  <si>
    <t xml:space="preserve">Hirata, Kensei</t>
  </si>
  <si>
    <t xml:space="preserve">Hodges, Lee</t>
  </si>
  <si>
    <t xml:space="preserve">Hoffman, Charley</t>
  </si>
  <si>
    <t xml:space="preserve">Hoshino, Rikuya</t>
  </si>
  <si>
    <t xml:space="preserve">Hossler, Beau</t>
  </si>
  <si>
    <t xml:space="preserve">Hubbard, Mark</t>
  </si>
  <si>
    <t xml:space="preserve">Hughes, Mackenzie</t>
  </si>
  <si>
    <t xml:space="preserve">Kanaya, Takumi</t>
  </si>
  <si>
    <t xml:space="preserve">Kang, Jeffrey</t>
  </si>
  <si>
    <t xml:space="preserve">Kim, Chan</t>
  </si>
  <si>
    <t xml:space="preserve">Kim, SH</t>
  </si>
  <si>
    <t xml:space="preserve">Kim, Tom</t>
  </si>
  <si>
    <t xml:space="preserve">Kizzire, Patton</t>
  </si>
  <si>
    <t xml:space="preserve">Knowles, Philip</t>
  </si>
  <si>
    <t xml:space="preserve">Kohles, Ben</t>
  </si>
  <si>
    <t xml:space="preserve">Koivun, Jackson</t>
  </si>
  <si>
    <t xml:space="preserve">Kuchar, Matt</t>
  </si>
  <si>
    <t xml:space="preserve">La Sasso, Michael</t>
  </si>
  <si>
    <t xml:space="preserve">Laird, Martin</t>
  </si>
  <si>
    <t xml:space="preserve">Lamprecht, Christo</t>
  </si>
  <si>
    <t xml:space="preserve">Lawrence, Thriston</t>
  </si>
  <si>
    <t xml:space="preserve">Lebioda, Hank</t>
  </si>
  <si>
    <t xml:space="preserve">Lee, KH</t>
  </si>
  <si>
    <t xml:space="preserve">Lee, ST</t>
  </si>
  <si>
    <t xml:space="preserve">List, Luke</t>
  </si>
  <si>
    <t xml:space="preserve">Lower, Justin</t>
  </si>
  <si>
    <t xml:space="preserve">Malnati, Peter</t>
  </si>
  <si>
    <t xml:space="preserve">Manassero, Matteo</t>
  </si>
  <si>
    <t xml:space="preserve">Martin, Ben</t>
  </si>
  <si>
    <t xml:space="preserve">Meissner, Mac</t>
  </si>
  <si>
    <t xml:space="preserve">Molinari, Francesco</t>
  </si>
  <si>
    <t xml:space="preserve">Montgomery, Taylor</t>
  </si>
  <si>
    <t xml:space="preserve">Moore, Taylor</t>
  </si>
  <si>
    <t xml:space="preserve">Mullinax, Trey</t>
  </si>
  <si>
    <t xml:space="preserve">Nakajima, Keita</t>
  </si>
  <si>
    <t xml:space="preserve">NeSmith, Matt</t>
  </si>
  <si>
    <t xml:space="preserve">Norgaard, Niklas</t>
  </si>
  <si>
    <t xml:space="preserve">Norlander, Henrik</t>
  </si>
  <si>
    <t xml:space="preserve">Nyholm, Pontus</t>
  </si>
  <si>
    <t xml:space="preserve">Olesen, Thorbjorn</t>
  </si>
  <si>
    <t xml:space="preserve">Onishi, Kaito</t>
  </si>
  <si>
    <t xml:space="preserve">Palmer, Ryan</t>
  </si>
  <si>
    <t xml:space="preserve">Paul, Jeremy</t>
  </si>
  <si>
    <t xml:space="preserve">Pavon, Matthieu</t>
  </si>
  <si>
    <t xml:space="preserve">Perez, Victor</t>
  </si>
  <si>
    <t xml:space="preserve">Peterson, Paul</t>
  </si>
  <si>
    <t xml:space="preserve">Phillips, Chandler</t>
  </si>
  <si>
    <t xml:space="preserve">Piercy, Scott</t>
  </si>
  <si>
    <t xml:space="preserve">Power, Seamus</t>
  </si>
  <si>
    <t xml:space="preserve">Ramey, Chad</t>
  </si>
  <si>
    <t xml:space="preserve">Reavie, Chez</t>
  </si>
  <si>
    <t xml:space="preserve">Riedel, Matthew</t>
  </si>
  <si>
    <t xml:space="preserve">Rosenmueller, Thomas</t>
  </si>
  <si>
    <t xml:space="preserve">Roy, Kevin</t>
  </si>
  <si>
    <t xml:space="preserve">Rozner, Antoine</t>
  </si>
  <si>
    <t xml:space="preserve">Rozo, Marcelo</t>
  </si>
  <si>
    <t xml:space="preserve">Ryder, Sam</t>
  </si>
  <si>
    <t xml:space="preserve">Salinda, Isaiah</t>
  </si>
  <si>
    <t xml:space="preserve">Sargent, Gordon</t>
  </si>
  <si>
    <t xml:space="preserve">Shelton, Robbie</t>
  </si>
  <si>
    <t xml:space="preserve">Shipley, Neil</t>
  </si>
  <si>
    <t xml:space="preserve">Sigg, Greyson</t>
  </si>
  <si>
    <t xml:space="preserve">Silverman, Ben</t>
  </si>
  <si>
    <t xml:space="preserve">Simpson, Webb</t>
  </si>
  <si>
    <t xml:space="preserve">Skinns, David</t>
  </si>
  <si>
    <t xml:space="preserve">Stanger, Jimmy</t>
  </si>
  <si>
    <t xml:space="preserve">Streelman, Kevin</t>
  </si>
  <si>
    <t xml:space="preserve">Suber, Jackson</t>
  </si>
  <si>
    <t xml:space="preserve">Svensson, Adam</t>
  </si>
  <si>
    <t xml:space="preserve">Svensson, Jesper</t>
  </si>
  <si>
    <t xml:space="preserve">Thompson, Davis</t>
  </si>
  <si>
    <t xml:space="preserve">Thornberry, Braden</t>
  </si>
  <si>
    <t xml:space="preserve">Todd, Brendon</t>
  </si>
  <si>
    <t xml:space="preserve">Tosti, Alejandro</t>
  </si>
  <si>
    <t xml:space="preserve">van Rooyen, Erik</t>
  </si>
  <si>
    <t xml:space="preserve">VanDerLaan, John</t>
  </si>
  <si>
    <t xml:space="preserve">Velo, Kevin</t>
  </si>
  <si>
    <t xml:space="preserve">Ventura, Kris</t>
  </si>
  <si>
    <t xml:space="preserve">Vilips, Karl</t>
  </si>
  <si>
    <t xml:space="preserve">Villegas, Camillo</t>
  </si>
  <si>
    <t xml:space="preserve">Walker, Danny</t>
  </si>
  <si>
    <t xml:space="preserve">Watson, Bubba</t>
  </si>
  <si>
    <t xml:space="preserve">Whaley, Vince</t>
  </si>
  <si>
    <t xml:space="preserve">Widing, Tim</t>
  </si>
  <si>
    <t xml:space="preserve">Wiebe, Gunnar</t>
  </si>
  <si>
    <t xml:space="preserve">Wise, Aaron</t>
  </si>
  <si>
    <t xml:space="preserve">Wu, Brandon</t>
  </si>
  <si>
    <t xml:space="preserve">Wu, Dylan</t>
  </si>
  <si>
    <t xml:space="preserve">Xiong, Norman</t>
  </si>
  <si>
    <t xml:space="preserve">Young, Carson</t>
  </si>
  <si>
    <t xml:space="preserve">Yu, Kevin</t>
  </si>
  <si>
    <t xml:space="preserve">Zalatoris, Will</t>
  </si>
  <si>
    <t xml:space="preserve">Willett, Danny</t>
  </si>
  <si>
    <t xml:space="preserve">Schmid, Matty</t>
  </si>
  <si>
    <t xml:space="preserve">Smalley, Alex</t>
  </si>
  <si>
    <t xml:space="preserve">Berger, Daniel</t>
  </si>
  <si>
    <t xml:space="preserve">Morikawa, Collin</t>
  </si>
  <si>
    <t xml:space="preserve">Smotherman, Austin</t>
  </si>
  <si>
    <t xml:space="preserve">Burns, Sam</t>
  </si>
  <si>
    <t xml:space="preserve">Stephan Jaeger</t>
  </si>
  <si>
    <t xml:space="preserve">Coody, Pierceson</t>
  </si>
  <si>
    <t xml:space="preserve">McCarthy, Denny</t>
  </si>
  <si>
    <t xml:space="preserve">Griffin, Ben</t>
  </si>
  <si>
    <t xml:space="preserve">English, Harris</t>
  </si>
  <si>
    <t xml:space="preserve">McIlroy, Rory</t>
  </si>
  <si>
    <t xml:space="preserve">Campbell, Brian</t>
  </si>
  <si>
    <t xml:space="preserve">Schauffele, Xander</t>
  </si>
  <si>
    <t xml:space="preserve">Hoge, Tom</t>
  </si>
  <si>
    <t xml:space="preserve">Cauley, Bud</t>
  </si>
  <si>
    <t xml:space="preserve">Wallace, Matt</t>
  </si>
  <si>
    <t xml:space="preserve">Kitayama, Kurt</t>
  </si>
  <si>
    <t xml:space="preserve">Bhatia, Akshay</t>
  </si>
  <si>
    <t xml:space="preserve">Noren, Alex</t>
  </si>
  <si>
    <t xml:space="preserve">Pendrith, Taylor</t>
  </si>
  <si>
    <t xml:space="preserve">Harman, Brian</t>
  </si>
  <si>
    <t xml:space="preserve">Thomas, Justin</t>
  </si>
  <si>
    <t xml:space="preserve">Fisk, Stephen</t>
  </si>
  <si>
    <t xml:space="preserve">Taylor, Nick</t>
  </si>
  <si>
    <t xml:space="preserve">Matsuyama, Hideki</t>
  </si>
  <si>
    <t xml:space="preserve">Knapp, Jake</t>
  </si>
  <si>
    <t xml:space="preserve">McNealy, Maverick</t>
  </si>
  <si>
    <t xml:space="preserve">Kim, Michael</t>
  </si>
  <si>
    <t xml:space="preserve">Smith, Cam</t>
  </si>
  <si>
    <t xml:space="preserve">Johnson, Dustin</t>
  </si>
  <si>
    <t xml:space="preserve">Day, Jason</t>
  </si>
  <si>
    <t xml:space="preserve">Li, Haotong</t>
  </si>
  <si>
    <t xml:space="preserve">Young, Cameron</t>
  </si>
  <si>
    <t xml:space="preserve">Higgo, Garrick</t>
  </si>
  <si>
    <t xml:space="preserve">Rose, Justin</t>
  </si>
  <si>
    <t xml:space="preserve">Blanchet, Chandler</t>
  </si>
  <si>
    <t xml:space="preserve">Mitchell, Keith</t>
  </si>
  <si>
    <t xml:space="preserve">Putnam, Andrew</t>
  </si>
  <si>
    <t xml:space="preserve">DeChambeau, Bryson</t>
  </si>
  <si>
    <t xml:space="preserve">Fleetwood, Tommy</t>
  </si>
  <si>
    <t xml:space="preserve">Gotterup, Chris</t>
  </si>
  <si>
    <t xml:space="preserve">Gerard, Ryan</t>
  </si>
  <si>
    <t xml:space="preserve">Schwartzel, Charl</t>
  </si>
  <si>
    <t xml:space="preserve">Snedeker, Brandt</t>
  </si>
  <si>
    <t xml:space="preserve">Schenk, Adam</t>
  </si>
  <si>
    <t xml:space="preserve">Reed, Patrick</t>
  </si>
  <si>
    <t xml:space="preserve">Mouw, William</t>
  </si>
  <si>
    <t xml:space="preserve">Rahm, Jon</t>
  </si>
  <si>
    <t xml:space="preserve">Bradley, Keegan</t>
  </si>
  <si>
    <t xml:space="preserve">Clark, Wyndham</t>
  </si>
  <si>
    <t xml:space="preserve">Theegala, Sahith</t>
  </si>
  <si>
    <t xml:space="preserve">Hisatsune, Ryo</t>
  </si>
  <si>
    <t xml:space="preserve">Rai, Aaron</t>
  </si>
  <si>
    <t xml:space="preserve">Kim, Si Woo</t>
  </si>
  <si>
    <t xml:space="preserve">Brown, Dan</t>
  </si>
  <si>
    <t xml:space="preserve">Im, Sungjae</t>
  </si>
  <si>
    <t xml:space="preserve">Dufner, Jason</t>
  </si>
  <si>
    <t xml:space="preserve">Lowry, Shane</t>
  </si>
  <si>
    <t xml:space="preserve">Homa, Max</t>
  </si>
  <si>
    <t xml:space="preserve">MacIntyre, Robert</t>
  </si>
  <si>
    <t xml:space="preserve">Reitan, Kristoffer</t>
  </si>
  <si>
    <t xml:space="preserve">Koepka, Brooks</t>
  </si>
  <si>
    <t xml:space="preserve">Castillo, Ricky</t>
  </si>
  <si>
    <t xml:space="preserve">Fitzpatrick, Matt</t>
  </si>
  <si>
    <t xml:space="preserve">Hojgaard, Rasmus</t>
  </si>
  <si>
    <t xml:space="preserve">Fitzpatrick, Alex</t>
  </si>
  <si>
    <t xml:space="preserve">Scheffler, Scott</t>
  </si>
  <si>
    <t xml:space="preserve">Stevens, Sam</t>
  </si>
  <si>
    <t xml:space="preserve">Woodland, Gary</t>
  </si>
  <si>
    <t xml:space="preserve">Aberg, Ludvig</t>
  </si>
  <si>
    <t xml:space="preserve">Cantlay, Patrick</t>
  </si>
  <si>
    <t xml:space="preserve">Novak, Andrew</t>
  </si>
  <si>
    <t xml:space="preserve">Lee, Min Woo</t>
  </si>
  <si>
    <t xml:space="preserve">McCarty, Mike</t>
  </si>
  <si>
    <t xml:space="preserve">Hall, Harry</t>
  </si>
  <si>
    <t xml:space="preserve">Conners, Corey</t>
  </si>
  <si>
    <t xml:space="preserve">Horschel, Billy</t>
  </si>
  <si>
    <t xml:space="preserve">Kirk, Chris</t>
  </si>
  <si>
    <t xml:space="preserve">Fowler, Rickie</t>
  </si>
  <si>
    <t xml:space="preserve">Fox, Ryan</t>
  </si>
  <si>
    <t xml:space="preserve">Henley, Russell</t>
  </si>
  <si>
    <t xml:space="preserve">Bezuidenhout, Christiaan</t>
  </si>
  <si>
    <t xml:space="preserve">Jarvis, Casey</t>
  </si>
  <si>
    <t xml:space="preserve">Spieth, Jordan</t>
  </si>
  <si>
    <t xml:space="preserve">Parry, John</t>
  </si>
  <si>
    <t xml:space="preserve">Hatton, Tyrell</t>
  </si>
  <si>
    <t xml:space="preserve">Hojgaard, Nicolai</t>
  </si>
  <si>
    <t xml:space="preserve">Valimaki, Sami</t>
  </si>
  <si>
    <t xml:space="preserve">Penge, Marco</t>
  </si>
  <si>
    <t xml:space="preserve">Highsmith, Joe</t>
  </si>
  <si>
    <t xml:space="preserve">Rodgers, Patrick</t>
  </si>
  <si>
    <t xml:space="preserve">Greyserman, Max</t>
  </si>
  <si>
    <t xml:space="preserve">Johnson, Zac</t>
  </si>
  <si>
    <t xml:space="preserve">Glover, Lucas</t>
  </si>
  <si>
    <t xml:space="preserve">Garcia, Sergio</t>
  </si>
  <si>
    <t xml:space="preserve">Potgieter, Aldrich</t>
  </si>
  <si>
    <t xml:space="preserve">Brennan, Michael</t>
  </si>
  <si>
    <t xml:space="preserve">Echavarria, Nico</t>
  </si>
  <si>
    <t xml:space="preserve">Straka, Sepp</t>
  </si>
  <si>
    <t xml:space="preserve">Ortiz, Carlos</t>
  </si>
  <si>
    <t xml:space="preserve">Bridgeman, Jacob</t>
  </si>
  <si>
    <t xml:space="preserve">Keefer, Johnny</t>
  </si>
  <si>
    <t xml:space="preserve">Detry, Thomas</t>
  </si>
  <si>
    <t xml:space="preserve">Hoey, Rico</t>
  </si>
  <si>
    <t xml:space="preserve">Hovland, Viktor</t>
  </si>
  <si>
    <t xml:space="preserve">Saddier, Adrien</t>
  </si>
  <si>
    <t xml:space="preserve">Yellamaraju, Semarshon</t>
  </si>
  <si>
    <t xml:space="preserve">Lipsky, David</t>
  </si>
  <si>
    <t xml:space="preserve">Scott, Adam</t>
  </si>
  <si>
    <t xml:space="preserve">McGreevy, Max</t>
  </si>
  <si>
    <t xml:space="preserve">Neergaard-Petersen, Rasmus</t>
  </si>
  <si>
    <t xml:space="preserve">Grillo, Emiliano</t>
  </si>
  <si>
    <t xml:space="preserve">Spaun, JJ</t>
  </si>
  <si>
    <t xml:space="preserve">Thorbjornsen, Michael</t>
  </si>
  <si>
    <t xml:space="preserve">Riley, Davis</t>
  </si>
  <si>
    <t xml:space="preserve">Poston, JT</t>
  </si>
  <si>
    <t xml:space="preserve">Vegas, Johnattan</t>
  </si>
  <si>
    <t xml:space="preserve">McKibbin, Tom</t>
  </si>
  <si>
    <t xml:space="preserve">Smith, Jordan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</si>
</sst>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%"/>
    <numFmt numFmtId="167" formatCode="0"/>
    <numFmt numFmtId="168" formatCode="_(\$* #,##0.00_);_(\$* \(#,##0.00\);_(\$* \-??_);_(@_)"/>
    <numFmt numFmtId="169" formatCode="0.00"/>
    <numFmt numFmtId="170" formatCode="d\-mmm"/>
    <numFmt numFmtId="171" formatCode="0.0000"/>
  </numFmts>
  <fonts count="2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color rgb="FF00B050"/>
      <name val="Aptos Narrow"/>
      <family val="2"/>
      <charset val="1"/>
    </font>
    <font>
      <b val="true"/>
      <sz val="11"/>
      <name val="Aptos Narrow"/>
      <family val="2"/>
      <charset val="1"/>
    </font>
    <font>
      <sz val="12"/>
      <color rgb="FF404040"/>
      <name val="Arial"/>
      <family val="2"/>
      <charset val="1"/>
    </font>
    <font>
      <sz val="10"/>
      <color rgb="FF383A42"/>
      <name val="Inherit"/>
      <family val="0"/>
      <charset val="1"/>
    </font>
    <font>
      <sz val="11"/>
      <color rgb="FF00B050"/>
      <name val="Aptos Narrow"/>
      <family val="2"/>
      <charset val="1"/>
    </font>
    <font>
      <b val="true"/>
      <sz val="11"/>
      <color rgb="FFED0000"/>
      <name val="Aptos Narrow"/>
      <family val="2"/>
      <charset val="1"/>
    </font>
    <font>
      <b val="true"/>
      <sz val="18"/>
      <color theme="5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2"/>
      <color theme="1"/>
      <name val="Aptos Narrow"/>
      <family val="2"/>
      <charset val="1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  <font>
      <b val="true"/>
      <sz val="11"/>
      <color theme="3" tint="0.4999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C0C0C0"/>
      </patternFill>
    </fill>
    <fill>
      <patternFill patternType="solid">
        <fgColor theme="3" tint="0.7499"/>
        <bgColor rgb="FFC0C0C0"/>
      </patternFill>
    </fill>
    <fill>
      <patternFill patternType="solid">
        <fgColor theme="3" tint="0.8999"/>
        <bgColor rgb="FFCCFFFF"/>
      </patternFill>
    </fill>
    <fill>
      <patternFill patternType="solid">
        <fgColor rgb="FF00B050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3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ED0000"/>
      <rgbColor rgb="FF008080"/>
      <rgbColor rgb="FF0000FF"/>
      <rgbColor rgb="FF00CCFF"/>
      <rgbColor rgb="FFCCFFFF"/>
      <rgbColor rgb="FFC6EFCE"/>
      <rgbColor rgb="FFFFFF99"/>
      <rgbColor rgb="FFA6CAEC"/>
      <rgbColor rgb="FFFF99CC"/>
      <rgbColor rgb="FFCC99FF"/>
      <rgbColor rgb="FFFFC7CE"/>
      <rgbColor rgb="FF4E95D9"/>
      <rgbColor rgb="FF33CCCC"/>
      <rgbColor rgb="FF92D050"/>
      <rgbColor rgb="FFFFC000"/>
      <rgbColor rgb="FFFF9900"/>
      <rgbColor rgb="FFE97132"/>
      <rgbColor rgb="FF666699"/>
      <rgbColor rgb="FF969696"/>
      <rgbColor rgb="FF003366"/>
      <rgbColor rgb="FF00B050"/>
      <rgbColor rgb="FF003300"/>
      <rgbColor rgb="FF404040"/>
      <rgbColor rgb="FF993300"/>
      <rgbColor rgb="FF993366"/>
      <rgbColor rgb="FF333399"/>
      <rgbColor rgb="FF383A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outlook.office.com/e625531babc50019/McBee%20Advisors/Users/David/Documents/David&apos;s%20Office/WINDOWS/TEMP/1996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b"/>
      <sheetName val="Mar"/>
      <sheetName val="April"/>
      <sheetName val="May"/>
      <sheetName val="June"/>
      <sheetName val="July"/>
      <sheetName val="Aug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1.86"/>
    <col collapsed="false" customWidth="true" hidden="false" outlineLevel="0" max="2" min="2" style="1" width="19"/>
    <col collapsed="false" customWidth="true" hidden="false" outlineLevel="0" max="3" min="3" style="2" width="12.29"/>
    <col collapsed="false" customWidth="true" hidden="false" outlineLevel="0" max="4" min="4" style="2" width="15.72"/>
    <col collapsed="false" customWidth="true" hidden="false" outlineLevel="0" max="5" min="5" style="2" width="15.43"/>
    <col collapsed="false" customWidth="true" hidden="false" outlineLevel="0" max="6" min="6" style="2" width="9.71"/>
    <col collapsed="false" customWidth="true" hidden="false" outlineLevel="0" max="7" min="7" style="2" width="4.86"/>
    <col collapsed="false" customWidth="true" hidden="false" outlineLevel="0" max="8" min="8" style="2" width="4.57"/>
    <col collapsed="false" customWidth="true" hidden="false" outlineLevel="0" max="9" min="9" style="3" width="12.29"/>
    <col collapsed="false" customWidth="true" hidden="false" outlineLevel="0" max="10" min="10" style="3" width="13.71"/>
    <col collapsed="false" customWidth="true" hidden="false" outlineLevel="0" max="11" min="11" style="4" width="12.29"/>
    <col collapsed="false" customWidth="true" hidden="false" outlineLevel="0" max="12" min="12" style="3" width="38.7"/>
    <col collapsed="false" customWidth="true" hidden="false" outlineLevel="0" max="13" min="13" style="2" width="11.86"/>
    <col collapsed="false" customWidth="true" hidden="false" outlineLevel="0" max="16" min="16" style="2" width="15.15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</row>
    <row r="2" customFormat="false" ht="15" hidden="false" customHeight="true" outlineLevel="0" collapsed="false">
      <c r="A2" s="9" t="s">
        <v>12</v>
      </c>
      <c r="B2" s="9" t="s">
        <v>13</v>
      </c>
      <c r="C2" s="10" t="s">
        <v>14</v>
      </c>
      <c r="D2" s="9" t="s">
        <v>13</v>
      </c>
      <c r="E2" s="11" t="n">
        <v>0.526</v>
      </c>
      <c r="F2" s="12"/>
      <c r="G2" s="12"/>
      <c r="H2" s="12"/>
      <c r="I2" s="13"/>
      <c r="J2" s="13"/>
      <c r="K2" s="13" t="n">
        <v>-110</v>
      </c>
    </row>
    <row r="3" customFormat="false" ht="15.75" hidden="false" customHeight="true" outlineLevel="0" collapsed="false">
      <c r="A3" s="9" t="s">
        <v>15</v>
      </c>
      <c r="B3" s="9" t="s">
        <v>16</v>
      </c>
      <c r="C3" s="10" t="s">
        <v>14</v>
      </c>
      <c r="D3" s="9" t="s">
        <v>15</v>
      </c>
      <c r="E3" s="11" t="n">
        <v>0.619</v>
      </c>
      <c r="F3" s="12"/>
      <c r="G3" s="12"/>
      <c r="H3" s="12"/>
      <c r="I3" s="13"/>
      <c r="J3" s="13"/>
      <c r="K3" s="13" t="n">
        <v>100</v>
      </c>
      <c r="L3" s="14" t="s">
        <v>17</v>
      </c>
    </row>
    <row r="4" customFormat="false" ht="15" hidden="false" customHeight="true" outlineLevel="0" collapsed="false">
      <c r="A4" s="9" t="s">
        <v>18</v>
      </c>
      <c r="B4" s="9" t="s">
        <v>19</v>
      </c>
      <c r="C4" s="10" t="s">
        <v>14</v>
      </c>
      <c r="D4" s="12" t="s">
        <v>18</v>
      </c>
      <c r="E4" s="11" t="n">
        <v>0.516</v>
      </c>
      <c r="F4" s="12"/>
      <c r="G4" s="12"/>
      <c r="H4" s="12"/>
      <c r="I4" s="13"/>
      <c r="J4" s="13"/>
      <c r="K4" s="13" t="n">
        <v>-110</v>
      </c>
    </row>
    <row r="5" customFormat="false" ht="15" hidden="false" customHeight="true" outlineLevel="0" collapsed="false">
      <c r="A5" s="9" t="s">
        <v>20</v>
      </c>
      <c r="B5" s="9" t="s">
        <v>21</v>
      </c>
      <c r="C5" s="10" t="s">
        <v>14</v>
      </c>
      <c r="D5" s="9" t="s">
        <v>21</v>
      </c>
      <c r="E5" s="11" t="n">
        <v>0.634</v>
      </c>
      <c r="F5" s="12"/>
      <c r="G5" s="12"/>
      <c r="H5" s="12"/>
      <c r="I5" s="13"/>
      <c r="J5" s="13"/>
      <c r="K5" s="13" t="n">
        <v>102</v>
      </c>
      <c r="L5" s="15" t="s">
        <v>22</v>
      </c>
    </row>
    <row r="6" customFormat="false" ht="15" hidden="false" customHeight="true" outlineLevel="0" collapsed="false">
      <c r="A6" s="9" t="s">
        <v>23</v>
      </c>
      <c r="B6" s="9" t="s">
        <v>24</v>
      </c>
      <c r="C6" s="10" t="s">
        <v>14</v>
      </c>
      <c r="D6" s="9" t="s">
        <v>23</v>
      </c>
      <c r="E6" s="11" t="n">
        <v>0.635</v>
      </c>
      <c r="F6" s="12"/>
      <c r="G6" s="12"/>
      <c r="H6" s="12"/>
      <c r="I6" s="13"/>
      <c r="J6" s="13"/>
      <c r="K6" s="13" t="n">
        <v>-108</v>
      </c>
      <c r="M6" s="16"/>
    </row>
    <row r="7" customFormat="false" ht="15" hidden="false" customHeight="true" outlineLevel="0" collapsed="false">
      <c r="A7" s="9" t="s">
        <v>25</v>
      </c>
      <c r="B7" s="9" t="s">
        <v>26</v>
      </c>
      <c r="C7" s="10" t="s">
        <v>14</v>
      </c>
      <c r="D7" s="9" t="s">
        <v>25</v>
      </c>
      <c r="E7" s="11" t="n">
        <v>0.509</v>
      </c>
      <c r="F7" s="12"/>
      <c r="G7" s="12"/>
      <c r="H7" s="12"/>
      <c r="I7" s="13"/>
      <c r="J7" s="13"/>
      <c r="K7" s="13" t="n">
        <v>-130</v>
      </c>
    </row>
    <row r="8" customFormat="false" ht="15" hidden="false" customHeight="true" outlineLevel="0" collapsed="false">
      <c r="A8" s="9" t="s">
        <v>27</v>
      </c>
      <c r="B8" s="9" t="s">
        <v>28</v>
      </c>
      <c r="C8" s="10" t="s">
        <v>14</v>
      </c>
      <c r="D8" s="9" t="s">
        <v>29</v>
      </c>
      <c r="E8" s="11" t="n">
        <v>0.569</v>
      </c>
      <c r="F8" s="12"/>
      <c r="G8" s="12"/>
      <c r="H8" s="12"/>
      <c r="I8" s="13"/>
      <c r="J8" s="13"/>
      <c r="K8" s="13" t="n">
        <v>-125</v>
      </c>
    </row>
    <row r="9" customFormat="false" ht="15" hidden="false" customHeight="true" outlineLevel="0" collapsed="false">
      <c r="A9" s="9" t="s">
        <v>30</v>
      </c>
      <c r="B9" s="9" t="s">
        <v>31</v>
      </c>
      <c r="C9" s="10" t="s">
        <v>14</v>
      </c>
      <c r="D9" s="9" t="s">
        <v>32</v>
      </c>
      <c r="E9" s="11" t="n">
        <v>0.581</v>
      </c>
      <c r="F9" s="12"/>
      <c r="G9" s="12"/>
      <c r="H9" s="12"/>
      <c r="I9" s="13"/>
      <c r="J9" s="13"/>
      <c r="K9" s="13" t="n">
        <v>-113</v>
      </c>
    </row>
    <row r="10" s="18" customFormat="true" ht="15" hidden="false" customHeight="true" outlineLevel="0" collapsed="false">
      <c r="A10" s="9" t="s">
        <v>33</v>
      </c>
      <c r="B10" s="9" t="s">
        <v>34</v>
      </c>
      <c r="C10" s="10" t="s">
        <v>35</v>
      </c>
      <c r="D10" s="9" t="s">
        <v>36</v>
      </c>
      <c r="E10" s="11" t="n">
        <v>0.615</v>
      </c>
      <c r="F10" s="12"/>
      <c r="G10" s="12"/>
      <c r="H10" s="12"/>
      <c r="I10" s="13"/>
      <c r="J10" s="13"/>
      <c r="K10" s="13" t="n">
        <v>-123</v>
      </c>
      <c r="L10" s="17"/>
    </row>
    <row r="11" customFormat="false" ht="15" hidden="false" customHeight="true" outlineLevel="0" collapsed="false">
      <c r="A11" s="9" t="s">
        <v>37</v>
      </c>
      <c r="B11" s="9" t="s">
        <v>38</v>
      </c>
      <c r="C11" s="10" t="s">
        <v>14</v>
      </c>
      <c r="D11" s="9" t="s">
        <v>37</v>
      </c>
      <c r="E11" s="11" t="n">
        <v>0.564</v>
      </c>
      <c r="F11" s="12"/>
      <c r="G11" s="12"/>
      <c r="H11" s="12"/>
      <c r="I11" s="13"/>
      <c r="J11" s="13"/>
      <c r="K11" s="13" t="n">
        <v>-169</v>
      </c>
    </row>
    <row r="12" customFormat="false" ht="15" hidden="false" customHeight="true" outlineLevel="0" collapsed="false">
      <c r="A12" s="9" t="s">
        <v>39</v>
      </c>
      <c r="B12" s="9" t="s">
        <v>40</v>
      </c>
      <c r="C12" s="10" t="s">
        <v>14</v>
      </c>
      <c r="D12" s="9" t="s">
        <v>39</v>
      </c>
      <c r="E12" s="11" t="n">
        <v>0.52</v>
      </c>
      <c r="F12" s="12"/>
      <c r="G12" s="12"/>
      <c r="H12" s="12"/>
      <c r="I12" s="13"/>
      <c r="J12" s="13"/>
      <c r="K12" s="13" t="n">
        <v>110</v>
      </c>
    </row>
    <row r="13" customFormat="false" ht="15" hidden="false" customHeight="true" outlineLevel="0" collapsed="false">
      <c r="A13" s="9" t="s">
        <v>41</v>
      </c>
      <c r="B13" s="9" t="s">
        <v>42</v>
      </c>
      <c r="C13" s="10" t="s">
        <v>14</v>
      </c>
      <c r="D13" s="9" t="s">
        <v>42</v>
      </c>
      <c r="E13" s="11" t="n">
        <v>0.597</v>
      </c>
      <c r="F13" s="12"/>
      <c r="G13" s="12"/>
      <c r="H13" s="12"/>
      <c r="I13" s="13"/>
      <c r="J13" s="13"/>
      <c r="K13" s="13" t="n">
        <v>107</v>
      </c>
    </row>
    <row r="14" customFormat="false" ht="15" hidden="false" customHeight="true" outlineLevel="0" collapsed="false">
      <c r="A14" s="9" t="s">
        <v>43</v>
      </c>
      <c r="B14" s="9" t="s">
        <v>44</v>
      </c>
      <c r="C14" s="10" t="s">
        <v>14</v>
      </c>
      <c r="D14" s="9" t="s">
        <v>43</v>
      </c>
      <c r="E14" s="11" t="n">
        <v>0.592</v>
      </c>
      <c r="F14" s="12"/>
      <c r="G14" s="12"/>
      <c r="H14" s="12"/>
      <c r="I14" s="13"/>
      <c r="J14" s="13"/>
      <c r="K14" s="13" t="n">
        <v>-136</v>
      </c>
    </row>
    <row r="15" customFormat="false" ht="15" hidden="false" customHeight="true" outlineLevel="0" collapsed="false">
      <c r="A15" s="9" t="s">
        <v>45</v>
      </c>
      <c r="B15" s="9" t="s">
        <v>46</v>
      </c>
      <c r="C15" s="10" t="s">
        <v>14</v>
      </c>
      <c r="D15" s="9" t="s">
        <v>46</v>
      </c>
      <c r="E15" s="11" t="n">
        <v>0.524</v>
      </c>
      <c r="F15" s="12"/>
      <c r="G15" s="12"/>
      <c r="H15" s="12"/>
      <c r="I15" s="13"/>
      <c r="J15" s="13"/>
      <c r="K15" s="13" t="n">
        <v>-138</v>
      </c>
    </row>
    <row r="16" customFormat="false" ht="15" hidden="false" customHeight="true" outlineLevel="0" collapsed="false">
      <c r="A16" s="9" t="s">
        <v>47</v>
      </c>
      <c r="B16" s="9" t="s">
        <v>48</v>
      </c>
      <c r="C16" s="10" t="s">
        <v>14</v>
      </c>
      <c r="D16" s="9" t="s">
        <v>47</v>
      </c>
      <c r="E16" s="11" t="n">
        <v>0.579</v>
      </c>
      <c r="F16" s="12"/>
      <c r="G16" s="12"/>
      <c r="H16" s="12"/>
      <c r="I16" s="13"/>
      <c r="J16" s="13"/>
      <c r="K16" s="13" t="n">
        <v>-113</v>
      </c>
      <c r="N16" s="2" t="s">
        <v>49</v>
      </c>
    </row>
    <row r="17" customFormat="false" ht="15" hidden="false" customHeight="true" outlineLevel="0" collapsed="false">
      <c r="A17" s="9" t="s">
        <v>50</v>
      </c>
      <c r="B17" s="9" t="s">
        <v>51</v>
      </c>
      <c r="C17" s="10" t="s">
        <v>14</v>
      </c>
      <c r="D17" s="12" t="s">
        <v>52</v>
      </c>
      <c r="E17" s="11" t="n">
        <v>0.524</v>
      </c>
      <c r="F17" s="12"/>
      <c r="G17" s="12"/>
      <c r="H17" s="12"/>
      <c r="I17" s="13"/>
      <c r="J17" s="13"/>
      <c r="K17" s="13" t="n">
        <v>110</v>
      </c>
    </row>
    <row r="18" customFormat="false" ht="15" hidden="false" customHeight="true" outlineLevel="0" collapsed="false">
      <c r="A18" s="9" t="s">
        <v>53</v>
      </c>
      <c r="B18" s="9" t="s">
        <v>54</v>
      </c>
      <c r="C18" s="10" t="s">
        <v>14</v>
      </c>
      <c r="D18" s="9" t="s">
        <v>53</v>
      </c>
      <c r="E18" s="11" t="n">
        <v>0.546</v>
      </c>
      <c r="F18" s="12"/>
      <c r="G18" s="12"/>
      <c r="H18" s="12"/>
      <c r="I18" s="13"/>
      <c r="J18" s="13"/>
      <c r="K18" s="13" t="n">
        <v>104</v>
      </c>
    </row>
    <row r="19" customFormat="false" ht="15" hidden="false" customHeight="true" outlineLevel="0" collapsed="false">
      <c r="A19" s="9" t="s">
        <v>55</v>
      </c>
      <c r="B19" s="9" t="s">
        <v>56</v>
      </c>
      <c r="C19" s="10" t="s">
        <v>14</v>
      </c>
      <c r="D19" s="9" t="s">
        <v>56</v>
      </c>
      <c r="E19" s="11" t="n">
        <v>0.566</v>
      </c>
      <c r="F19" s="12"/>
      <c r="G19" s="12"/>
      <c r="H19" s="12"/>
      <c r="I19" s="13"/>
      <c r="J19" s="13"/>
      <c r="K19" s="13" t="n">
        <v>-120</v>
      </c>
    </row>
    <row r="20" customFormat="false" ht="15" hidden="false" customHeight="true" outlineLevel="0" collapsed="false">
      <c r="A20" s="9" t="s">
        <v>57</v>
      </c>
      <c r="B20" s="9" t="s">
        <v>58</v>
      </c>
      <c r="C20" s="10" t="s">
        <v>14</v>
      </c>
      <c r="D20" s="9" t="s">
        <v>58</v>
      </c>
      <c r="E20" s="11" t="n">
        <v>0.633</v>
      </c>
      <c r="F20" s="12"/>
      <c r="G20" s="12"/>
      <c r="H20" s="12"/>
      <c r="I20" s="13"/>
      <c r="J20" s="13"/>
      <c r="K20" s="13" t="n">
        <v>104</v>
      </c>
      <c r="M20" s="1"/>
      <c r="N20" s="1"/>
    </row>
    <row r="21" customFormat="false" ht="15" hidden="false" customHeight="true" outlineLevel="0" collapsed="false">
      <c r="A21" s="9" t="s">
        <v>59</v>
      </c>
      <c r="B21" s="9" t="s">
        <v>60</v>
      </c>
      <c r="C21" s="10" t="s">
        <v>14</v>
      </c>
      <c r="D21" s="9" t="s">
        <v>59</v>
      </c>
      <c r="E21" s="11" t="n">
        <v>0.672</v>
      </c>
      <c r="F21" s="12"/>
      <c r="G21" s="12"/>
      <c r="H21" s="12"/>
      <c r="I21" s="13"/>
      <c r="J21" s="13"/>
      <c r="K21" s="13" t="n">
        <v>-105</v>
      </c>
      <c r="M21" s="1"/>
      <c r="N21" s="1"/>
    </row>
    <row r="22" customFormat="false" ht="15" hidden="false" customHeight="true" outlineLevel="0" collapsed="false">
      <c r="A22" s="9" t="s">
        <v>61</v>
      </c>
      <c r="B22" s="9" t="s">
        <v>62</v>
      </c>
      <c r="C22" s="10" t="s">
        <v>14</v>
      </c>
      <c r="D22" s="9" t="s">
        <v>61</v>
      </c>
      <c r="E22" s="11" t="n">
        <v>0.587</v>
      </c>
      <c r="F22" s="12"/>
      <c r="G22" s="12"/>
      <c r="H22" s="12"/>
      <c r="I22" s="13"/>
      <c r="J22" s="13"/>
      <c r="K22" s="13" t="n">
        <v>-117</v>
      </c>
      <c r="M22" s="1"/>
      <c r="N22" s="1"/>
    </row>
    <row r="23" customFormat="false" ht="15" hidden="false" customHeight="true" outlineLevel="0" collapsed="false">
      <c r="A23" s="9" t="s">
        <v>63</v>
      </c>
      <c r="B23" s="9" t="s">
        <v>64</v>
      </c>
      <c r="C23" s="10" t="s">
        <v>14</v>
      </c>
      <c r="D23" s="12" t="s">
        <v>63</v>
      </c>
      <c r="E23" s="11" t="n">
        <v>0.58</v>
      </c>
      <c r="F23" s="12"/>
      <c r="G23" s="12"/>
      <c r="H23" s="12"/>
      <c r="I23" s="13"/>
      <c r="J23" s="13"/>
      <c r="K23" s="13" t="n">
        <v>-149</v>
      </c>
    </row>
    <row r="24" customFormat="false" ht="15" hidden="false" customHeight="true" outlineLevel="0" collapsed="false">
      <c r="A24" s="9" t="s">
        <v>65</v>
      </c>
      <c r="B24" s="9" t="s">
        <v>66</v>
      </c>
      <c r="C24" s="10" t="s">
        <v>14</v>
      </c>
      <c r="D24" s="9" t="s">
        <v>65</v>
      </c>
      <c r="E24" s="11" t="n">
        <v>0.588</v>
      </c>
      <c r="F24" s="12"/>
      <c r="G24" s="12"/>
      <c r="H24" s="12"/>
      <c r="I24" s="13"/>
      <c r="J24" s="13"/>
      <c r="K24" s="13" t="n">
        <v>-120</v>
      </c>
    </row>
    <row r="25" customFormat="false" ht="15" hidden="false" customHeight="true" outlineLevel="0" collapsed="false">
      <c r="A25" s="9" t="s">
        <v>67</v>
      </c>
      <c r="B25" s="9" t="s">
        <v>68</v>
      </c>
      <c r="C25" s="10" t="s">
        <v>14</v>
      </c>
      <c r="D25" s="9" t="s">
        <v>68</v>
      </c>
      <c r="E25" s="11" t="n">
        <v>0.599</v>
      </c>
      <c r="F25" s="12"/>
      <c r="G25" s="12"/>
      <c r="H25" s="12"/>
      <c r="I25" s="13"/>
      <c r="J25" s="13"/>
      <c r="K25" s="13" t="n">
        <v>113</v>
      </c>
      <c r="S25" s="19"/>
    </row>
    <row r="26" customFormat="false" ht="15" hidden="false" customHeight="true" outlineLevel="0" collapsed="false">
      <c r="A26" s="9" t="s">
        <v>69</v>
      </c>
      <c r="B26" s="9" t="s">
        <v>70</v>
      </c>
      <c r="C26" s="10" t="s">
        <v>14</v>
      </c>
      <c r="D26" s="9" t="s">
        <v>69</v>
      </c>
      <c r="E26" s="11" t="n">
        <v>0.621</v>
      </c>
      <c r="F26" s="12"/>
      <c r="G26" s="12"/>
      <c r="H26" s="12"/>
      <c r="I26" s="13"/>
      <c r="J26" s="13"/>
      <c r="K26" s="13" t="n">
        <v>-135</v>
      </c>
    </row>
    <row r="27" customFormat="false" ht="15" hidden="false" customHeight="true" outlineLevel="0" collapsed="false">
      <c r="A27" s="9" t="s">
        <v>71</v>
      </c>
      <c r="B27" s="9" t="s">
        <v>72</v>
      </c>
      <c r="C27" s="10" t="s">
        <v>14</v>
      </c>
      <c r="D27" s="9" t="s">
        <v>72</v>
      </c>
      <c r="E27" s="11" t="n">
        <v>0.544</v>
      </c>
      <c r="F27" s="12"/>
      <c r="G27" s="12"/>
      <c r="H27" s="12"/>
      <c r="I27" s="13"/>
      <c r="J27" s="13"/>
      <c r="K27" s="13" t="n">
        <v>-128</v>
      </c>
    </row>
    <row r="28" customFormat="false" ht="15" hidden="false" customHeight="true" outlineLevel="0" collapsed="false">
      <c r="A28" s="9" t="s">
        <v>73</v>
      </c>
      <c r="B28" s="9" t="s">
        <v>74</v>
      </c>
      <c r="C28" s="10" t="s">
        <v>14</v>
      </c>
      <c r="D28" s="9" t="s">
        <v>74</v>
      </c>
      <c r="E28" s="11" t="n">
        <v>0.506</v>
      </c>
      <c r="F28" s="12"/>
      <c r="G28" s="12"/>
      <c r="H28" s="12"/>
      <c r="I28" s="13"/>
      <c r="J28" s="13"/>
      <c r="K28" s="13" t="n">
        <v>115</v>
      </c>
    </row>
    <row r="29" s="3" customFormat="true" ht="15" hidden="false" customHeight="true" outlineLevel="0" collapsed="false">
      <c r="A29" s="9" t="s">
        <v>75</v>
      </c>
      <c r="B29" s="9" t="s">
        <v>76</v>
      </c>
      <c r="C29" s="10" t="s">
        <v>14</v>
      </c>
      <c r="D29" s="9" t="s">
        <v>75</v>
      </c>
      <c r="E29" s="11" t="n">
        <v>0.56</v>
      </c>
      <c r="F29" s="12"/>
      <c r="G29" s="12"/>
      <c r="H29" s="12"/>
      <c r="I29" s="13"/>
      <c r="J29" s="13"/>
      <c r="K29" s="13" t="n">
        <v>-115</v>
      </c>
    </row>
    <row r="30" s="3" customFormat="true" ht="15" hidden="false" customHeight="true" outlineLevel="0" collapsed="false">
      <c r="A30" s="9" t="s">
        <v>77</v>
      </c>
      <c r="B30" s="9" t="s">
        <v>78</v>
      </c>
      <c r="C30" s="10" t="s">
        <v>14</v>
      </c>
      <c r="D30" s="9" t="s">
        <v>79</v>
      </c>
      <c r="E30" s="11" t="n">
        <v>0.678</v>
      </c>
      <c r="F30" s="12"/>
      <c r="G30" s="12"/>
      <c r="H30" s="12"/>
      <c r="I30" s="13"/>
      <c r="J30" s="13"/>
      <c r="K30" s="13" t="n">
        <v>-130</v>
      </c>
    </row>
    <row r="31" s="17" customFormat="true" ht="15" hidden="true" customHeight="true" outlineLevel="0" collapsed="false">
      <c r="A31" s="9"/>
      <c r="B31" s="9"/>
      <c r="C31" s="10" t="s">
        <v>35</v>
      </c>
      <c r="D31" s="9"/>
      <c r="E31" s="11"/>
      <c r="F31" s="12"/>
      <c r="G31" s="12"/>
      <c r="H31" s="12"/>
      <c r="I31" s="13"/>
      <c r="J31" s="13"/>
      <c r="K31" s="13"/>
      <c r="M31" s="18"/>
      <c r="N31" s="18"/>
      <c r="O31" s="18"/>
      <c r="P31" s="18"/>
      <c r="Q31" s="18"/>
      <c r="R31" s="18"/>
      <c r="S31" s="18"/>
    </row>
    <row r="32" s="3" customFormat="true" ht="15" hidden="true" customHeight="true" outlineLevel="0" collapsed="false">
      <c r="A32" s="9"/>
      <c r="B32" s="9"/>
      <c r="C32" s="10" t="s">
        <v>14</v>
      </c>
      <c r="D32" s="9"/>
      <c r="E32" s="11"/>
      <c r="F32" s="12"/>
      <c r="G32" s="12"/>
      <c r="H32" s="12"/>
      <c r="I32" s="13"/>
      <c r="J32" s="13"/>
      <c r="K32" s="13"/>
    </row>
    <row r="33" s="3" customFormat="true" ht="15" hidden="true" customHeight="true" outlineLevel="0" collapsed="false">
      <c r="A33" s="12"/>
      <c r="B33" s="12"/>
      <c r="C33" s="10" t="s">
        <v>14</v>
      </c>
      <c r="D33" s="12"/>
      <c r="E33" s="11"/>
      <c r="F33" s="12"/>
      <c r="G33" s="12"/>
      <c r="H33" s="12"/>
      <c r="I33" s="13"/>
      <c r="J33" s="13"/>
      <c r="K33" s="13"/>
    </row>
    <row r="34" s="3" customFormat="true" ht="15" hidden="true" customHeight="true" outlineLevel="0" collapsed="false">
      <c r="A34" s="12"/>
      <c r="B34" s="12"/>
      <c r="C34" s="10" t="s">
        <v>14</v>
      </c>
      <c r="D34" s="12"/>
      <c r="E34" s="11"/>
      <c r="F34" s="12"/>
      <c r="G34" s="12"/>
      <c r="H34" s="12"/>
      <c r="I34" s="13"/>
      <c r="J34" s="13"/>
      <c r="K34" s="13"/>
    </row>
    <row r="35" s="3" customFormat="true" ht="15" hidden="true" customHeight="true" outlineLevel="0" collapsed="false">
      <c r="A35" s="12"/>
      <c r="B35" s="12"/>
      <c r="C35" s="10" t="s">
        <v>14</v>
      </c>
      <c r="D35" s="12"/>
      <c r="E35" s="11"/>
      <c r="F35" s="12"/>
      <c r="G35" s="12"/>
      <c r="H35" s="12"/>
      <c r="I35" s="13"/>
      <c r="J35" s="13"/>
      <c r="K35" s="13"/>
    </row>
    <row r="36" s="3" customFormat="true" ht="15" hidden="true" customHeight="true" outlineLevel="0" collapsed="false">
      <c r="A36" s="9"/>
      <c r="B36" s="9"/>
      <c r="C36" s="10" t="s">
        <v>14</v>
      </c>
      <c r="D36" s="9"/>
      <c r="E36" s="11"/>
      <c r="F36" s="12"/>
      <c r="G36" s="12"/>
      <c r="H36" s="12"/>
      <c r="I36" s="13"/>
      <c r="J36" s="13"/>
      <c r="K36" s="13"/>
    </row>
    <row r="37" s="3" customFormat="true" ht="15" hidden="true" customHeight="true" outlineLevel="0" collapsed="false">
      <c r="A37" s="9"/>
      <c r="B37" s="9"/>
      <c r="C37" s="10" t="s">
        <v>14</v>
      </c>
      <c r="D37" s="9"/>
      <c r="E37" s="11"/>
      <c r="F37" s="12"/>
      <c r="G37" s="12"/>
      <c r="H37" s="12"/>
      <c r="I37" s="13"/>
      <c r="J37" s="13"/>
      <c r="K37" s="13"/>
    </row>
    <row r="38" s="3" customFormat="true" ht="15" hidden="true" customHeight="true" outlineLevel="0" collapsed="false">
      <c r="A38" s="9"/>
      <c r="B38" s="9"/>
      <c r="C38" s="10" t="s">
        <v>14</v>
      </c>
      <c r="D38" s="9"/>
      <c r="E38" s="11"/>
      <c r="F38" s="12"/>
      <c r="G38" s="12"/>
      <c r="H38" s="12"/>
      <c r="I38" s="13"/>
      <c r="J38" s="13"/>
      <c r="K38" s="13"/>
    </row>
    <row r="39" s="3" customFormat="true" ht="15" hidden="true" customHeight="true" outlineLevel="0" collapsed="false">
      <c r="A39" s="12"/>
      <c r="B39" s="12"/>
      <c r="C39" s="10" t="s">
        <v>14</v>
      </c>
      <c r="D39" s="12"/>
      <c r="E39" s="11"/>
      <c r="F39" s="9"/>
      <c r="G39" s="9"/>
      <c r="H39" s="9"/>
      <c r="I39" s="13"/>
      <c r="J39" s="13"/>
      <c r="K39" s="13"/>
    </row>
    <row r="40" s="3" customFormat="true" ht="15" hidden="true" customHeight="true" outlineLevel="0" collapsed="false">
      <c r="A40" s="12"/>
      <c r="B40" s="12"/>
      <c r="C40" s="10" t="s">
        <v>14</v>
      </c>
      <c r="D40" s="12"/>
      <c r="E40" s="11"/>
      <c r="F40" s="12"/>
      <c r="G40" s="9"/>
      <c r="H40" s="20"/>
      <c r="I40" s="13"/>
      <c r="J40" s="13"/>
      <c r="K40" s="13"/>
    </row>
    <row r="41" s="3" customFormat="true" ht="15" hidden="true" customHeight="true" outlineLevel="0" collapsed="false">
      <c r="A41" s="12"/>
      <c r="B41" s="12"/>
      <c r="C41" s="10" t="s">
        <v>14</v>
      </c>
      <c r="D41" s="12"/>
      <c r="E41" s="11"/>
      <c r="F41" s="9"/>
      <c r="G41" s="9"/>
      <c r="H41" s="9"/>
      <c r="I41" s="13"/>
      <c r="J41" s="13"/>
      <c r="K41" s="13"/>
    </row>
    <row r="42" s="3" customFormat="true" ht="15" hidden="true" customHeight="true" outlineLevel="0" collapsed="false">
      <c r="A42" s="12"/>
      <c r="B42" s="12"/>
      <c r="C42" s="10" t="s">
        <v>14</v>
      </c>
      <c r="D42" s="12"/>
      <c r="E42" s="11"/>
      <c r="F42" s="9"/>
      <c r="G42" s="9"/>
      <c r="H42" s="9"/>
      <c r="I42" s="13"/>
      <c r="J42" s="13"/>
      <c r="K42" s="13"/>
    </row>
    <row r="43" s="3" customFormat="true" ht="15" hidden="true" customHeight="true" outlineLevel="0" collapsed="false">
      <c r="A43" s="12"/>
      <c r="B43" s="12"/>
      <c r="C43" s="10" t="s">
        <v>14</v>
      </c>
      <c r="D43" s="12"/>
      <c r="E43" s="11"/>
      <c r="F43" s="9"/>
      <c r="G43" s="9"/>
      <c r="H43" s="9"/>
      <c r="I43" s="13"/>
      <c r="J43" s="13"/>
      <c r="K43" s="13"/>
    </row>
    <row r="44" s="3" customFormat="true" ht="15" hidden="true" customHeight="true" outlineLevel="0" collapsed="false">
      <c r="A44" s="12"/>
      <c r="B44" s="12"/>
      <c r="C44" s="10" t="s">
        <v>14</v>
      </c>
      <c r="D44" s="12"/>
      <c r="E44" s="11"/>
      <c r="F44" s="9"/>
      <c r="G44" s="9"/>
      <c r="H44" s="9"/>
      <c r="I44" s="13"/>
      <c r="J44" s="13"/>
      <c r="K44" s="13"/>
    </row>
    <row r="45" s="3" customFormat="true" ht="15" hidden="true" customHeight="true" outlineLevel="0" collapsed="false">
      <c r="A45" s="12"/>
      <c r="B45" s="12"/>
      <c r="C45" s="10" t="s">
        <v>14</v>
      </c>
      <c r="D45" s="12"/>
      <c r="E45" s="11"/>
      <c r="F45" s="9"/>
      <c r="G45" s="9"/>
      <c r="H45" s="9"/>
      <c r="I45" s="13"/>
      <c r="J45" s="13"/>
      <c r="K45" s="13"/>
    </row>
    <row r="46" s="3" customFormat="true" ht="15" hidden="true" customHeight="true" outlineLevel="0" collapsed="false">
      <c r="A46" s="12"/>
      <c r="B46" s="12"/>
      <c r="C46" s="10" t="s">
        <v>14</v>
      </c>
      <c r="D46" s="12"/>
      <c r="E46" s="11"/>
      <c r="F46" s="9"/>
      <c r="G46" s="9"/>
      <c r="H46" s="9"/>
      <c r="I46" s="13"/>
      <c r="J46" s="13"/>
      <c r="K46" s="13"/>
    </row>
    <row r="47" s="3" customFormat="true" ht="15" hidden="true" customHeight="true" outlineLevel="0" collapsed="false">
      <c r="A47" s="12"/>
      <c r="B47" s="12"/>
      <c r="C47" s="10" t="s">
        <v>14</v>
      </c>
      <c r="D47" s="12"/>
      <c r="E47" s="11"/>
      <c r="F47" s="9"/>
      <c r="G47" s="9"/>
      <c r="H47" s="9"/>
      <c r="I47" s="13"/>
      <c r="J47" s="13"/>
      <c r="K47" s="13"/>
    </row>
    <row r="48" s="3" customFormat="true" ht="15" hidden="true" customHeight="true" outlineLevel="0" collapsed="false">
      <c r="A48" s="12"/>
      <c r="B48" s="12"/>
      <c r="C48" s="10" t="s">
        <v>14</v>
      </c>
      <c r="D48" s="12"/>
      <c r="E48" s="11"/>
      <c r="F48" s="9"/>
      <c r="G48" s="9"/>
      <c r="H48" s="9"/>
      <c r="I48" s="13"/>
      <c r="J48" s="13"/>
      <c r="K48" s="21"/>
    </row>
    <row r="49" s="3" customFormat="true" ht="15" hidden="true" customHeight="true" outlineLevel="0" collapsed="false">
      <c r="A49" s="12"/>
      <c r="B49" s="12"/>
      <c r="C49" s="10" t="s">
        <v>14</v>
      </c>
      <c r="D49" s="12"/>
      <c r="E49" s="11"/>
      <c r="F49" s="9"/>
      <c r="G49" s="9"/>
      <c r="H49" s="9"/>
      <c r="I49" s="13"/>
      <c r="J49" s="13"/>
      <c r="K49" s="21"/>
    </row>
    <row r="50" s="3" customFormat="true" ht="15" hidden="true" customHeight="true" outlineLevel="0" collapsed="false">
      <c r="A50" s="9"/>
      <c r="B50" s="9"/>
      <c r="C50" s="10" t="s">
        <v>14</v>
      </c>
      <c r="D50" s="9"/>
      <c r="E50" s="11"/>
      <c r="F50" s="9"/>
      <c r="G50" s="9"/>
      <c r="H50" s="9"/>
      <c r="I50" s="13"/>
      <c r="J50" s="13"/>
      <c r="K50" s="21"/>
    </row>
    <row r="51" s="3" customFormat="true" ht="15" hidden="true" customHeight="true" outlineLevel="0" collapsed="false">
      <c r="A51" s="9"/>
      <c r="B51" s="9"/>
      <c r="C51" s="10" t="s">
        <v>14</v>
      </c>
      <c r="D51" s="9"/>
      <c r="E51" s="11"/>
      <c r="F51" s="9"/>
      <c r="G51" s="9"/>
      <c r="H51" s="9"/>
      <c r="I51" s="13"/>
      <c r="J51" s="13"/>
      <c r="K51" s="21"/>
    </row>
    <row r="52" s="3" customFormat="true" ht="15" hidden="true" customHeight="true" outlineLevel="0" collapsed="false">
      <c r="A52" s="12"/>
      <c r="B52" s="12"/>
      <c r="C52" s="10" t="s">
        <v>14</v>
      </c>
      <c r="D52" s="12"/>
      <c r="E52" s="11"/>
      <c r="F52" s="12"/>
      <c r="G52" s="12"/>
      <c r="H52" s="12"/>
      <c r="I52" s="13"/>
      <c r="J52" s="13"/>
      <c r="K52" s="21"/>
    </row>
    <row r="53" s="3" customFormat="true" ht="15" hidden="true" customHeight="true" outlineLevel="0" collapsed="false">
      <c r="A53" s="12"/>
      <c r="B53" s="12"/>
      <c r="C53" s="10" t="s">
        <v>14</v>
      </c>
      <c r="D53" s="12"/>
      <c r="E53" s="11"/>
      <c r="F53" s="12"/>
      <c r="G53" s="12"/>
      <c r="H53" s="12"/>
      <c r="I53" s="13"/>
      <c r="J53" s="13"/>
      <c r="K53" s="21"/>
    </row>
    <row r="54" s="3" customFormat="true" ht="15" hidden="true" customHeight="true" outlineLevel="0" collapsed="false">
      <c r="A54" s="12"/>
      <c r="B54" s="12"/>
      <c r="C54" s="10" t="s">
        <v>14</v>
      </c>
      <c r="D54" s="12"/>
      <c r="E54" s="11"/>
      <c r="F54" s="12"/>
      <c r="G54" s="12"/>
      <c r="H54" s="12"/>
      <c r="I54" s="13"/>
      <c r="J54" s="13"/>
      <c r="K54" s="21"/>
    </row>
    <row r="55" s="3" customFormat="true" ht="15" hidden="true" customHeight="true" outlineLevel="0" collapsed="false">
      <c r="A55" s="12"/>
      <c r="B55" s="12"/>
      <c r="C55" s="10" t="s">
        <v>14</v>
      </c>
      <c r="D55" s="12"/>
      <c r="E55" s="11"/>
      <c r="F55" s="12"/>
      <c r="G55" s="12"/>
      <c r="H55" s="12"/>
      <c r="I55" s="13"/>
      <c r="J55" s="13"/>
      <c r="K55" s="21"/>
    </row>
    <row r="56" s="3" customFormat="true" ht="15" hidden="true" customHeight="true" outlineLevel="0" collapsed="false">
      <c r="A56" s="12"/>
      <c r="B56" s="12"/>
      <c r="C56" s="10" t="s">
        <v>14</v>
      </c>
      <c r="D56" s="12"/>
      <c r="E56" s="11"/>
      <c r="F56" s="12"/>
      <c r="G56" s="12"/>
      <c r="H56" s="12"/>
      <c r="I56" s="13"/>
      <c r="J56" s="13"/>
      <c r="K56" s="21"/>
    </row>
    <row r="57" s="3" customFormat="true" ht="15" hidden="true" customHeight="true" outlineLevel="0" collapsed="false">
      <c r="A57" s="12"/>
      <c r="B57" s="12"/>
      <c r="C57" s="10" t="s">
        <v>14</v>
      </c>
      <c r="D57" s="12"/>
      <c r="E57" s="11"/>
      <c r="F57" s="12"/>
      <c r="G57" s="12"/>
      <c r="H57" s="12"/>
      <c r="I57" s="22"/>
      <c r="J57" s="13"/>
      <c r="K57" s="23"/>
      <c r="N57" s="3" t="n">
        <v>22</v>
      </c>
    </row>
    <row r="58" s="3" customFormat="true" ht="15" hidden="true" customHeight="true" outlineLevel="0" collapsed="false">
      <c r="A58" s="12"/>
      <c r="B58" s="12"/>
      <c r="C58" s="10" t="s">
        <v>14</v>
      </c>
      <c r="D58" s="12"/>
      <c r="E58" s="11"/>
      <c r="F58" s="12"/>
      <c r="G58" s="12"/>
      <c r="H58" s="12"/>
      <c r="I58" s="22"/>
      <c r="J58" s="13"/>
      <c r="K58" s="23"/>
    </row>
    <row r="59" s="3" customFormat="true" ht="15" hidden="true" customHeight="true" outlineLevel="0" collapsed="false">
      <c r="A59" s="12"/>
      <c r="B59" s="12"/>
      <c r="C59" s="10" t="s">
        <v>14</v>
      </c>
      <c r="D59" s="12"/>
      <c r="E59" s="11"/>
      <c r="F59" s="12"/>
      <c r="G59" s="12"/>
      <c r="H59" s="12"/>
      <c r="I59" s="22"/>
      <c r="J59" s="13"/>
      <c r="K59" s="23"/>
    </row>
    <row r="60" s="3" customFormat="true" ht="15" hidden="true" customHeight="true" outlineLevel="0" collapsed="false">
      <c r="A60" s="12"/>
      <c r="B60" s="12"/>
      <c r="C60" s="10" t="s">
        <v>14</v>
      </c>
      <c r="D60" s="12"/>
      <c r="E60" s="11"/>
      <c r="F60" s="12"/>
      <c r="G60" s="12"/>
      <c r="H60" s="12"/>
      <c r="I60" s="22"/>
      <c r="J60" s="13"/>
      <c r="K60" s="23"/>
    </row>
    <row r="61" s="3" customFormat="true" ht="15" hidden="true" customHeight="true" outlineLevel="0" collapsed="false">
      <c r="A61" s="12"/>
      <c r="B61" s="12"/>
      <c r="C61" s="10" t="s">
        <v>14</v>
      </c>
      <c r="D61" s="12"/>
      <c r="E61" s="11"/>
      <c r="F61" s="12"/>
      <c r="G61" s="12"/>
      <c r="H61" s="12"/>
      <c r="I61" s="22"/>
      <c r="J61" s="22"/>
      <c r="K61" s="23"/>
    </row>
    <row r="62" s="3" customFormat="true" ht="15" hidden="true" customHeight="true" outlineLevel="0" collapsed="false">
      <c r="A62" s="12"/>
      <c r="B62" s="12"/>
      <c r="C62" s="10" t="s">
        <v>14</v>
      </c>
      <c r="D62" s="12"/>
      <c r="E62" s="11"/>
      <c r="F62" s="12"/>
      <c r="G62" s="12"/>
      <c r="H62" s="12"/>
      <c r="I62" s="22"/>
      <c r="J62" s="22"/>
      <c r="K62" s="23"/>
    </row>
    <row r="63" s="3" customFormat="true" ht="15" hidden="true" customHeight="true" outlineLevel="0" collapsed="false">
      <c r="A63" s="12"/>
      <c r="B63" s="12"/>
      <c r="C63" s="10" t="s">
        <v>14</v>
      </c>
      <c r="D63" s="12"/>
      <c r="E63" s="24"/>
      <c r="F63" s="12"/>
      <c r="G63" s="12"/>
      <c r="H63" s="12"/>
      <c r="I63" s="22"/>
      <c r="J63" s="22"/>
      <c r="K63" s="23"/>
    </row>
    <row r="64" s="3" customFormat="true" ht="15" hidden="true" customHeight="true" outlineLevel="0" collapsed="false">
      <c r="A64" s="12"/>
      <c r="B64" s="12"/>
      <c r="C64" s="10" t="s">
        <v>14</v>
      </c>
      <c r="D64" s="12"/>
      <c r="E64" s="24"/>
      <c r="F64" s="12"/>
      <c r="G64" s="12"/>
      <c r="H64" s="12"/>
      <c r="I64" s="13"/>
      <c r="J64" s="13"/>
      <c r="K64" s="21"/>
    </row>
    <row r="65" s="3" customFormat="true" ht="15" hidden="true" customHeight="true" outlineLevel="0" collapsed="false">
      <c r="A65" s="12"/>
      <c r="B65" s="12"/>
      <c r="C65" s="10" t="s">
        <v>14</v>
      </c>
      <c r="D65" s="12"/>
      <c r="E65" s="25"/>
      <c r="F65" s="26"/>
      <c r="G65" s="26"/>
      <c r="H65" s="26"/>
      <c r="I65" s="22"/>
      <c r="J65" s="22"/>
      <c r="K65" s="23"/>
    </row>
    <row r="66" s="3" customFormat="true" ht="15" hidden="true" customHeight="true" outlineLevel="0" collapsed="false">
      <c r="A66" s="12"/>
      <c r="B66" s="12"/>
      <c r="C66" s="10" t="s">
        <v>14</v>
      </c>
      <c r="D66" s="12"/>
      <c r="E66" s="25"/>
      <c r="F66" s="26"/>
      <c r="G66" s="26"/>
      <c r="H66" s="26"/>
      <c r="I66" s="22"/>
      <c r="J66" s="22"/>
      <c r="K66" s="23"/>
    </row>
    <row r="67" s="3" customFormat="true" ht="15" hidden="true" customHeight="true" outlineLevel="0" collapsed="false">
      <c r="A67" s="12"/>
      <c r="B67" s="12"/>
      <c r="C67" s="10" t="s">
        <v>14</v>
      </c>
      <c r="D67" s="12"/>
      <c r="E67" s="25"/>
      <c r="F67" s="26"/>
      <c r="G67" s="26"/>
      <c r="H67" s="26"/>
      <c r="I67" s="22"/>
      <c r="J67" s="22"/>
      <c r="K67" s="23"/>
    </row>
    <row r="68" s="3" customFormat="true" ht="15" hidden="true" customHeight="true" outlineLevel="0" collapsed="false">
      <c r="A68" s="12"/>
      <c r="B68" s="12"/>
      <c r="C68" s="10" t="s">
        <v>14</v>
      </c>
      <c r="D68" s="12"/>
      <c r="E68" s="25"/>
      <c r="F68" s="9"/>
      <c r="G68" s="27"/>
      <c r="H68" s="27"/>
      <c r="I68" s="22"/>
      <c r="J68" s="22"/>
      <c r="K68" s="23"/>
    </row>
    <row r="69" s="3" customFormat="true" ht="15" hidden="true" customHeight="true" outlineLevel="0" collapsed="false">
      <c r="A69" s="12"/>
      <c r="B69" s="12"/>
      <c r="C69" s="10" t="s">
        <v>14</v>
      </c>
      <c r="D69" s="12"/>
      <c r="E69" s="25"/>
      <c r="F69" s="26"/>
      <c r="G69" s="26"/>
      <c r="H69" s="26"/>
      <c r="I69" s="22"/>
      <c r="J69" s="22"/>
      <c r="K69" s="23"/>
    </row>
    <row r="70" s="3" customFormat="true" ht="15" hidden="true" customHeight="true" outlineLevel="0" collapsed="false">
      <c r="A70" s="12"/>
      <c r="B70" s="12"/>
      <c r="C70" s="10" t="s">
        <v>14</v>
      </c>
      <c r="D70" s="12"/>
      <c r="E70" s="25"/>
      <c r="F70" s="26"/>
      <c r="G70" s="26"/>
      <c r="H70" s="26"/>
      <c r="I70" s="22"/>
      <c r="J70" s="22"/>
      <c r="K70" s="23"/>
    </row>
    <row r="71" s="3" customFormat="true" ht="15" hidden="true" customHeight="true" outlineLevel="0" collapsed="false">
      <c r="A71" s="12"/>
      <c r="B71" s="12"/>
      <c r="C71" s="10" t="s">
        <v>14</v>
      </c>
      <c r="D71" s="12"/>
      <c r="E71" s="25"/>
      <c r="F71" s="26"/>
      <c r="G71" s="26"/>
      <c r="H71" s="26"/>
      <c r="I71" s="22"/>
      <c r="J71" s="22"/>
      <c r="K71" s="23"/>
    </row>
    <row r="72" s="3" customFormat="true" ht="15" hidden="true" customHeight="true" outlineLevel="0" collapsed="false">
      <c r="A72" s="12"/>
      <c r="B72" s="12"/>
      <c r="C72" s="10" t="s">
        <v>14</v>
      </c>
      <c r="D72" s="12"/>
      <c r="E72" s="24"/>
      <c r="F72" s="12"/>
      <c r="G72" s="12"/>
      <c r="H72" s="12"/>
      <c r="I72" s="22"/>
      <c r="J72" s="22"/>
      <c r="K72" s="23"/>
      <c r="N72" s="3" t="s">
        <v>80</v>
      </c>
    </row>
    <row r="73" s="3" customFormat="true" ht="15" hidden="true" customHeight="true" outlineLevel="0" collapsed="false">
      <c r="A73" s="12"/>
      <c r="B73" s="12"/>
      <c r="C73" s="10" t="s">
        <v>14</v>
      </c>
      <c r="D73" s="12"/>
      <c r="E73" s="24"/>
      <c r="F73" s="12"/>
      <c r="G73" s="12"/>
      <c r="H73" s="12"/>
      <c r="I73" s="22"/>
      <c r="J73" s="22"/>
      <c r="K73" s="23"/>
    </row>
    <row r="74" s="3" customFormat="true" ht="15" hidden="true" customHeight="true" outlineLevel="0" collapsed="false">
      <c r="A74" s="12"/>
      <c r="B74" s="12"/>
      <c r="C74" s="10" t="s">
        <v>14</v>
      </c>
      <c r="D74" s="9"/>
      <c r="E74" s="24"/>
      <c r="F74" s="12"/>
      <c r="G74" s="12"/>
      <c r="H74" s="12"/>
      <c r="I74" s="22"/>
      <c r="J74" s="22"/>
      <c r="K74" s="23"/>
    </row>
    <row r="75" s="3" customFormat="true" ht="15" hidden="true" customHeight="true" outlineLevel="0" collapsed="false">
      <c r="A75" s="12"/>
      <c r="B75" s="12"/>
      <c r="C75" s="10" t="s">
        <v>14</v>
      </c>
      <c r="D75" s="9"/>
      <c r="E75" s="24"/>
      <c r="F75" s="12"/>
      <c r="G75" s="12"/>
      <c r="H75" s="12"/>
      <c r="I75" s="22"/>
      <c r="J75" s="22"/>
      <c r="K75" s="23"/>
    </row>
    <row r="76" s="3" customFormat="true" ht="15" hidden="true" customHeight="true" outlineLevel="0" collapsed="false">
      <c r="A76" s="12"/>
      <c r="B76" s="12"/>
      <c r="C76" s="10" t="s">
        <v>14</v>
      </c>
      <c r="D76" s="12"/>
      <c r="E76" s="24"/>
      <c r="F76" s="12"/>
      <c r="G76" s="12"/>
      <c r="H76" s="12"/>
      <c r="I76" s="22"/>
      <c r="J76" s="22"/>
      <c r="K76" s="23"/>
    </row>
    <row r="77" s="3" customFormat="true" ht="15" hidden="true" customHeight="true" outlineLevel="0" collapsed="false">
      <c r="A77" s="12"/>
      <c r="B77" s="12"/>
      <c r="C77" s="10" t="s">
        <v>14</v>
      </c>
      <c r="D77" s="12"/>
      <c r="E77" s="24"/>
      <c r="F77" s="12"/>
      <c r="G77" s="12"/>
      <c r="H77" s="12"/>
      <c r="I77" s="22"/>
      <c r="J77" s="22"/>
      <c r="K77" s="23"/>
    </row>
    <row r="78" s="3" customFormat="true" ht="15" hidden="true" customHeight="true" outlineLevel="0" collapsed="false">
      <c r="A78" s="12"/>
      <c r="B78" s="12"/>
      <c r="C78" s="10" t="s">
        <v>14</v>
      </c>
      <c r="D78" s="12"/>
      <c r="E78" s="24"/>
      <c r="F78" s="12"/>
      <c r="G78" s="12"/>
      <c r="H78" s="12"/>
      <c r="I78" s="22"/>
      <c r="J78" s="22"/>
      <c r="K78" s="23"/>
    </row>
    <row r="79" s="3" customFormat="true" ht="15" hidden="true" customHeight="true" outlineLevel="0" collapsed="false">
      <c r="A79" s="12"/>
      <c r="B79" s="12"/>
      <c r="C79" s="10" t="s">
        <v>14</v>
      </c>
      <c r="D79" s="12"/>
      <c r="E79" s="24"/>
      <c r="F79" s="12"/>
      <c r="G79" s="12"/>
      <c r="H79" s="12"/>
      <c r="I79" s="22"/>
      <c r="J79" s="22"/>
      <c r="K79" s="23"/>
    </row>
    <row r="80" s="3" customFormat="true" ht="15" hidden="true" customHeight="true" outlineLevel="0" collapsed="false">
      <c r="A80" s="12"/>
      <c r="B80" s="12"/>
      <c r="C80" s="10" t="s">
        <v>14</v>
      </c>
      <c r="D80" s="12"/>
      <c r="E80" s="24"/>
      <c r="F80" s="12"/>
      <c r="G80" s="12"/>
      <c r="H80" s="12"/>
      <c r="I80" s="22"/>
      <c r="J80" s="22"/>
      <c r="K80" s="23"/>
    </row>
    <row r="81" s="3" customFormat="true" ht="15" hidden="true" customHeight="true" outlineLevel="0" collapsed="false">
      <c r="A81" s="12"/>
      <c r="B81" s="12"/>
      <c r="C81" s="10" t="s">
        <v>14</v>
      </c>
      <c r="D81" s="12"/>
      <c r="E81" s="24"/>
      <c r="F81" s="12"/>
      <c r="G81" s="12"/>
      <c r="H81" s="12"/>
      <c r="I81" s="22"/>
      <c r="J81" s="22"/>
      <c r="K81" s="23"/>
    </row>
    <row r="82" s="3" customFormat="true" ht="15" hidden="true" customHeight="true" outlineLevel="0" collapsed="false">
      <c r="A82" s="12"/>
      <c r="B82" s="12"/>
      <c r="C82" s="10" t="s">
        <v>14</v>
      </c>
      <c r="D82" s="12"/>
      <c r="E82" s="24"/>
      <c r="F82" s="12"/>
      <c r="G82" s="12"/>
      <c r="H82" s="12"/>
      <c r="I82" s="22"/>
      <c r="J82" s="22"/>
      <c r="K82" s="23"/>
    </row>
    <row r="83" s="3" customFormat="true" ht="15" hidden="true" customHeight="true" outlineLevel="0" collapsed="false">
      <c r="A83" s="12"/>
      <c r="B83" s="12"/>
      <c r="C83" s="10" t="s">
        <v>14</v>
      </c>
      <c r="D83" s="12"/>
      <c r="E83" s="24"/>
      <c r="F83" s="12"/>
      <c r="G83" s="12"/>
      <c r="H83" s="12"/>
      <c r="I83" s="22"/>
      <c r="J83" s="22"/>
      <c r="K83" s="23"/>
    </row>
    <row r="84" s="3" customFormat="true" ht="15" hidden="true" customHeight="true" outlineLevel="0" collapsed="false">
      <c r="A84" s="12"/>
      <c r="B84" s="12"/>
      <c r="C84" s="10" t="s">
        <v>14</v>
      </c>
      <c r="D84" s="12"/>
      <c r="E84" s="24"/>
      <c r="F84" s="12"/>
      <c r="G84" s="12"/>
      <c r="H84" s="12"/>
      <c r="I84" s="22"/>
      <c r="J84" s="22"/>
      <c r="K84" s="7"/>
    </row>
    <row r="85" s="3" customFormat="true" ht="15" hidden="true" customHeight="true" outlineLevel="0" collapsed="false">
      <c r="A85" s="12"/>
      <c r="B85" s="12"/>
      <c r="C85" s="10" t="s">
        <v>14</v>
      </c>
      <c r="D85" s="12"/>
      <c r="E85" s="24"/>
      <c r="F85" s="12"/>
      <c r="G85" s="12"/>
      <c r="H85" s="12"/>
      <c r="I85" s="22"/>
      <c r="J85" s="22"/>
      <c r="K85" s="7"/>
    </row>
    <row r="86" s="3" customFormat="true" ht="15" hidden="true" customHeight="true" outlineLevel="0" collapsed="false">
      <c r="A86" s="9"/>
      <c r="B86" s="9"/>
      <c r="C86" s="10" t="s">
        <v>14</v>
      </c>
      <c r="D86" s="12"/>
      <c r="E86" s="24"/>
      <c r="F86" s="12"/>
      <c r="G86" s="12"/>
      <c r="H86" s="12"/>
      <c r="I86" s="22"/>
      <c r="J86" s="22"/>
      <c r="K86" s="7"/>
    </row>
    <row r="87" s="3" customFormat="true" ht="15" hidden="true" customHeight="true" outlineLevel="0" collapsed="false">
      <c r="A87" s="9"/>
      <c r="B87" s="9"/>
      <c r="C87" s="10" t="s">
        <v>14</v>
      </c>
      <c r="D87" s="12"/>
      <c r="E87" s="24"/>
      <c r="F87" s="12"/>
      <c r="G87" s="12"/>
      <c r="H87" s="12"/>
      <c r="I87" s="22"/>
      <c r="J87" s="22"/>
      <c r="K87" s="7"/>
    </row>
    <row r="88" s="3" customFormat="true" ht="15" hidden="true" customHeight="true" outlineLevel="0" collapsed="false">
      <c r="A88" s="12"/>
      <c r="B88" s="12"/>
      <c r="C88" s="10" t="s">
        <v>14</v>
      </c>
      <c r="D88" s="12"/>
      <c r="E88" s="24"/>
      <c r="F88" s="12"/>
      <c r="G88" s="12"/>
      <c r="H88" s="12"/>
      <c r="I88" s="22"/>
      <c r="J88" s="22"/>
      <c r="K88" s="7"/>
    </row>
    <row r="89" s="3" customFormat="true" ht="15" hidden="true" customHeight="true" outlineLevel="0" collapsed="false">
      <c r="A89" s="12"/>
      <c r="B89" s="12"/>
      <c r="C89" s="10" t="s">
        <v>14</v>
      </c>
      <c r="D89" s="12"/>
      <c r="E89" s="24"/>
      <c r="F89" s="12"/>
      <c r="G89" s="12"/>
      <c r="H89" s="12"/>
      <c r="I89" s="22"/>
      <c r="J89" s="22"/>
      <c r="K89" s="7"/>
    </row>
    <row r="90" s="3" customFormat="true" ht="15" hidden="true" customHeight="true" outlineLevel="0" collapsed="false">
      <c r="A90" s="12"/>
      <c r="B90" s="12"/>
      <c r="C90" s="10" t="s">
        <v>14</v>
      </c>
      <c r="D90" s="12"/>
      <c r="E90" s="24"/>
      <c r="F90" s="12"/>
      <c r="G90" s="12"/>
      <c r="H90" s="12"/>
      <c r="I90" s="22"/>
      <c r="J90" s="22"/>
      <c r="K90" s="7"/>
    </row>
    <row r="91" s="3" customFormat="true" ht="15" hidden="true" customHeight="true" outlineLevel="0" collapsed="false">
      <c r="A91" s="12"/>
      <c r="B91" s="12"/>
      <c r="C91" s="10" t="s">
        <v>14</v>
      </c>
      <c r="D91" s="12"/>
      <c r="E91" s="24"/>
      <c r="F91" s="12"/>
      <c r="G91" s="12"/>
      <c r="H91" s="12"/>
      <c r="I91" s="22"/>
      <c r="J91" s="22"/>
      <c r="K91" s="7"/>
    </row>
    <row r="92" s="3" customFormat="true" ht="14.25" hidden="false" customHeight="true" outlineLevel="0" collapsed="false">
      <c r="D92" s="18"/>
      <c r="E92" s="28" t="s">
        <v>81</v>
      </c>
      <c r="F92" s="23" t="n">
        <f aca="false">SUM(F2:F91)</f>
        <v>0</v>
      </c>
      <c r="G92" s="23" t="n">
        <f aca="false">SUM(G2:G91)</f>
        <v>0</v>
      </c>
      <c r="H92" s="23" t="n">
        <f aca="false">SUM(H2:H91)</f>
        <v>0</v>
      </c>
      <c r="I92" s="29" t="n">
        <f aca="false">SUM(I2:I91)</f>
        <v>0</v>
      </c>
    </row>
    <row r="93" s="3" customFormat="true" ht="15" hidden="false" customHeight="true" outlineLevel="0" collapsed="false">
      <c r="E93" s="28" t="s">
        <v>82</v>
      </c>
      <c r="F93" s="23" t="n">
        <f aca="false">F2+F4+F9+F10+F12+F13+F17+F18+F20+F28</f>
        <v>0</v>
      </c>
      <c r="G93" s="23" t="n">
        <f aca="false">G2+G4+G9+G10+G12+G13+G17+G18+G20+G28</f>
        <v>0</v>
      </c>
      <c r="H93" s="23" t="n">
        <f aca="false">H2+H4+H9+H10+H12+H13+H17+H18+H20+H28</f>
        <v>0</v>
      </c>
      <c r="I93" s="29" t="n">
        <f aca="false">I2+I4+I9+I10+I12+I13+I17+I18+I20+I28</f>
        <v>0</v>
      </c>
      <c r="K93" s="30"/>
    </row>
    <row r="94" s="3" customFormat="true" ht="18.75" hidden="false" customHeight="true" outlineLevel="0" collapsed="false">
      <c r="E94" s="28" t="s">
        <v>83</v>
      </c>
      <c r="F94" s="23" t="n">
        <f aca="false">F16+F6+F21+F30</f>
        <v>0</v>
      </c>
      <c r="G94" s="23" t="n">
        <f aca="false">G16+G6+G21+G30</f>
        <v>0</v>
      </c>
      <c r="H94" s="23" t="n">
        <f aca="false">H16+H6+H21+H30</f>
        <v>0</v>
      </c>
      <c r="I94" s="29" t="n">
        <f aca="false">I16+I6+I21+I30</f>
        <v>0</v>
      </c>
      <c r="K94" s="30"/>
    </row>
    <row r="95" s="3" customFormat="true" ht="16.5" hidden="false" customHeight="true" outlineLevel="0" collapsed="false">
      <c r="A95" s="1"/>
      <c r="B95" s="1"/>
      <c r="E95" s="31" t="s">
        <v>84</v>
      </c>
      <c r="F95" s="23" t="n">
        <f aca="false">F3+F5+F6+F10+F20+F21+F26+F30</f>
        <v>0</v>
      </c>
      <c r="G95" s="23" t="n">
        <f aca="false">G3+G5+G6+G10+G20+G21+G26+G30</f>
        <v>0</v>
      </c>
      <c r="H95" s="23" t="n">
        <f aca="false">H3+H5+H6+H10+H20+H21+H26+H30</f>
        <v>0</v>
      </c>
      <c r="I95" s="29" t="n">
        <f aca="false">I3+I5+I6+I10+I20+I21+I26+I30</f>
        <v>0</v>
      </c>
      <c r="K95" s="30"/>
    </row>
    <row r="96" s="3" customFormat="true" ht="15" hidden="false" customHeight="true" outlineLevel="0" collapsed="false">
      <c r="A96" s="1"/>
      <c r="B96" s="1"/>
      <c r="K96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Y47" activeCellId="0" sqref="Y47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29.43"/>
    <col collapsed="false" customWidth="true" hidden="false" outlineLevel="0" max="5" min="5" style="2" width="11.72"/>
    <col collapsed="false" customWidth="true" hidden="false" outlineLevel="0" max="6" min="6" style="1" width="9.14"/>
    <col collapsed="false" customWidth="true" hidden="false" outlineLevel="0" max="7" min="7" style="2" width="32"/>
    <col collapsed="false" customWidth="true" hidden="false" outlineLevel="0" max="8" min="8" style="2" width="10"/>
    <col collapsed="false" customWidth="true" hidden="false" outlineLevel="0" max="11" min="11" style="32" width="10.14"/>
    <col collapsed="false" customWidth="true" hidden="false" outlineLevel="0" max="12" min="12" style="4" width="9.14"/>
    <col collapsed="false" customWidth="true" hidden="false" outlineLevel="0" max="13" min="13" style="1" width="32"/>
    <col collapsed="false" customWidth="true" hidden="false" outlineLevel="0" max="17" min="17" style="2" width="11.72"/>
    <col collapsed="false" customWidth="true" hidden="false" outlineLevel="0" max="18" min="18" style="4" width="9.14"/>
    <col collapsed="false" customWidth="true" hidden="false" outlineLevel="0" max="19" min="19" style="2" width="32"/>
  </cols>
  <sheetData>
    <row r="1" customFormat="false" ht="24" hidden="false" customHeight="true" outlineLevel="0" collapsed="false">
      <c r="A1" s="33" t="s">
        <v>85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customFormat="false" ht="15" hidden="false" customHeight="true" outlineLevel="0" collapsed="false">
      <c r="A2" s="34"/>
      <c r="B2" s="35" t="s">
        <v>86</v>
      </c>
      <c r="C2" s="35"/>
      <c r="D2" s="35"/>
      <c r="E2" s="36"/>
      <c r="F2" s="37" t="s">
        <v>87</v>
      </c>
      <c r="G2" s="38"/>
      <c r="H2" s="35" t="s">
        <v>88</v>
      </c>
      <c r="I2" s="35"/>
      <c r="J2" s="35"/>
      <c r="K2" s="39"/>
      <c r="L2" s="40" t="s">
        <v>87</v>
      </c>
      <c r="M2" s="38"/>
      <c r="N2" s="35" t="s">
        <v>89</v>
      </c>
      <c r="O2" s="35"/>
      <c r="P2" s="35"/>
      <c r="Q2" s="41"/>
      <c r="R2" s="40" t="s">
        <v>87</v>
      </c>
      <c r="S2" s="38"/>
      <c r="T2" s="35" t="s">
        <v>82</v>
      </c>
      <c r="U2" s="35"/>
      <c r="V2" s="35"/>
      <c r="W2" s="40" t="s">
        <v>87</v>
      </c>
    </row>
    <row r="3" customFormat="false" ht="15" hidden="false" customHeight="true" outlineLevel="0" collapsed="false">
      <c r="A3" s="42" t="n">
        <v>2025</v>
      </c>
      <c r="B3" s="42" t="s">
        <v>90</v>
      </c>
      <c r="C3" s="42" t="s">
        <v>91</v>
      </c>
      <c r="D3" s="42" t="s">
        <v>92</v>
      </c>
      <c r="E3" s="42" t="s">
        <v>93</v>
      </c>
      <c r="F3" s="42" t="s">
        <v>4</v>
      </c>
      <c r="G3" s="42" t="n">
        <v>2025</v>
      </c>
      <c r="H3" s="42" t="s">
        <v>90</v>
      </c>
      <c r="I3" s="42" t="s">
        <v>91</v>
      </c>
      <c r="J3" s="42" t="s">
        <v>92</v>
      </c>
      <c r="K3" s="43"/>
      <c r="L3" s="44" t="s">
        <v>4</v>
      </c>
      <c r="M3" s="42" t="n">
        <v>2025</v>
      </c>
      <c r="N3" s="42" t="s">
        <v>90</v>
      </c>
      <c r="O3" s="42" t="s">
        <v>91</v>
      </c>
      <c r="P3" s="42" t="s">
        <v>92</v>
      </c>
      <c r="Q3" s="42" t="s">
        <v>93</v>
      </c>
      <c r="R3" s="44" t="s">
        <v>4</v>
      </c>
      <c r="S3" s="42" t="n">
        <v>2025</v>
      </c>
      <c r="T3" s="42" t="s">
        <v>90</v>
      </c>
      <c r="U3" s="42" t="s">
        <v>91</v>
      </c>
      <c r="V3" s="42" t="s">
        <v>92</v>
      </c>
      <c r="W3" s="44" t="s">
        <v>4</v>
      </c>
    </row>
    <row r="4" customFormat="false" ht="15" hidden="false" customHeight="true" outlineLevel="0" collapsed="false">
      <c r="A4" s="45" t="s">
        <v>94</v>
      </c>
      <c r="B4" s="6" t="n">
        <v>30</v>
      </c>
      <c r="C4" s="6" t="n">
        <v>17</v>
      </c>
      <c r="D4" s="6" t="n">
        <v>0</v>
      </c>
      <c r="E4" s="29" t="n">
        <v>944</v>
      </c>
      <c r="F4" s="7" t="n">
        <f aca="false">B4/(B4+C4)</f>
        <v>0.638297872340426</v>
      </c>
      <c r="G4" s="45" t="s">
        <v>94</v>
      </c>
      <c r="H4" s="6"/>
      <c r="I4" s="6"/>
      <c r="J4" s="6"/>
      <c r="K4" s="29"/>
      <c r="L4" s="7" t="e">
        <f aca="false">H4/(H4+I4)</f>
        <v>#DIV/0!</v>
      </c>
      <c r="M4" s="45" t="s">
        <v>94</v>
      </c>
      <c r="N4" s="6" t="n">
        <v>7</v>
      </c>
      <c r="O4" s="6" t="n">
        <v>5</v>
      </c>
      <c r="P4" s="6" t="n">
        <v>0</v>
      </c>
      <c r="Q4" s="29" t="n">
        <v>134</v>
      </c>
      <c r="R4" s="7" t="n">
        <f aca="false">N4/(N4+O4)</f>
        <v>0.583333333333333</v>
      </c>
      <c r="S4" s="45" t="s">
        <v>94</v>
      </c>
      <c r="T4" s="6" t="n">
        <v>5</v>
      </c>
      <c r="U4" s="6" t="n">
        <v>4</v>
      </c>
      <c r="V4" s="6" t="n">
        <v>0</v>
      </c>
      <c r="W4" s="7" t="n">
        <f aca="false">T4/(T4+U4)</f>
        <v>0.555555555555556</v>
      </c>
    </row>
    <row r="5" customFormat="false" ht="15" hidden="false" customHeight="true" outlineLevel="0" collapsed="false">
      <c r="A5" s="45" t="s">
        <v>95</v>
      </c>
      <c r="B5" s="6" t="n">
        <v>23</v>
      </c>
      <c r="C5" s="6" t="n">
        <v>20</v>
      </c>
      <c r="D5" s="6" t="n">
        <v>2</v>
      </c>
      <c r="E5" s="29" t="n">
        <v>-13</v>
      </c>
      <c r="F5" s="7" t="n">
        <f aca="false">B5/(B5+C5)</f>
        <v>0.534883720930233</v>
      </c>
      <c r="G5" s="45" t="s">
        <v>95</v>
      </c>
      <c r="H5" s="6"/>
      <c r="I5" s="6"/>
      <c r="J5" s="6"/>
      <c r="K5" s="29"/>
      <c r="L5" s="7" t="e">
        <f aca="false">H5/(H5+I5)</f>
        <v>#DIV/0!</v>
      </c>
      <c r="M5" s="45" t="s">
        <v>95</v>
      </c>
      <c r="N5" s="6" t="n">
        <v>6</v>
      </c>
      <c r="O5" s="6" t="n">
        <v>5</v>
      </c>
      <c r="P5" s="6" t="n">
        <v>0</v>
      </c>
      <c r="Q5" s="29" t="n">
        <v>-49</v>
      </c>
      <c r="R5" s="7" t="n">
        <f aca="false">N5/(N5+O5)</f>
        <v>0.545454545454545</v>
      </c>
      <c r="S5" s="45" t="s">
        <v>95</v>
      </c>
      <c r="T5" s="6" t="n">
        <v>11</v>
      </c>
      <c r="U5" s="6" t="n">
        <v>8</v>
      </c>
      <c r="V5" s="6" t="n">
        <v>0</v>
      </c>
      <c r="W5" s="7" t="n">
        <f aca="false">T5/(T5+U5)</f>
        <v>0.578947368421053</v>
      </c>
    </row>
    <row r="6" customFormat="false" ht="15" hidden="false" customHeight="true" outlineLevel="0" collapsed="false">
      <c r="A6" s="45" t="s">
        <v>96</v>
      </c>
      <c r="B6" s="6" t="n">
        <v>21</v>
      </c>
      <c r="C6" s="6" t="n">
        <v>20</v>
      </c>
      <c r="D6" s="6" t="n">
        <v>4</v>
      </c>
      <c r="E6" s="29" t="n">
        <v>-89</v>
      </c>
      <c r="F6" s="7" t="n">
        <f aca="false">B6/(B6+C6)</f>
        <v>0.51219512195122</v>
      </c>
      <c r="G6" s="45" t="s">
        <v>96</v>
      </c>
      <c r="H6" s="6" t="n">
        <v>5</v>
      </c>
      <c r="I6" s="6" t="n">
        <v>0</v>
      </c>
      <c r="J6" s="6" t="n">
        <v>0</v>
      </c>
      <c r="K6" s="29" t="n">
        <v>500</v>
      </c>
      <c r="L6" s="7" t="n">
        <f aca="false">H6/(H6+I6)</f>
        <v>1</v>
      </c>
      <c r="M6" s="45" t="s">
        <v>96</v>
      </c>
      <c r="N6" s="6" t="n">
        <v>7</v>
      </c>
      <c r="O6" s="6" t="n">
        <v>3</v>
      </c>
      <c r="P6" s="6" t="n">
        <v>2</v>
      </c>
      <c r="Q6" s="29" t="n">
        <v>356</v>
      </c>
      <c r="R6" s="7" t="n">
        <f aca="false">N6/(N6+O6)</f>
        <v>0.7</v>
      </c>
      <c r="S6" s="45" t="s">
        <v>96</v>
      </c>
      <c r="T6" s="6" t="n">
        <v>5</v>
      </c>
      <c r="U6" s="6" t="n">
        <v>6</v>
      </c>
      <c r="V6" s="6" t="n">
        <v>1</v>
      </c>
      <c r="W6" s="7" t="n">
        <f aca="false">T6/(T6+U6)</f>
        <v>0.454545454545455</v>
      </c>
    </row>
    <row r="7" customFormat="false" ht="15" hidden="false" customHeight="true" outlineLevel="0" collapsed="false">
      <c r="A7" s="45" t="s">
        <v>97</v>
      </c>
      <c r="B7" s="6" t="n">
        <v>16</v>
      </c>
      <c r="C7" s="6" t="n">
        <v>23</v>
      </c>
      <c r="D7" s="6" t="n">
        <v>1</v>
      </c>
      <c r="E7" s="29" t="n">
        <v>-1208</v>
      </c>
      <c r="F7" s="7" t="n">
        <f aca="false">B7/(B7+C7)</f>
        <v>0.41025641025641</v>
      </c>
      <c r="G7" s="45" t="s">
        <v>97</v>
      </c>
      <c r="H7" s="6" t="n">
        <v>1</v>
      </c>
      <c r="I7" s="6" t="n">
        <v>3</v>
      </c>
      <c r="J7" s="6" t="n">
        <v>1</v>
      </c>
      <c r="K7" s="29" t="n">
        <v>-229</v>
      </c>
      <c r="L7" s="7" t="n">
        <f aca="false">H7/(H7+I7)</f>
        <v>0.25</v>
      </c>
      <c r="M7" s="45" t="s">
        <v>97</v>
      </c>
      <c r="N7" s="6" t="n">
        <v>2</v>
      </c>
      <c r="O7" s="6" t="n">
        <v>4</v>
      </c>
      <c r="P7" s="6" t="n">
        <v>1</v>
      </c>
      <c r="Q7" s="29" t="n">
        <v>-216</v>
      </c>
      <c r="R7" s="7" t="n">
        <f aca="false">N7/(N7+O7)</f>
        <v>0.333333333333333</v>
      </c>
      <c r="S7" s="45" t="s">
        <v>97</v>
      </c>
      <c r="T7" s="6" t="n">
        <v>6</v>
      </c>
      <c r="U7" s="6" t="n">
        <v>6</v>
      </c>
      <c r="V7" s="6" t="n">
        <v>1</v>
      </c>
      <c r="W7" s="7" t="n">
        <f aca="false">T7/(T7+U7)</f>
        <v>0.5</v>
      </c>
    </row>
    <row r="8" customFormat="false" ht="15" hidden="true" customHeight="true" outlineLevel="0" collapsed="false">
      <c r="A8" s="45" t="s">
        <v>98</v>
      </c>
      <c r="B8" s="6"/>
      <c r="C8" s="6"/>
      <c r="D8" s="6"/>
      <c r="E8" s="6"/>
      <c r="F8" s="7" t="e">
        <f aca="false">B8/(B8+C8)</f>
        <v>#DIV/0!</v>
      </c>
      <c r="G8" s="45" t="s">
        <v>98</v>
      </c>
      <c r="H8" s="6"/>
      <c r="I8" s="6"/>
      <c r="J8" s="6"/>
      <c r="K8" s="29"/>
      <c r="L8" s="7" t="e">
        <f aca="false">H8/(H8+I8)</f>
        <v>#DIV/0!</v>
      </c>
      <c r="M8" s="45" t="s">
        <v>98</v>
      </c>
      <c r="N8" s="6"/>
      <c r="O8" s="6"/>
      <c r="P8" s="6"/>
      <c r="Q8" s="6"/>
      <c r="R8" s="7" t="e">
        <f aca="false">N8/(N8+O8)</f>
        <v>#DIV/0!</v>
      </c>
      <c r="S8" s="45" t="s">
        <v>98</v>
      </c>
      <c r="T8" s="6"/>
      <c r="U8" s="6"/>
      <c r="V8" s="6"/>
      <c r="W8" s="7" t="e">
        <f aca="false">T8/(T8+U8)</f>
        <v>#DIV/0!</v>
      </c>
    </row>
    <row r="9" customFormat="false" ht="15" hidden="true" customHeight="true" outlineLevel="0" collapsed="false">
      <c r="A9" s="45" t="s">
        <v>99</v>
      </c>
      <c r="B9" s="6"/>
      <c r="C9" s="6"/>
      <c r="D9" s="6"/>
      <c r="E9" s="6"/>
      <c r="F9" s="7" t="e">
        <f aca="false">B9/(B9+C9)</f>
        <v>#DIV/0!</v>
      </c>
      <c r="G9" s="45" t="s">
        <v>99</v>
      </c>
      <c r="H9" s="6"/>
      <c r="I9" s="6"/>
      <c r="J9" s="6"/>
      <c r="K9" s="29"/>
      <c r="L9" s="7" t="e">
        <f aca="false">H9/(H9+I9)</f>
        <v>#DIV/0!</v>
      </c>
      <c r="M9" s="45" t="s">
        <v>99</v>
      </c>
      <c r="N9" s="6"/>
      <c r="O9" s="6"/>
      <c r="P9" s="6"/>
      <c r="Q9" s="6"/>
      <c r="R9" s="7" t="e">
        <f aca="false">N9/(N9+O9)</f>
        <v>#DIV/0!</v>
      </c>
      <c r="S9" s="45" t="s">
        <v>99</v>
      </c>
      <c r="T9" s="6"/>
      <c r="U9" s="6"/>
      <c r="V9" s="6"/>
      <c r="W9" s="7" t="e">
        <f aca="false">T9/(T9+U9)</f>
        <v>#DIV/0!</v>
      </c>
    </row>
    <row r="10" customFormat="false" ht="15" hidden="true" customHeight="true" outlineLevel="0" collapsed="false">
      <c r="A10" s="45" t="s">
        <v>100</v>
      </c>
      <c r="B10" s="6"/>
      <c r="C10" s="6"/>
      <c r="D10" s="6"/>
      <c r="E10" s="6"/>
      <c r="F10" s="7" t="e">
        <f aca="false">B10/(B10+C10)</f>
        <v>#DIV/0!</v>
      </c>
      <c r="G10" s="45" t="s">
        <v>100</v>
      </c>
      <c r="H10" s="6"/>
      <c r="I10" s="6"/>
      <c r="J10" s="6"/>
      <c r="K10" s="29"/>
      <c r="L10" s="7" t="e">
        <f aca="false">H10/(H10+I10)</f>
        <v>#DIV/0!</v>
      </c>
      <c r="M10" s="45" t="s">
        <v>100</v>
      </c>
      <c r="N10" s="6"/>
      <c r="O10" s="6"/>
      <c r="P10" s="6"/>
      <c r="Q10" s="6"/>
      <c r="R10" s="7" t="e">
        <f aca="false">N10/(N10+O10)</f>
        <v>#DIV/0!</v>
      </c>
      <c r="S10" s="45" t="s">
        <v>100</v>
      </c>
      <c r="T10" s="6"/>
      <c r="U10" s="6"/>
      <c r="V10" s="6"/>
      <c r="W10" s="7" t="e">
        <f aca="false">T10/(T10+U10)</f>
        <v>#DIV/0!</v>
      </c>
    </row>
    <row r="11" customFormat="false" ht="15" hidden="false" customHeight="true" outlineLevel="0" collapsed="false">
      <c r="A11" s="46" t="s">
        <v>101</v>
      </c>
      <c r="B11" s="6" t="n">
        <f aca="false">SUM(B4:B10)</f>
        <v>90</v>
      </c>
      <c r="C11" s="6" t="n">
        <f aca="false">SUM(C4:C10)</f>
        <v>80</v>
      </c>
      <c r="D11" s="6" t="n">
        <f aca="false">SUM(D4:D10)</f>
        <v>7</v>
      </c>
      <c r="E11" s="29" t="n">
        <f aca="false">SUM(E4:E7)</f>
        <v>-366</v>
      </c>
      <c r="F11" s="7" t="n">
        <f aca="false">B11/(B11+C11)</f>
        <v>0.529411764705882</v>
      </c>
      <c r="G11" s="46" t="s">
        <v>101</v>
      </c>
      <c r="H11" s="6" t="n">
        <f aca="false">SUM(H4:H10)</f>
        <v>6</v>
      </c>
      <c r="I11" s="6" t="n">
        <f aca="false">SUM(I4:I10)</f>
        <v>3</v>
      </c>
      <c r="J11" s="6" t="n">
        <f aca="false">SUM(J4:J10)</f>
        <v>1</v>
      </c>
      <c r="K11" s="29" t="n">
        <f aca="false">SUM(K4:K7)</f>
        <v>271</v>
      </c>
      <c r="L11" s="7" t="n">
        <f aca="false">H11/(H11+I11)</f>
        <v>0.666666666666667</v>
      </c>
      <c r="M11" s="46" t="s">
        <v>101</v>
      </c>
      <c r="N11" s="6" t="n">
        <f aca="false">SUM(N4:N10)</f>
        <v>22</v>
      </c>
      <c r="O11" s="6" t="n">
        <f aca="false">SUM(O4:O10)</f>
        <v>17</v>
      </c>
      <c r="P11" s="6" t="n">
        <f aca="false">SUM(P4:P10)</f>
        <v>3</v>
      </c>
      <c r="Q11" s="29" t="n">
        <f aca="false">SUM(Q4:Q7)</f>
        <v>225</v>
      </c>
      <c r="R11" s="7" t="n">
        <f aca="false">N11/(N11+O11)</f>
        <v>0.564102564102564</v>
      </c>
      <c r="S11" s="46" t="s">
        <v>101</v>
      </c>
      <c r="T11" s="6" t="n">
        <f aca="false">SUM(T4:T10)</f>
        <v>27</v>
      </c>
      <c r="U11" s="6" t="n">
        <f aca="false">SUM(U4:U10)</f>
        <v>24</v>
      </c>
      <c r="V11" s="6" t="n">
        <f aca="false">SUM(V4:V10)</f>
        <v>2</v>
      </c>
      <c r="W11" s="7" t="n">
        <f aca="false">T11/(T11+U11)</f>
        <v>0.529411764705882</v>
      </c>
    </row>
    <row r="12" customFormat="false" ht="15" hidden="false" customHeight="true" outlineLevel="0" collapsed="false">
      <c r="A12" s="47" t="n">
        <v>2026</v>
      </c>
      <c r="B12" s="42" t="s">
        <v>90</v>
      </c>
      <c r="C12" s="42" t="s">
        <v>91</v>
      </c>
      <c r="D12" s="42" t="s">
        <v>92</v>
      </c>
      <c r="E12" s="42" t="s">
        <v>93</v>
      </c>
      <c r="F12" s="42" t="s">
        <v>4</v>
      </c>
      <c r="G12" s="47" t="n">
        <v>2026</v>
      </c>
      <c r="H12" s="42" t="s">
        <v>90</v>
      </c>
      <c r="I12" s="42" t="s">
        <v>91</v>
      </c>
      <c r="J12" s="42" t="s">
        <v>92</v>
      </c>
      <c r="K12" s="42" t="s">
        <v>93</v>
      </c>
      <c r="L12" s="42" t="s">
        <v>4</v>
      </c>
      <c r="M12" s="47" t="n">
        <v>2026</v>
      </c>
      <c r="N12" s="42" t="s">
        <v>90</v>
      </c>
      <c r="O12" s="42" t="s">
        <v>91</v>
      </c>
      <c r="P12" s="42" t="s">
        <v>92</v>
      </c>
      <c r="Q12" s="42" t="s">
        <v>93</v>
      </c>
      <c r="R12" s="42" t="s">
        <v>4</v>
      </c>
      <c r="S12" s="47" t="n">
        <v>2026</v>
      </c>
      <c r="T12" s="42" t="s">
        <v>90</v>
      </c>
      <c r="U12" s="42" t="s">
        <v>91</v>
      </c>
      <c r="V12" s="42" t="s">
        <v>92</v>
      </c>
      <c r="W12" s="42" t="s">
        <v>4</v>
      </c>
      <c r="X12" s="48"/>
    </row>
    <row r="13" customFormat="false" ht="15" hidden="false" customHeight="true" outlineLevel="0" collapsed="false">
      <c r="A13" s="45" t="s">
        <v>102</v>
      </c>
      <c r="B13" s="6" t="n">
        <v>23</v>
      </c>
      <c r="C13" s="6" t="n">
        <v>22</v>
      </c>
      <c r="D13" s="6" t="n">
        <v>3</v>
      </c>
      <c r="E13" s="29" t="n">
        <v>-295</v>
      </c>
      <c r="F13" s="7" t="n">
        <f aca="false">B13/(B13+C13)</f>
        <v>0.511111111111111</v>
      </c>
      <c r="G13" s="45" t="s">
        <v>102</v>
      </c>
      <c r="H13" s="6" t="n">
        <v>3</v>
      </c>
      <c r="I13" s="6" t="n">
        <v>1</v>
      </c>
      <c r="J13" s="6" t="n">
        <v>1</v>
      </c>
      <c r="K13" s="29" t="n">
        <v>190</v>
      </c>
      <c r="L13" s="7" t="n">
        <f aca="false">H13/(H13+I13)</f>
        <v>0.75</v>
      </c>
      <c r="M13" s="45" t="s">
        <v>102</v>
      </c>
      <c r="N13" s="6"/>
      <c r="O13" s="6"/>
      <c r="P13" s="6"/>
      <c r="Q13" s="29"/>
      <c r="R13" s="7" t="e">
        <f aca="false">N13/(N13+O13)</f>
        <v>#DIV/0!</v>
      </c>
      <c r="S13" s="45" t="s">
        <v>102</v>
      </c>
      <c r="T13" s="6" t="n">
        <v>6</v>
      </c>
      <c r="U13" s="6" t="n">
        <v>11</v>
      </c>
      <c r="V13" s="6" t="n">
        <v>2</v>
      </c>
      <c r="W13" s="7" t="n">
        <f aca="false">T13/(T13+U13)</f>
        <v>0.352941176470588</v>
      </c>
    </row>
    <row r="14" customFormat="false" ht="15" hidden="false" customHeight="true" outlineLevel="0" collapsed="false">
      <c r="A14" s="45" t="s">
        <v>103</v>
      </c>
      <c r="B14" s="6" t="n">
        <v>32</v>
      </c>
      <c r="C14" s="6" t="n">
        <v>27</v>
      </c>
      <c r="D14" s="6" t="n">
        <v>2</v>
      </c>
      <c r="E14" s="29" t="n">
        <v>36</v>
      </c>
      <c r="F14" s="7" t="n">
        <f aca="false">B14/(B14+C14)</f>
        <v>0.542372881355932</v>
      </c>
      <c r="G14" s="45" t="s">
        <v>103</v>
      </c>
      <c r="H14" s="6" t="n">
        <v>2</v>
      </c>
      <c r="I14" s="6" t="n">
        <v>3</v>
      </c>
      <c r="J14" s="6" t="n">
        <v>0</v>
      </c>
      <c r="K14" s="29" t="n">
        <v>-80</v>
      </c>
      <c r="L14" s="7" t="n">
        <f aca="false">H14/(H14+I14)</f>
        <v>0.4</v>
      </c>
      <c r="M14" s="45" t="s">
        <v>103</v>
      </c>
      <c r="N14" s="6"/>
      <c r="O14" s="6"/>
      <c r="P14" s="6"/>
      <c r="Q14" s="29"/>
      <c r="R14" s="7" t="e">
        <f aca="false">N14/(N14+O14)</f>
        <v>#DIV/0!</v>
      </c>
      <c r="S14" s="45" t="s">
        <v>103</v>
      </c>
      <c r="T14" s="6" t="n">
        <v>9</v>
      </c>
      <c r="U14" s="6" t="n">
        <v>18</v>
      </c>
      <c r="V14" s="6" t="n">
        <v>2</v>
      </c>
      <c r="W14" s="7" t="n">
        <f aca="false">T14/(T14+U14)</f>
        <v>0.333333333333333</v>
      </c>
      <c r="X14" s="2" t="s">
        <v>104</v>
      </c>
    </row>
    <row r="15" customFormat="false" ht="15" hidden="false" customHeight="true" outlineLevel="0" collapsed="false">
      <c r="A15" s="45" t="s">
        <v>105</v>
      </c>
      <c r="B15" s="6" t="n">
        <v>25</v>
      </c>
      <c r="C15" s="6" t="n">
        <v>27</v>
      </c>
      <c r="D15" s="6" t="n">
        <v>2</v>
      </c>
      <c r="E15" s="29" t="n">
        <v>-675</v>
      </c>
      <c r="F15" s="7" t="n">
        <f aca="false">B15/(B15+C15)</f>
        <v>0.480769230769231</v>
      </c>
      <c r="G15" s="45" t="s">
        <v>105</v>
      </c>
      <c r="H15" s="6" t="n">
        <v>0</v>
      </c>
      <c r="I15" s="6" t="n">
        <v>5</v>
      </c>
      <c r="J15" s="6" t="n">
        <v>0</v>
      </c>
      <c r="K15" s="29" t="n">
        <v>-612</v>
      </c>
      <c r="L15" s="7" t="n">
        <f aca="false">H15/(H15+I15)</f>
        <v>0</v>
      </c>
      <c r="M15" s="45" t="s">
        <v>105</v>
      </c>
      <c r="N15" s="6"/>
      <c r="O15" s="6"/>
      <c r="P15" s="6"/>
      <c r="Q15" s="29"/>
      <c r="R15" s="7" t="e">
        <f aca="false">N15/(N15+O15)</f>
        <v>#DIV/0!</v>
      </c>
      <c r="S15" s="45" t="s">
        <v>105</v>
      </c>
      <c r="T15" s="6" t="n">
        <v>6</v>
      </c>
      <c r="U15" s="6" t="n">
        <v>11</v>
      </c>
      <c r="V15" s="6" t="n">
        <v>0</v>
      </c>
      <c r="W15" s="7" t="n">
        <f aca="false">T15/(T15+U15)</f>
        <v>0.352941176470588</v>
      </c>
    </row>
    <row r="16" customFormat="false" ht="15" hidden="false" customHeight="true" outlineLevel="0" collapsed="false">
      <c r="A16" s="45" t="s">
        <v>106</v>
      </c>
      <c r="B16" s="6" t="n">
        <v>29</v>
      </c>
      <c r="C16" s="6" t="n">
        <v>27</v>
      </c>
      <c r="D16" s="6" t="n">
        <v>1</v>
      </c>
      <c r="E16" s="29" t="n">
        <v>-180</v>
      </c>
      <c r="F16" s="7" t="n">
        <f aca="false">B16/(B16+C16)</f>
        <v>0.517857142857143</v>
      </c>
      <c r="G16" s="45" t="s">
        <v>106</v>
      </c>
      <c r="H16" s="6" t="n">
        <v>3</v>
      </c>
      <c r="I16" s="6" t="n">
        <v>2</v>
      </c>
      <c r="J16" s="6" t="n">
        <v>0</v>
      </c>
      <c r="K16" s="29" t="n">
        <v>75</v>
      </c>
      <c r="L16" s="7" t="n">
        <f aca="false">H16/(H16+I16)</f>
        <v>0.6</v>
      </c>
      <c r="M16" s="45" t="s">
        <v>106</v>
      </c>
      <c r="N16" s="6"/>
      <c r="O16" s="6"/>
      <c r="P16" s="6"/>
      <c r="Q16" s="29"/>
      <c r="R16" s="7" t="e">
        <f aca="false">N16/(N16+O16)</f>
        <v>#DIV/0!</v>
      </c>
      <c r="S16" s="45" t="s">
        <v>106</v>
      </c>
      <c r="T16" s="6" t="n">
        <v>10</v>
      </c>
      <c r="U16" s="6" t="n">
        <v>13</v>
      </c>
      <c r="V16" s="6" t="n">
        <v>1</v>
      </c>
      <c r="W16" s="7" t="n">
        <f aca="false">T16/(T16+U16)</f>
        <v>0.434782608695652</v>
      </c>
    </row>
    <row r="17" customFormat="false" ht="15" hidden="false" customHeight="true" outlineLevel="0" collapsed="false">
      <c r="A17" s="45" t="s">
        <v>107</v>
      </c>
      <c r="B17" s="6" t="n">
        <v>20</v>
      </c>
      <c r="C17" s="6" t="n">
        <v>6</v>
      </c>
      <c r="D17" s="6" t="n">
        <v>2</v>
      </c>
      <c r="E17" s="29" t="n">
        <v>1333</v>
      </c>
      <c r="F17" s="7" t="n">
        <f aca="false">B17/(B17+C17)</f>
        <v>0.769230769230769</v>
      </c>
      <c r="G17" s="45" t="s">
        <v>107</v>
      </c>
      <c r="H17" s="6" t="n">
        <v>2</v>
      </c>
      <c r="I17" s="6" t="n">
        <v>3</v>
      </c>
      <c r="J17" s="6" t="n">
        <v>0</v>
      </c>
      <c r="K17" s="29" t="n">
        <v>-147</v>
      </c>
      <c r="L17" s="7" t="n">
        <f aca="false">H17/(H17+I17)</f>
        <v>0.4</v>
      </c>
      <c r="M17" s="45" t="s">
        <v>107</v>
      </c>
      <c r="N17" s="6"/>
      <c r="O17" s="6"/>
      <c r="P17" s="6"/>
      <c r="Q17" s="29"/>
      <c r="R17" s="7" t="e">
        <f aca="false">N17/(N17+O17)</f>
        <v>#DIV/0!</v>
      </c>
      <c r="S17" s="45" t="s">
        <v>107</v>
      </c>
      <c r="T17" s="6" t="n">
        <v>8</v>
      </c>
      <c r="U17" s="6" t="n">
        <v>3</v>
      </c>
      <c r="V17" s="6" t="n">
        <v>1</v>
      </c>
      <c r="W17" s="7" t="n">
        <f aca="false">T17/(T17+U17)</f>
        <v>0.727272727272727</v>
      </c>
    </row>
    <row r="18" customFormat="false" ht="15" hidden="false" customHeight="true" outlineLevel="0" collapsed="false">
      <c r="A18" s="45" t="s">
        <v>108</v>
      </c>
      <c r="B18" s="6" t="n">
        <v>22</v>
      </c>
      <c r="C18" s="6" t="n">
        <v>38</v>
      </c>
      <c r="D18" s="6" t="n">
        <v>2</v>
      </c>
      <c r="E18" s="29" t="n">
        <v>-1855</v>
      </c>
      <c r="F18" s="7" t="n">
        <f aca="false">B18/(B18+C18)</f>
        <v>0.366666666666667</v>
      </c>
      <c r="G18" s="45" t="s">
        <v>108</v>
      </c>
      <c r="H18" s="6" t="n">
        <v>1</v>
      </c>
      <c r="I18" s="6" t="n">
        <v>4</v>
      </c>
      <c r="J18" s="6" t="n">
        <v>0</v>
      </c>
      <c r="K18" s="29" t="n">
        <v>-354</v>
      </c>
      <c r="L18" s="7" t="n">
        <f aca="false">H18/(H18+I18)</f>
        <v>0.2</v>
      </c>
      <c r="M18" s="45" t="s">
        <v>108</v>
      </c>
      <c r="N18" s="6"/>
      <c r="O18" s="6"/>
      <c r="P18" s="6"/>
      <c r="Q18" s="29"/>
      <c r="R18" s="7" t="e">
        <f aca="false">N18/(N18+O18)</f>
        <v>#DIV/0!</v>
      </c>
      <c r="S18" s="45" t="s">
        <v>108</v>
      </c>
      <c r="T18" s="6" t="n">
        <v>5</v>
      </c>
      <c r="U18" s="6" t="n">
        <v>18</v>
      </c>
      <c r="V18" s="6" t="n">
        <v>1</v>
      </c>
      <c r="W18" s="7" t="n">
        <f aca="false">T18/(T18+U18)</f>
        <v>0.217391304347826</v>
      </c>
    </row>
    <row r="19" customFormat="false" ht="15" hidden="false" customHeight="true" outlineLevel="0" collapsed="false">
      <c r="A19" s="45" t="s">
        <v>109</v>
      </c>
      <c r="B19" s="6" t="n">
        <v>14</v>
      </c>
      <c r="C19" s="6" t="n">
        <v>13</v>
      </c>
      <c r="D19" s="6" t="n">
        <v>0</v>
      </c>
      <c r="E19" s="29" t="n">
        <v>56</v>
      </c>
      <c r="F19" s="7" t="n">
        <f aca="false">B19/(B19+C19)</f>
        <v>0.518518518518519</v>
      </c>
      <c r="G19" s="45" t="s">
        <v>109</v>
      </c>
      <c r="H19" s="6" t="n">
        <v>3</v>
      </c>
      <c r="I19" s="6" t="n">
        <v>2</v>
      </c>
      <c r="J19" s="6" t="n">
        <v>0</v>
      </c>
      <c r="K19" s="29" t="n">
        <v>123</v>
      </c>
      <c r="L19" s="7" t="n">
        <f aca="false">H19/(H19+I19)</f>
        <v>0.6</v>
      </c>
      <c r="M19" s="45" t="s">
        <v>109</v>
      </c>
      <c r="N19" s="6"/>
      <c r="O19" s="6"/>
      <c r="P19" s="6"/>
      <c r="Q19" s="29"/>
      <c r="R19" s="7" t="e">
        <f aca="false">N19/(N19+O19)</f>
        <v>#DIV/0!</v>
      </c>
      <c r="S19" s="45" t="s">
        <v>109</v>
      </c>
      <c r="T19" s="6" t="n">
        <v>4</v>
      </c>
      <c r="U19" s="6" t="n">
        <v>4</v>
      </c>
      <c r="V19" s="6" t="n">
        <v>0</v>
      </c>
      <c r="W19" s="7" t="n">
        <f aca="false">T19/(T19+U19)</f>
        <v>0.5</v>
      </c>
    </row>
    <row r="20" customFormat="false" ht="16.5" hidden="false" customHeight="true" outlineLevel="0" collapsed="false">
      <c r="A20" s="45" t="s">
        <v>110</v>
      </c>
      <c r="B20" s="6" t="n">
        <v>18</v>
      </c>
      <c r="C20" s="6" t="n">
        <v>12</v>
      </c>
      <c r="D20" s="6" t="n">
        <v>0</v>
      </c>
      <c r="E20" s="29" t="n">
        <v>501</v>
      </c>
      <c r="F20" s="7" t="n">
        <f aca="false">B20/(B20+C20)</f>
        <v>0.6</v>
      </c>
      <c r="G20" s="45" t="s">
        <v>110</v>
      </c>
      <c r="H20" s="6" t="n">
        <v>4</v>
      </c>
      <c r="I20" s="6" t="n">
        <v>0</v>
      </c>
      <c r="J20" s="6" t="n">
        <v>0</v>
      </c>
      <c r="K20" s="29" t="n">
        <v>459</v>
      </c>
      <c r="L20" s="7" t="n">
        <f aca="false">H20/(H20+I20)</f>
        <v>1</v>
      </c>
      <c r="M20" s="45" t="s">
        <v>110</v>
      </c>
      <c r="N20" s="6"/>
      <c r="O20" s="6"/>
      <c r="P20" s="6"/>
      <c r="Q20" s="29"/>
      <c r="R20" s="7" t="e">
        <f aca="false">N20/(N20+O20)</f>
        <v>#DIV/0!</v>
      </c>
      <c r="S20" s="45" t="s">
        <v>110</v>
      </c>
      <c r="T20" s="6" t="n">
        <v>8</v>
      </c>
      <c r="U20" s="6" t="n">
        <v>3</v>
      </c>
      <c r="V20" s="6" t="n">
        <v>0</v>
      </c>
      <c r="W20" s="7" t="n">
        <f aca="false">T20/(T20+U20)</f>
        <v>0.727272727272727</v>
      </c>
      <c r="X20" s="2" t="s">
        <v>111</v>
      </c>
    </row>
    <row r="21" customFormat="false" ht="15" hidden="false" customHeight="true" outlineLevel="0" collapsed="false">
      <c r="A21" s="45" t="s">
        <v>112</v>
      </c>
      <c r="B21" s="6" t="n">
        <v>16</v>
      </c>
      <c r="C21" s="6" t="n">
        <v>15</v>
      </c>
      <c r="D21" s="6" t="n">
        <v>5</v>
      </c>
      <c r="E21" s="29" t="n">
        <v>-347</v>
      </c>
      <c r="F21" s="7" t="n">
        <f aca="false">B21/(B21+C21)</f>
        <v>0.516129032258065</v>
      </c>
      <c r="G21" s="45" t="s">
        <v>112</v>
      </c>
      <c r="H21" s="6" t="n">
        <v>1</v>
      </c>
      <c r="I21" s="6" t="n">
        <v>3</v>
      </c>
      <c r="J21" s="6" t="n">
        <v>1</v>
      </c>
      <c r="K21" s="29" t="n">
        <v>-185</v>
      </c>
      <c r="L21" s="7" t="n">
        <f aca="false">H21/(H21+I21)</f>
        <v>0.25</v>
      </c>
      <c r="M21" s="45" t="s">
        <v>112</v>
      </c>
      <c r="N21" s="6"/>
      <c r="O21" s="6"/>
      <c r="P21" s="6"/>
      <c r="Q21" s="29"/>
      <c r="R21" s="7" t="e">
        <f aca="false">N21/(N21+O21)</f>
        <v>#DIV/0!</v>
      </c>
      <c r="S21" s="45" t="s">
        <v>112</v>
      </c>
      <c r="T21" s="6" t="n">
        <v>5</v>
      </c>
      <c r="U21" s="6" t="n">
        <v>5</v>
      </c>
      <c r="V21" s="6" t="n">
        <v>0</v>
      </c>
      <c r="W21" s="7" t="n">
        <f aca="false">T21/(T21+U21)</f>
        <v>0.5</v>
      </c>
    </row>
    <row r="22" customFormat="false" ht="15" hidden="false" customHeight="true" outlineLevel="0" collapsed="false">
      <c r="A22" s="45" t="s">
        <v>113</v>
      </c>
      <c r="B22" s="6" t="n">
        <v>21</v>
      </c>
      <c r="C22" s="6" t="n">
        <v>13</v>
      </c>
      <c r="D22" s="6" t="n">
        <v>0</v>
      </c>
      <c r="E22" s="29" t="n">
        <v>636</v>
      </c>
      <c r="F22" s="7" t="n">
        <f aca="false">B22/(B22+C22)</f>
        <v>0.617647058823529</v>
      </c>
      <c r="G22" s="45" t="s">
        <v>113</v>
      </c>
      <c r="H22" s="6" t="n">
        <v>2</v>
      </c>
      <c r="I22" s="6" t="n">
        <v>3</v>
      </c>
      <c r="J22" s="6" t="n">
        <v>0</v>
      </c>
      <c r="K22" s="29" t="n">
        <v>-123</v>
      </c>
      <c r="L22" s="7" t="n">
        <f aca="false">H22/(H22+I22)</f>
        <v>0.4</v>
      </c>
      <c r="M22" s="45" t="s">
        <v>113</v>
      </c>
      <c r="N22" s="6"/>
      <c r="O22" s="6"/>
      <c r="P22" s="6"/>
      <c r="Q22" s="29"/>
      <c r="R22" s="7" t="e">
        <f aca="false">N22/(N22+O22)</f>
        <v>#DIV/0!</v>
      </c>
      <c r="S22" s="45" t="s">
        <v>113</v>
      </c>
      <c r="T22" s="6" t="n">
        <v>9</v>
      </c>
      <c r="U22" s="6" t="n">
        <v>7</v>
      </c>
      <c r="V22" s="6" t="n">
        <v>0</v>
      </c>
      <c r="W22" s="7" t="n">
        <f aca="false">T22/(T22+U22)</f>
        <v>0.5625</v>
      </c>
    </row>
    <row r="23" customFormat="false" ht="15" hidden="false" customHeight="true" outlineLevel="0" collapsed="false">
      <c r="A23" s="49" t="s">
        <v>114</v>
      </c>
      <c r="B23" s="6" t="n">
        <v>27</v>
      </c>
      <c r="C23" s="6" t="n">
        <v>22</v>
      </c>
      <c r="D23" s="6" t="n">
        <v>4</v>
      </c>
      <c r="E23" s="29" t="n">
        <v>254</v>
      </c>
      <c r="F23" s="7" t="n">
        <f aca="false">B23/(B23+C23)</f>
        <v>0.551020408163265</v>
      </c>
      <c r="G23" s="49" t="s">
        <v>114</v>
      </c>
      <c r="H23" s="6" t="n">
        <v>9</v>
      </c>
      <c r="I23" s="6" t="n">
        <v>6</v>
      </c>
      <c r="J23" s="6" t="n">
        <v>0</v>
      </c>
      <c r="K23" s="29" t="n">
        <v>298</v>
      </c>
      <c r="L23" s="7" t="n">
        <f aca="false">H23/(H23+I23)</f>
        <v>0.6</v>
      </c>
      <c r="M23" s="49" t="s">
        <v>114</v>
      </c>
      <c r="N23" s="6" t="n">
        <v>8</v>
      </c>
      <c r="O23" s="6" t="n">
        <v>1</v>
      </c>
      <c r="P23" s="6" t="n">
        <v>0</v>
      </c>
      <c r="Q23" s="29" t="n">
        <v>699</v>
      </c>
      <c r="R23" s="7" t="n">
        <f aca="false">N23/(N23+O23)</f>
        <v>0.888888888888889</v>
      </c>
      <c r="S23" s="49" t="s">
        <v>114</v>
      </c>
      <c r="T23" s="6" t="n">
        <v>9</v>
      </c>
      <c r="U23" s="6" t="n">
        <v>12</v>
      </c>
      <c r="V23" s="6" t="n">
        <v>3</v>
      </c>
      <c r="W23" s="7" t="n">
        <f aca="false">T23/(T23+U23)</f>
        <v>0.428571428571429</v>
      </c>
      <c r="X23" s="2" t="s">
        <v>115</v>
      </c>
    </row>
    <row r="24" customFormat="false" ht="15" hidden="false" customHeight="true" outlineLevel="0" collapsed="false">
      <c r="A24" s="49" t="s">
        <v>116</v>
      </c>
      <c r="B24" s="6" t="n">
        <v>18</v>
      </c>
      <c r="C24" s="6" t="n">
        <v>29</v>
      </c>
      <c r="D24" s="6" t="n">
        <v>2</v>
      </c>
      <c r="E24" s="29" t="n">
        <v>-1599</v>
      </c>
      <c r="F24" s="7" t="n">
        <f aca="false">B24/(B24+C24)</f>
        <v>0.382978723404255</v>
      </c>
      <c r="G24" s="49" t="s">
        <v>116</v>
      </c>
      <c r="H24" s="6" t="n">
        <v>4</v>
      </c>
      <c r="I24" s="6" t="n">
        <v>4</v>
      </c>
      <c r="J24" s="6" t="n">
        <v>0</v>
      </c>
      <c r="K24" s="29" t="n">
        <v>-51</v>
      </c>
      <c r="L24" s="7" t="n">
        <f aca="false">H24/(H24+I24)</f>
        <v>0.5</v>
      </c>
      <c r="M24" s="49" t="s">
        <v>116</v>
      </c>
      <c r="N24" s="6" t="n">
        <v>3</v>
      </c>
      <c r="O24" s="6" t="n">
        <v>6</v>
      </c>
      <c r="P24" s="6" t="n">
        <v>0</v>
      </c>
      <c r="Q24" s="29" t="n">
        <v>-435</v>
      </c>
      <c r="R24" s="7" t="n">
        <f aca="false">N24/(N24+O24)</f>
        <v>0.333333333333333</v>
      </c>
      <c r="S24" s="49" t="s">
        <v>116</v>
      </c>
      <c r="T24" s="6" t="n">
        <v>7</v>
      </c>
      <c r="U24" s="6" t="n">
        <v>11</v>
      </c>
      <c r="V24" s="6" t="n">
        <v>0</v>
      </c>
      <c r="W24" s="7" t="n">
        <f aca="false">T24/(T24+U24)</f>
        <v>0.388888888888889</v>
      </c>
      <c r="X24" s="2" t="s">
        <v>117</v>
      </c>
    </row>
    <row r="25" customFormat="false" ht="15" hidden="false" customHeight="true" outlineLevel="0" collapsed="false">
      <c r="A25" s="49" t="s">
        <v>118</v>
      </c>
      <c r="B25" s="6" t="n">
        <v>22</v>
      </c>
      <c r="C25" s="6" t="n">
        <v>22</v>
      </c>
      <c r="D25" s="6" t="n">
        <v>4</v>
      </c>
      <c r="E25" s="29" t="n">
        <v>-391</v>
      </c>
      <c r="F25" s="7" t="n">
        <f aca="false">B25/(B25+C25)</f>
        <v>0.5</v>
      </c>
      <c r="G25" s="49" t="s">
        <v>118</v>
      </c>
      <c r="H25" s="6" t="n">
        <v>5</v>
      </c>
      <c r="I25" s="6" t="n">
        <v>3</v>
      </c>
      <c r="J25" s="6" t="n">
        <v>1</v>
      </c>
      <c r="K25" s="29" t="n">
        <v>380</v>
      </c>
      <c r="L25" s="7" t="n">
        <f aca="false">H25/(H25+I25)</f>
        <v>0.625</v>
      </c>
      <c r="M25" s="49" t="s">
        <v>118</v>
      </c>
      <c r="N25" s="6" t="n">
        <v>5</v>
      </c>
      <c r="O25" s="6" t="n">
        <v>1</v>
      </c>
      <c r="P25" s="6" t="n">
        <v>1</v>
      </c>
      <c r="Q25" s="29" t="n">
        <v>380</v>
      </c>
      <c r="R25" s="7" t="n">
        <f aca="false">N25/(N25+O25)</f>
        <v>0.833333333333333</v>
      </c>
      <c r="S25" s="49" t="s">
        <v>118</v>
      </c>
      <c r="T25" s="6" t="n">
        <v>8</v>
      </c>
      <c r="U25" s="6" t="n">
        <v>7</v>
      </c>
      <c r="V25" s="6" t="n">
        <v>2</v>
      </c>
      <c r="W25" s="7" t="n">
        <f aca="false">T25/(T25+U25)</f>
        <v>0.533333333333333</v>
      </c>
      <c r="X25" s="2" t="s">
        <v>119</v>
      </c>
    </row>
    <row r="26" customFormat="false" ht="15" hidden="true" customHeight="true" outlineLevel="0" collapsed="false">
      <c r="A26" s="49" t="s">
        <v>120</v>
      </c>
      <c r="B26" s="6"/>
      <c r="C26" s="6"/>
      <c r="D26" s="6"/>
      <c r="E26" s="29"/>
      <c r="F26" s="7" t="e">
        <f aca="false">B26/(B26+C26)</f>
        <v>#DIV/0!</v>
      </c>
      <c r="G26" s="49" t="s">
        <v>120</v>
      </c>
      <c r="H26" s="6"/>
      <c r="I26" s="6"/>
      <c r="J26" s="6"/>
      <c r="K26" s="29"/>
      <c r="L26" s="7" t="e">
        <f aca="false">H26/(H26+I26)</f>
        <v>#DIV/0!</v>
      </c>
      <c r="M26" s="49" t="s">
        <v>120</v>
      </c>
      <c r="N26" s="6"/>
      <c r="O26" s="6"/>
      <c r="P26" s="6"/>
      <c r="Q26" s="29"/>
      <c r="R26" s="7" t="e">
        <f aca="false">N26/(N26+O26)</f>
        <v>#DIV/0!</v>
      </c>
      <c r="S26" s="49" t="s">
        <v>120</v>
      </c>
      <c r="T26" s="6"/>
      <c r="U26" s="6"/>
      <c r="V26" s="6"/>
      <c r="W26" s="7" t="e">
        <f aca="false">T26/(T26+U26)</f>
        <v>#DIV/0!</v>
      </c>
    </row>
    <row r="27" customFormat="false" ht="15" hidden="true" customHeight="true" outlineLevel="0" collapsed="false">
      <c r="A27" s="49" t="s">
        <v>121</v>
      </c>
      <c r="B27" s="6"/>
      <c r="C27" s="6"/>
      <c r="D27" s="6"/>
      <c r="E27" s="29"/>
      <c r="F27" s="7" t="e">
        <f aca="false">B27/(B27+C27)</f>
        <v>#DIV/0!</v>
      </c>
      <c r="G27" s="49" t="s">
        <v>121</v>
      </c>
      <c r="H27" s="6"/>
      <c r="I27" s="6"/>
      <c r="J27" s="6"/>
      <c r="K27" s="29"/>
      <c r="L27" s="7" t="e">
        <f aca="false">H27/(H27+I27)</f>
        <v>#DIV/0!</v>
      </c>
      <c r="M27" s="49" t="s">
        <v>121</v>
      </c>
      <c r="N27" s="6"/>
      <c r="O27" s="6"/>
      <c r="P27" s="6"/>
      <c r="Q27" s="29"/>
      <c r="R27" s="7" t="e">
        <f aca="false">N27/(N27+O27)</f>
        <v>#DIV/0!</v>
      </c>
      <c r="S27" s="49" t="s">
        <v>121</v>
      </c>
      <c r="T27" s="6"/>
      <c r="U27" s="6"/>
      <c r="V27" s="6"/>
      <c r="W27" s="7" t="e">
        <f aca="false">T27/(T27+U27)</f>
        <v>#DIV/0!</v>
      </c>
    </row>
    <row r="28" customFormat="false" ht="15" hidden="true" customHeight="true" outlineLevel="0" collapsed="false">
      <c r="A28" s="49" t="s">
        <v>122</v>
      </c>
      <c r="B28" s="6"/>
      <c r="C28" s="6"/>
      <c r="D28" s="6"/>
      <c r="E28" s="29"/>
      <c r="F28" s="7" t="e">
        <f aca="false">B28/(B28+C28)</f>
        <v>#DIV/0!</v>
      </c>
      <c r="G28" s="49" t="s">
        <v>122</v>
      </c>
      <c r="H28" s="6"/>
      <c r="I28" s="6"/>
      <c r="J28" s="6"/>
      <c r="K28" s="29"/>
      <c r="L28" s="7" t="e">
        <f aca="false">H28/(H28+I28)</f>
        <v>#DIV/0!</v>
      </c>
      <c r="M28" s="49" t="s">
        <v>122</v>
      </c>
      <c r="N28" s="6"/>
      <c r="O28" s="6"/>
      <c r="P28" s="6"/>
      <c r="Q28" s="29"/>
      <c r="R28" s="7" t="e">
        <f aca="false">N28/(N28+O28)</f>
        <v>#DIV/0!</v>
      </c>
      <c r="S28" s="49" t="s">
        <v>122</v>
      </c>
      <c r="T28" s="6"/>
      <c r="U28" s="6"/>
      <c r="V28" s="6"/>
      <c r="W28" s="7" t="e">
        <f aca="false">T28/(T28+U28)</f>
        <v>#DIV/0!</v>
      </c>
    </row>
    <row r="29" customFormat="false" ht="15" hidden="true" customHeight="true" outlineLevel="0" collapsed="false">
      <c r="A29" s="49" t="s">
        <v>123</v>
      </c>
      <c r="B29" s="6"/>
      <c r="C29" s="6"/>
      <c r="D29" s="6"/>
      <c r="E29" s="29"/>
      <c r="F29" s="7" t="e">
        <f aca="false">B29/(B29+C29)</f>
        <v>#DIV/0!</v>
      </c>
      <c r="G29" s="49" t="s">
        <v>123</v>
      </c>
      <c r="H29" s="6"/>
      <c r="I29" s="6"/>
      <c r="J29" s="6"/>
      <c r="K29" s="29"/>
      <c r="L29" s="7" t="e">
        <f aca="false">H29/(H29+I29)</f>
        <v>#DIV/0!</v>
      </c>
      <c r="M29" s="49" t="s">
        <v>123</v>
      </c>
      <c r="N29" s="6"/>
      <c r="O29" s="6"/>
      <c r="P29" s="6"/>
      <c r="Q29" s="29"/>
      <c r="R29" s="7" t="e">
        <f aca="false">N29/(N29+O29)</f>
        <v>#DIV/0!</v>
      </c>
      <c r="S29" s="49" t="s">
        <v>123</v>
      </c>
      <c r="T29" s="6"/>
      <c r="U29" s="6"/>
      <c r="V29" s="6"/>
      <c r="W29" s="7" t="e">
        <f aca="false">T29/(T29+U29)</f>
        <v>#DIV/0!</v>
      </c>
    </row>
    <row r="30" customFormat="false" ht="15" hidden="true" customHeight="true" outlineLevel="0" collapsed="false">
      <c r="A30" s="49" t="s">
        <v>124</v>
      </c>
      <c r="B30" s="6"/>
      <c r="C30" s="6"/>
      <c r="D30" s="6"/>
      <c r="E30" s="29"/>
      <c r="F30" s="7" t="e">
        <f aca="false">B30/(B30+C30)</f>
        <v>#DIV/0!</v>
      </c>
      <c r="G30" s="49" t="s">
        <v>124</v>
      </c>
      <c r="H30" s="6"/>
      <c r="I30" s="6"/>
      <c r="J30" s="6"/>
      <c r="K30" s="29"/>
      <c r="L30" s="7" t="e">
        <f aca="false">H30/(H30+I30)</f>
        <v>#DIV/0!</v>
      </c>
      <c r="M30" s="49" t="s">
        <v>124</v>
      </c>
      <c r="N30" s="6"/>
      <c r="O30" s="6"/>
      <c r="P30" s="6"/>
      <c r="Q30" s="29"/>
      <c r="R30" s="7" t="e">
        <f aca="false">N30/(N30+O30)</f>
        <v>#DIV/0!</v>
      </c>
      <c r="S30" s="49" t="s">
        <v>124</v>
      </c>
      <c r="T30" s="6"/>
      <c r="U30" s="6"/>
      <c r="V30" s="6"/>
      <c r="W30" s="7" t="e">
        <f aca="false">T30/(T30+U30)</f>
        <v>#DIV/0!</v>
      </c>
    </row>
    <row r="31" customFormat="false" ht="15" hidden="true" customHeight="true" outlineLevel="0" collapsed="false">
      <c r="A31" s="49" t="s">
        <v>125</v>
      </c>
      <c r="B31" s="6"/>
      <c r="C31" s="6"/>
      <c r="D31" s="6"/>
      <c r="E31" s="29"/>
      <c r="F31" s="7" t="e">
        <f aca="false">B31/(B31+C31)</f>
        <v>#DIV/0!</v>
      </c>
      <c r="G31" s="49" t="s">
        <v>125</v>
      </c>
      <c r="H31" s="6"/>
      <c r="I31" s="6"/>
      <c r="J31" s="6"/>
      <c r="K31" s="29"/>
      <c r="L31" s="7" t="e">
        <f aca="false">H31/(H31+I31)</f>
        <v>#DIV/0!</v>
      </c>
      <c r="M31" s="49" t="s">
        <v>125</v>
      </c>
      <c r="N31" s="6"/>
      <c r="O31" s="6"/>
      <c r="P31" s="6"/>
      <c r="Q31" s="29"/>
      <c r="R31" s="7" t="e">
        <f aca="false">N31/(N31+O31)</f>
        <v>#DIV/0!</v>
      </c>
      <c r="S31" s="49" t="s">
        <v>125</v>
      </c>
      <c r="T31" s="6"/>
      <c r="U31" s="6"/>
      <c r="V31" s="6"/>
      <c r="W31" s="7" t="e">
        <f aca="false">T31/(T31+U31)</f>
        <v>#DIV/0!</v>
      </c>
    </row>
    <row r="32" customFormat="false" ht="15" hidden="true" customHeight="true" outlineLevel="0" collapsed="false">
      <c r="A32" s="49" t="s">
        <v>126</v>
      </c>
      <c r="B32" s="6"/>
      <c r="C32" s="6"/>
      <c r="D32" s="6"/>
      <c r="E32" s="29"/>
      <c r="F32" s="7" t="e">
        <f aca="false">B32/(B32+C32)</f>
        <v>#DIV/0!</v>
      </c>
      <c r="G32" s="49" t="s">
        <v>126</v>
      </c>
      <c r="H32" s="6"/>
      <c r="I32" s="6"/>
      <c r="J32" s="6"/>
      <c r="K32" s="29"/>
      <c r="L32" s="7" t="e">
        <f aca="false">H32/(H32+I32)</f>
        <v>#DIV/0!</v>
      </c>
      <c r="M32" s="49" t="s">
        <v>126</v>
      </c>
      <c r="N32" s="6"/>
      <c r="O32" s="6"/>
      <c r="P32" s="6"/>
      <c r="Q32" s="29"/>
      <c r="R32" s="7" t="e">
        <f aca="false">N32/(N32+O32)</f>
        <v>#DIV/0!</v>
      </c>
      <c r="S32" s="49" t="s">
        <v>126</v>
      </c>
      <c r="T32" s="6"/>
      <c r="U32" s="6"/>
      <c r="V32" s="6"/>
      <c r="W32" s="7" t="e">
        <f aca="false">T32/(T32+U32)</f>
        <v>#DIV/0!</v>
      </c>
    </row>
    <row r="33" customFormat="false" ht="15" hidden="true" customHeight="true" outlineLevel="0" collapsed="false">
      <c r="A33" s="49" t="s">
        <v>127</v>
      </c>
      <c r="B33" s="6"/>
      <c r="C33" s="6"/>
      <c r="D33" s="6"/>
      <c r="E33" s="29"/>
      <c r="F33" s="7" t="e">
        <f aca="false">B33/(B33+C33)</f>
        <v>#DIV/0!</v>
      </c>
      <c r="G33" s="49" t="s">
        <v>127</v>
      </c>
      <c r="H33" s="6"/>
      <c r="I33" s="6"/>
      <c r="J33" s="6"/>
      <c r="K33" s="29"/>
      <c r="L33" s="7" t="e">
        <f aca="false">H33/(H33+I33)</f>
        <v>#DIV/0!</v>
      </c>
      <c r="M33" s="49" t="s">
        <v>127</v>
      </c>
      <c r="N33" s="6"/>
      <c r="O33" s="6"/>
      <c r="P33" s="6"/>
      <c r="Q33" s="29"/>
      <c r="R33" s="7" t="e">
        <f aca="false">N33/(N33+O33)</f>
        <v>#DIV/0!</v>
      </c>
      <c r="S33" s="49" t="s">
        <v>127</v>
      </c>
      <c r="T33" s="6"/>
      <c r="U33" s="6"/>
      <c r="V33" s="6"/>
      <c r="W33" s="7" t="e">
        <f aca="false">T33/(T33+U33)</f>
        <v>#DIV/0!</v>
      </c>
    </row>
    <row r="34" customFormat="false" ht="15" hidden="true" customHeight="true" outlineLevel="0" collapsed="false">
      <c r="A34" s="49" t="s">
        <v>128</v>
      </c>
      <c r="B34" s="6"/>
      <c r="C34" s="6"/>
      <c r="D34" s="6"/>
      <c r="E34" s="29"/>
      <c r="F34" s="7" t="e">
        <f aca="false">B34/(B34+C34)</f>
        <v>#DIV/0!</v>
      </c>
      <c r="G34" s="49" t="s">
        <v>128</v>
      </c>
      <c r="H34" s="6"/>
      <c r="I34" s="6"/>
      <c r="J34" s="6"/>
      <c r="K34" s="29"/>
      <c r="L34" s="7" t="e">
        <f aca="false">H34/(H34+I34)</f>
        <v>#DIV/0!</v>
      </c>
      <c r="M34" s="49" t="s">
        <v>128</v>
      </c>
      <c r="N34" s="6"/>
      <c r="O34" s="6"/>
      <c r="P34" s="6"/>
      <c r="Q34" s="29"/>
      <c r="R34" s="7" t="e">
        <f aca="false">N34/(N34+O34)</f>
        <v>#DIV/0!</v>
      </c>
      <c r="S34" s="49" t="s">
        <v>128</v>
      </c>
      <c r="T34" s="6"/>
      <c r="U34" s="6"/>
      <c r="V34" s="6"/>
      <c r="W34" s="7" t="e">
        <f aca="false">T34/(T34+U34)</f>
        <v>#DIV/0!</v>
      </c>
    </row>
    <row r="35" customFormat="false" ht="15" hidden="true" customHeight="true" outlineLevel="0" collapsed="false">
      <c r="A35" s="49" t="s">
        <v>129</v>
      </c>
      <c r="B35" s="6"/>
      <c r="C35" s="6"/>
      <c r="D35" s="6"/>
      <c r="E35" s="29"/>
      <c r="F35" s="7" t="e">
        <f aca="false">B35/(B35+C35)</f>
        <v>#DIV/0!</v>
      </c>
      <c r="G35" s="49" t="s">
        <v>129</v>
      </c>
      <c r="H35" s="6"/>
      <c r="I35" s="6"/>
      <c r="J35" s="6"/>
      <c r="K35" s="29"/>
      <c r="L35" s="7" t="e">
        <f aca="false">H35/(H35+I35)</f>
        <v>#DIV/0!</v>
      </c>
      <c r="M35" s="49" t="s">
        <v>129</v>
      </c>
      <c r="N35" s="6"/>
      <c r="O35" s="6"/>
      <c r="P35" s="6"/>
      <c r="Q35" s="29"/>
      <c r="R35" s="7" t="e">
        <f aca="false">N35/(N35+O35)</f>
        <v>#DIV/0!</v>
      </c>
      <c r="S35" s="49" t="s">
        <v>129</v>
      </c>
      <c r="T35" s="6"/>
      <c r="U35" s="6"/>
      <c r="V35" s="6"/>
      <c r="W35" s="7" t="e">
        <f aca="false">T35/(T35+U35)</f>
        <v>#DIV/0!</v>
      </c>
    </row>
    <row r="36" customFormat="false" ht="15" hidden="true" customHeight="true" outlineLevel="0" collapsed="false">
      <c r="A36" s="49" t="s">
        <v>130</v>
      </c>
      <c r="B36" s="6"/>
      <c r="C36" s="6"/>
      <c r="D36" s="6"/>
      <c r="E36" s="29"/>
      <c r="F36" s="7" t="e">
        <f aca="false">B36/(B36+C36)</f>
        <v>#DIV/0!</v>
      </c>
      <c r="G36" s="49" t="s">
        <v>130</v>
      </c>
      <c r="H36" s="6"/>
      <c r="I36" s="6"/>
      <c r="J36" s="6"/>
      <c r="K36" s="29"/>
      <c r="L36" s="7" t="e">
        <f aca="false">H36/(H36+I36)</f>
        <v>#DIV/0!</v>
      </c>
      <c r="M36" s="49" t="s">
        <v>130</v>
      </c>
      <c r="N36" s="6"/>
      <c r="O36" s="6"/>
      <c r="P36" s="6"/>
      <c r="Q36" s="29"/>
      <c r="R36" s="7" t="e">
        <f aca="false">N36/(N36+O36)</f>
        <v>#DIV/0!</v>
      </c>
      <c r="S36" s="49" t="s">
        <v>130</v>
      </c>
      <c r="T36" s="6"/>
      <c r="U36" s="6"/>
      <c r="V36" s="6"/>
      <c r="W36" s="7" t="e">
        <f aca="false">T36/(T36+U36)</f>
        <v>#DIV/0!</v>
      </c>
    </row>
    <row r="37" customFormat="false" ht="15" hidden="true" customHeight="true" outlineLevel="0" collapsed="false">
      <c r="A37" s="49" t="s">
        <v>131</v>
      </c>
      <c r="B37" s="6"/>
      <c r="C37" s="6"/>
      <c r="D37" s="6"/>
      <c r="E37" s="29"/>
      <c r="F37" s="7" t="e">
        <f aca="false">B37/(B37+C37)</f>
        <v>#DIV/0!</v>
      </c>
      <c r="G37" s="49" t="s">
        <v>131</v>
      </c>
      <c r="H37" s="6"/>
      <c r="I37" s="6"/>
      <c r="J37" s="6"/>
      <c r="K37" s="29"/>
      <c r="L37" s="7" t="e">
        <f aca="false">H37/(H37+I37)</f>
        <v>#DIV/0!</v>
      </c>
      <c r="M37" s="49" t="s">
        <v>131</v>
      </c>
      <c r="N37" s="6"/>
      <c r="O37" s="6"/>
      <c r="P37" s="6"/>
      <c r="Q37" s="29"/>
      <c r="R37" s="7" t="e">
        <f aca="false">N37/(N37+O37)</f>
        <v>#DIV/0!</v>
      </c>
      <c r="S37" s="49" t="s">
        <v>131</v>
      </c>
      <c r="T37" s="6"/>
      <c r="U37" s="6"/>
      <c r="V37" s="6"/>
      <c r="W37" s="7" t="e">
        <f aca="false">T37/(T37+U37)</f>
        <v>#DIV/0!</v>
      </c>
    </row>
    <row r="38" customFormat="false" ht="15" hidden="true" customHeight="true" outlineLevel="0" collapsed="false">
      <c r="A38" s="49" t="s">
        <v>132</v>
      </c>
      <c r="B38" s="6"/>
      <c r="C38" s="6"/>
      <c r="D38" s="6"/>
      <c r="E38" s="29"/>
      <c r="F38" s="7" t="e">
        <f aca="false">B38/(B38+C38)</f>
        <v>#DIV/0!</v>
      </c>
      <c r="G38" s="49" t="s">
        <v>132</v>
      </c>
      <c r="H38" s="6"/>
      <c r="I38" s="6"/>
      <c r="J38" s="6"/>
      <c r="K38" s="29"/>
      <c r="L38" s="7" t="e">
        <f aca="false">H38/(H38+I38)</f>
        <v>#DIV/0!</v>
      </c>
      <c r="M38" s="49" t="s">
        <v>132</v>
      </c>
      <c r="N38" s="6"/>
      <c r="O38" s="6"/>
      <c r="P38" s="6"/>
      <c r="Q38" s="29"/>
      <c r="R38" s="7" t="e">
        <f aca="false">N38/(N38+O38)</f>
        <v>#DIV/0!</v>
      </c>
      <c r="S38" s="49" t="s">
        <v>132</v>
      </c>
      <c r="T38" s="6"/>
      <c r="U38" s="6"/>
      <c r="V38" s="6"/>
      <c r="W38" s="7" t="e">
        <f aca="false">T38/(T38+U38)</f>
        <v>#DIV/0!</v>
      </c>
    </row>
    <row r="39" customFormat="false" ht="15" hidden="true" customHeight="true" outlineLevel="0" collapsed="false">
      <c r="A39" s="49" t="s">
        <v>133</v>
      </c>
      <c r="B39" s="6"/>
      <c r="C39" s="6"/>
      <c r="D39" s="6"/>
      <c r="E39" s="29"/>
      <c r="F39" s="7" t="e">
        <f aca="false">B39/(B39+C39)</f>
        <v>#DIV/0!</v>
      </c>
      <c r="G39" s="49" t="s">
        <v>133</v>
      </c>
      <c r="H39" s="6"/>
      <c r="I39" s="6"/>
      <c r="J39" s="6"/>
      <c r="K39" s="29"/>
      <c r="L39" s="7" t="e">
        <f aca="false">H39/(H39+I39)</f>
        <v>#DIV/0!</v>
      </c>
      <c r="M39" s="49" t="s">
        <v>133</v>
      </c>
      <c r="N39" s="6"/>
      <c r="O39" s="6"/>
      <c r="P39" s="6"/>
      <c r="Q39" s="29"/>
      <c r="R39" s="7" t="e">
        <f aca="false">N39/(N39+O39)</f>
        <v>#DIV/0!</v>
      </c>
      <c r="S39" s="49" t="s">
        <v>133</v>
      </c>
      <c r="T39" s="6"/>
      <c r="U39" s="6"/>
      <c r="V39" s="6"/>
      <c r="W39" s="7" t="e">
        <f aca="false">T39/(T39+U39)</f>
        <v>#DIV/0!</v>
      </c>
    </row>
    <row r="40" customFormat="false" ht="15" hidden="true" customHeight="true" outlineLevel="0" collapsed="false">
      <c r="A40" s="49" t="s">
        <v>134</v>
      </c>
      <c r="B40" s="6"/>
      <c r="C40" s="6"/>
      <c r="D40" s="6"/>
      <c r="E40" s="29"/>
      <c r="F40" s="7" t="e">
        <f aca="false">B40/(B40+C40)</f>
        <v>#DIV/0!</v>
      </c>
      <c r="G40" s="49" t="s">
        <v>134</v>
      </c>
      <c r="H40" s="6"/>
      <c r="I40" s="6"/>
      <c r="J40" s="6"/>
      <c r="K40" s="29"/>
      <c r="L40" s="7" t="e">
        <f aca="false">H40/(H40+I40)</f>
        <v>#DIV/0!</v>
      </c>
      <c r="M40" s="49" t="s">
        <v>134</v>
      </c>
      <c r="N40" s="6"/>
      <c r="O40" s="6"/>
      <c r="P40" s="6"/>
      <c r="Q40" s="29"/>
      <c r="R40" s="7" t="e">
        <f aca="false">N40/(N40+O40)</f>
        <v>#DIV/0!</v>
      </c>
      <c r="S40" s="49" t="s">
        <v>134</v>
      </c>
      <c r="T40" s="6"/>
      <c r="U40" s="6"/>
      <c r="V40" s="6"/>
      <c r="W40" s="7" t="e">
        <f aca="false">T40/(T40+U40)</f>
        <v>#DIV/0!</v>
      </c>
    </row>
    <row r="41" customFormat="false" ht="15" hidden="true" customHeight="true" outlineLevel="0" collapsed="false">
      <c r="A41" s="49" t="s">
        <v>135</v>
      </c>
      <c r="B41" s="6"/>
      <c r="C41" s="6"/>
      <c r="D41" s="6"/>
      <c r="E41" s="29"/>
      <c r="F41" s="7" t="e">
        <f aca="false">B41/(B41+C41)</f>
        <v>#DIV/0!</v>
      </c>
      <c r="G41" s="49" t="s">
        <v>135</v>
      </c>
      <c r="H41" s="6"/>
      <c r="I41" s="6"/>
      <c r="J41" s="6"/>
      <c r="K41" s="29"/>
      <c r="L41" s="7" t="e">
        <f aca="false">H41/(H41+I41)</f>
        <v>#DIV/0!</v>
      </c>
      <c r="M41" s="49" t="s">
        <v>135</v>
      </c>
      <c r="N41" s="6"/>
      <c r="O41" s="6"/>
      <c r="P41" s="6"/>
      <c r="Q41" s="29"/>
      <c r="R41" s="7" t="e">
        <f aca="false">N41/(N41+O41)</f>
        <v>#DIV/0!</v>
      </c>
      <c r="S41" s="49" t="s">
        <v>135</v>
      </c>
      <c r="T41" s="6"/>
      <c r="U41" s="6"/>
      <c r="V41" s="6"/>
      <c r="W41" s="7" t="e">
        <f aca="false">T41/(T41+U41)</f>
        <v>#DIV/0!</v>
      </c>
    </row>
    <row r="42" customFormat="false" ht="15" hidden="true" customHeight="true" outlineLevel="0" collapsed="false">
      <c r="A42" s="49" t="s">
        <v>136</v>
      </c>
      <c r="B42" s="6"/>
      <c r="C42" s="6"/>
      <c r="D42" s="6"/>
      <c r="E42" s="29"/>
      <c r="F42" s="7" t="e">
        <f aca="false">B42/(B42+C42)</f>
        <v>#DIV/0!</v>
      </c>
      <c r="G42" s="49" t="s">
        <v>136</v>
      </c>
      <c r="H42" s="6"/>
      <c r="I42" s="6"/>
      <c r="J42" s="6"/>
      <c r="K42" s="29"/>
      <c r="L42" s="7" t="e">
        <f aca="false">H42/(H42+I42)</f>
        <v>#DIV/0!</v>
      </c>
      <c r="M42" s="49" t="s">
        <v>136</v>
      </c>
      <c r="N42" s="6"/>
      <c r="O42" s="6"/>
      <c r="P42" s="6"/>
      <c r="Q42" s="29"/>
      <c r="R42" s="7" t="e">
        <f aca="false">N42/(N42+O42)</f>
        <v>#DIV/0!</v>
      </c>
      <c r="S42" s="49" t="s">
        <v>136</v>
      </c>
      <c r="T42" s="6"/>
      <c r="U42" s="6"/>
      <c r="V42" s="6"/>
      <c r="W42" s="7" t="e">
        <f aca="false">T42/(T42+U42)</f>
        <v>#DIV/0!</v>
      </c>
    </row>
    <row r="43" customFormat="false" ht="15" hidden="true" customHeight="true" outlineLevel="0" collapsed="false">
      <c r="A43" s="49" t="s">
        <v>137</v>
      </c>
      <c r="B43" s="6"/>
      <c r="C43" s="6"/>
      <c r="D43" s="6"/>
      <c r="E43" s="29"/>
      <c r="F43" s="7" t="e">
        <f aca="false">B43/(B43+C43)</f>
        <v>#DIV/0!</v>
      </c>
      <c r="G43" s="49" t="s">
        <v>137</v>
      </c>
      <c r="H43" s="6"/>
      <c r="I43" s="6"/>
      <c r="J43" s="6"/>
      <c r="K43" s="29"/>
      <c r="L43" s="7" t="e">
        <f aca="false">H43/(H43+I43)</f>
        <v>#DIV/0!</v>
      </c>
      <c r="M43" s="49" t="s">
        <v>137</v>
      </c>
      <c r="N43" s="6"/>
      <c r="O43" s="6"/>
      <c r="P43" s="6"/>
      <c r="Q43" s="29"/>
      <c r="R43" s="7" t="e">
        <f aca="false">N43/(N43+O43)</f>
        <v>#DIV/0!</v>
      </c>
      <c r="S43" s="49" t="s">
        <v>137</v>
      </c>
      <c r="T43" s="6"/>
      <c r="U43" s="6"/>
      <c r="V43" s="6"/>
      <c r="W43" s="7" t="e">
        <f aca="false">T43/(T43+U43)</f>
        <v>#DIV/0!</v>
      </c>
    </row>
    <row r="44" customFormat="false" ht="15" hidden="true" customHeight="true" outlineLevel="0" collapsed="false">
      <c r="A44" s="49" t="s">
        <v>138</v>
      </c>
      <c r="B44" s="6"/>
      <c r="C44" s="6"/>
      <c r="D44" s="6"/>
      <c r="E44" s="29"/>
      <c r="F44" s="7" t="e">
        <f aca="false">B44/(B44+C44)</f>
        <v>#DIV/0!</v>
      </c>
      <c r="G44" s="49" t="s">
        <v>138</v>
      </c>
      <c r="H44" s="6"/>
      <c r="I44" s="6"/>
      <c r="J44" s="6"/>
      <c r="K44" s="29"/>
      <c r="L44" s="7" t="e">
        <f aca="false">H44/(H44+I44)</f>
        <v>#DIV/0!</v>
      </c>
      <c r="M44" s="49" t="s">
        <v>138</v>
      </c>
      <c r="N44" s="6"/>
      <c r="O44" s="6"/>
      <c r="P44" s="6"/>
      <c r="Q44" s="29"/>
      <c r="R44" s="7" t="e">
        <f aca="false">N44/(N44+O44)</f>
        <v>#DIV/0!</v>
      </c>
      <c r="S44" s="49" t="s">
        <v>138</v>
      </c>
      <c r="T44" s="6"/>
      <c r="U44" s="6"/>
      <c r="V44" s="6"/>
      <c r="W44" s="7" t="e">
        <f aca="false">T44/(T44+U44)</f>
        <v>#DIV/0!</v>
      </c>
    </row>
    <row r="45" customFormat="false" ht="15" hidden="true" customHeight="true" outlineLevel="0" collapsed="false">
      <c r="A45" s="49" t="s">
        <v>139</v>
      </c>
      <c r="B45" s="6"/>
      <c r="C45" s="6"/>
      <c r="D45" s="6"/>
      <c r="E45" s="29"/>
      <c r="F45" s="7" t="e">
        <f aca="false">B45/(B45+C45)</f>
        <v>#DIV/0!</v>
      </c>
      <c r="G45" s="49" t="s">
        <v>139</v>
      </c>
      <c r="H45" s="6"/>
      <c r="I45" s="6"/>
      <c r="J45" s="6"/>
      <c r="K45" s="29"/>
      <c r="L45" s="7" t="e">
        <f aca="false">H45/(H45+I45)</f>
        <v>#DIV/0!</v>
      </c>
      <c r="M45" s="49" t="s">
        <v>139</v>
      </c>
      <c r="N45" s="6"/>
      <c r="O45" s="6"/>
      <c r="P45" s="6"/>
      <c r="Q45" s="29"/>
      <c r="R45" s="7" t="e">
        <f aca="false">N45/(N45+O45)</f>
        <v>#DIV/0!</v>
      </c>
      <c r="S45" s="49" t="s">
        <v>139</v>
      </c>
      <c r="T45" s="6"/>
      <c r="U45" s="6"/>
      <c r="V45" s="6"/>
      <c r="W45" s="7" t="e">
        <f aca="false">T45/(T45+U45)</f>
        <v>#DIV/0!</v>
      </c>
    </row>
    <row r="46" customFormat="false" ht="15" hidden="true" customHeight="true" outlineLevel="0" collapsed="false">
      <c r="A46" s="49" t="s">
        <v>140</v>
      </c>
      <c r="B46" s="6"/>
      <c r="C46" s="6"/>
      <c r="D46" s="6"/>
      <c r="E46" s="29"/>
      <c r="F46" s="7" t="e">
        <f aca="false">B46/(B46+C46)</f>
        <v>#DIV/0!</v>
      </c>
      <c r="G46" s="49" t="s">
        <v>140</v>
      </c>
      <c r="H46" s="6"/>
      <c r="I46" s="6"/>
      <c r="J46" s="6"/>
      <c r="K46" s="29"/>
      <c r="L46" s="7" t="e">
        <f aca="false">H46/(H46+I46)</f>
        <v>#DIV/0!</v>
      </c>
      <c r="M46" s="49" t="s">
        <v>140</v>
      </c>
      <c r="N46" s="6"/>
      <c r="O46" s="6"/>
      <c r="P46" s="6"/>
      <c r="Q46" s="29"/>
      <c r="R46" s="7" t="e">
        <f aca="false">N46/(N46+O46)</f>
        <v>#DIV/0!</v>
      </c>
      <c r="S46" s="49" t="s">
        <v>140</v>
      </c>
      <c r="T46" s="6"/>
      <c r="U46" s="6"/>
      <c r="V46" s="6"/>
      <c r="W46" s="7" t="e">
        <f aca="false">T46/(T46+U46)</f>
        <v>#DIV/0!</v>
      </c>
    </row>
    <row r="47" customFormat="false" ht="15" hidden="false" customHeight="true" outlineLevel="0" collapsed="false">
      <c r="A47" s="47" t="n">
        <v>2026</v>
      </c>
      <c r="B47" s="47" t="s">
        <v>90</v>
      </c>
      <c r="C47" s="47" t="s">
        <v>91</v>
      </c>
      <c r="D47" s="47" t="s">
        <v>92</v>
      </c>
      <c r="E47" s="47" t="s">
        <v>93</v>
      </c>
      <c r="F47" s="50" t="s">
        <v>4</v>
      </c>
      <c r="G47" s="47" t="n">
        <v>2026</v>
      </c>
      <c r="H47" s="47" t="s">
        <v>90</v>
      </c>
      <c r="I47" s="47" t="s">
        <v>91</v>
      </c>
      <c r="J47" s="47" t="s">
        <v>92</v>
      </c>
      <c r="K47" s="47" t="s">
        <v>93</v>
      </c>
      <c r="L47" s="50" t="s">
        <v>4</v>
      </c>
      <c r="M47" s="47" t="n">
        <v>2026</v>
      </c>
      <c r="N47" s="47" t="s">
        <v>90</v>
      </c>
      <c r="O47" s="47" t="s">
        <v>91</v>
      </c>
      <c r="P47" s="47" t="s">
        <v>92</v>
      </c>
      <c r="Q47" s="47" t="s">
        <v>93</v>
      </c>
      <c r="R47" s="50" t="s">
        <v>4</v>
      </c>
      <c r="S47" s="47" t="n">
        <v>2026</v>
      </c>
      <c r="T47" s="47" t="s">
        <v>90</v>
      </c>
      <c r="U47" s="47" t="s">
        <v>91</v>
      </c>
      <c r="V47" s="47" t="s">
        <v>92</v>
      </c>
      <c r="W47" s="50" t="s">
        <v>4</v>
      </c>
    </row>
    <row r="48" customFormat="false" ht="15" hidden="false" customHeight="true" outlineLevel="0" collapsed="false">
      <c r="A48" s="46" t="s">
        <v>141</v>
      </c>
      <c r="B48" s="6" t="n">
        <f aca="false">SUM(B13:B46)</f>
        <v>287</v>
      </c>
      <c r="C48" s="6" t="n">
        <f aca="false">SUM(C13:C46)</f>
        <v>273</v>
      </c>
      <c r="D48" s="6" t="n">
        <f aca="false">SUM(D13:D46)</f>
        <v>27</v>
      </c>
      <c r="E48" s="29" t="n">
        <f aca="false">SUM(E13:E46)</f>
        <v>-2526</v>
      </c>
      <c r="F48" s="7" t="n">
        <f aca="false">B48/(B48+C48)</f>
        <v>0.5125</v>
      </c>
      <c r="G48" s="46" t="s">
        <v>141</v>
      </c>
      <c r="H48" s="6" t="n">
        <f aca="false">SUM(H13:H46)</f>
        <v>39</v>
      </c>
      <c r="I48" s="6" t="n">
        <f aca="false">SUM(I13:I46)</f>
        <v>39</v>
      </c>
      <c r="J48" s="6" t="n">
        <f aca="false">SUM(J13:J46)</f>
        <v>3</v>
      </c>
      <c r="K48" s="29" t="n">
        <f aca="false">SUM(K13:K46)</f>
        <v>-27</v>
      </c>
      <c r="L48" s="7" t="n">
        <f aca="false">H48/(H48+I48)</f>
        <v>0.5</v>
      </c>
      <c r="M48" s="46" t="s">
        <v>141</v>
      </c>
      <c r="N48" s="6" t="n">
        <f aca="false">SUM(N13:N46)</f>
        <v>16</v>
      </c>
      <c r="O48" s="6" t="n">
        <f aca="false">SUM(O13:O46)</f>
        <v>8</v>
      </c>
      <c r="P48" s="6" t="n">
        <f aca="false">SUM(P13:P46)</f>
        <v>1</v>
      </c>
      <c r="Q48" s="29" t="n">
        <f aca="false">SUM(Q13:Q46)</f>
        <v>644</v>
      </c>
      <c r="R48" s="7" t="n">
        <f aca="false">N48/(N48+O48)</f>
        <v>0.666666666666667</v>
      </c>
      <c r="S48" s="46" t="s">
        <v>141</v>
      </c>
      <c r="T48" s="6" t="n">
        <f aca="false">SUM(T13:T46)</f>
        <v>94</v>
      </c>
      <c r="U48" s="6" t="n">
        <f aca="false">SUM(U13:U46)</f>
        <v>123</v>
      </c>
      <c r="V48" s="6" t="n">
        <f aca="false">SUM(V13:V46)</f>
        <v>12</v>
      </c>
      <c r="W48" s="7" t="n">
        <f aca="false">T48/(T48+U48)</f>
        <v>0.433179723502304</v>
      </c>
    </row>
    <row r="49" customFormat="false" ht="15" hidden="false" customHeight="true" outlineLevel="0" collapsed="false">
      <c r="A49" s="49" t="s">
        <v>142</v>
      </c>
      <c r="B49" s="6" t="n">
        <f aca="false">SUM(B23:B47)</f>
        <v>67</v>
      </c>
      <c r="C49" s="6" t="n">
        <f aca="false">SUM(C23:C47)</f>
        <v>73</v>
      </c>
      <c r="D49" s="6" t="n">
        <f aca="false">SUM(D23:D47)</f>
        <v>10</v>
      </c>
      <c r="E49" s="29" t="n">
        <f aca="false">SUM(E23:E47)</f>
        <v>-1736</v>
      </c>
      <c r="F49" s="7" t="n">
        <f aca="false">B49/(B49+C49)</f>
        <v>0.478571428571429</v>
      </c>
      <c r="G49" s="49" t="s">
        <v>142</v>
      </c>
      <c r="H49" s="6" t="n">
        <f aca="false">SUM(H23:H47)</f>
        <v>18</v>
      </c>
      <c r="I49" s="6" t="n">
        <f aca="false">SUM(I23:I47)</f>
        <v>13</v>
      </c>
      <c r="J49" s="6" t="n">
        <f aca="false">SUM(J23:J47)</f>
        <v>1</v>
      </c>
      <c r="K49" s="29" t="n">
        <f aca="false">SUM(K23:K47)</f>
        <v>627</v>
      </c>
      <c r="L49" s="7" t="n">
        <f aca="false">H49/(H49+I49)</f>
        <v>0.580645161290323</v>
      </c>
      <c r="M49" s="49" t="s">
        <v>142</v>
      </c>
      <c r="N49" s="6" t="n">
        <f aca="false">SUM(N23:N47)</f>
        <v>16</v>
      </c>
      <c r="O49" s="6" t="n">
        <f aca="false">SUM(O23:O47)</f>
        <v>8</v>
      </c>
      <c r="P49" s="6" t="n">
        <f aca="false">SUM(P23:P47)</f>
        <v>1</v>
      </c>
      <c r="Q49" s="29" t="n">
        <f aca="false">SUM(Q23:Q47)</f>
        <v>644</v>
      </c>
      <c r="R49" s="7" t="n">
        <f aca="false">N49/(N49+O49)</f>
        <v>0.666666666666667</v>
      </c>
      <c r="S49" s="49" t="s">
        <v>142</v>
      </c>
      <c r="T49" s="6" t="n">
        <f aca="false">SUM(T23:T47)</f>
        <v>24</v>
      </c>
      <c r="U49" s="6" t="n">
        <f aca="false">SUM(U23:U47)</f>
        <v>30</v>
      </c>
      <c r="V49" s="6" t="n">
        <f aca="false">SUM(V23:V47)</f>
        <v>5</v>
      </c>
      <c r="W49" s="7" t="n">
        <f aca="false">T49/(T49+U49)</f>
        <v>0.444444444444444</v>
      </c>
    </row>
  </sheetData>
  <mergeCells count="5">
    <mergeCell ref="A1:R1"/>
    <mergeCell ref="B2:D2"/>
    <mergeCell ref="H2:J2"/>
    <mergeCell ref="N2:P2"/>
    <mergeCell ref="T2: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E302" activeCellId="0" sqref="E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.86"/>
    <col collapsed="false" customWidth="true" hidden="false" outlineLevel="0" max="9" min="2" style="51" width="12.29"/>
    <col collapsed="false" customWidth="true" hidden="false" outlineLevel="0" max="10" min="10" style="51" width="11.57"/>
    <col collapsed="false" customWidth="true" hidden="false" outlineLevel="0" max="11" min="11" style="51" width="11.72"/>
    <col collapsed="false" customWidth="true" hidden="false" outlineLevel="0" max="12" min="12" style="1" width="11.57"/>
    <col collapsed="false" customWidth="true" hidden="false" outlineLevel="0" max="13" min="13" style="1" width="11.72"/>
    <col collapsed="false" customWidth="true" hidden="false" outlineLevel="0" max="14" min="14" style="51" width="11.72"/>
    <col collapsed="false" customWidth="true" hidden="false" outlineLevel="0" max="15" min="15" style="51" width="10.86"/>
    <col collapsed="false" customWidth="true" hidden="false" outlineLevel="0" max="16" min="16" style="51" width="10.57"/>
    <col collapsed="false" customWidth="true" hidden="false" outlineLevel="0" max="17" min="17" style="52" width="11"/>
  </cols>
  <sheetData>
    <row r="1" customFormat="false" ht="15" hidden="false" customHeight="true" outlineLevel="0" collapsed="false">
      <c r="A1" s="53" t="s">
        <v>143</v>
      </c>
      <c r="B1" s="54" t="n">
        <v>46145</v>
      </c>
      <c r="C1" s="54" t="n">
        <v>46152</v>
      </c>
      <c r="D1" s="54" t="n">
        <v>46159</v>
      </c>
      <c r="E1" s="54" t="n">
        <v>46166</v>
      </c>
      <c r="F1" s="54" t="n">
        <v>46173</v>
      </c>
      <c r="G1" s="54" t="n">
        <v>46180</v>
      </c>
      <c r="H1" s="54" t="n">
        <v>46187</v>
      </c>
      <c r="I1" s="54" t="n">
        <v>46194</v>
      </c>
      <c r="J1" s="54" t="n">
        <v>46201</v>
      </c>
      <c r="K1" s="54" t="n">
        <v>46208</v>
      </c>
      <c r="L1" s="54" t="n">
        <v>46215</v>
      </c>
      <c r="M1" s="54" t="n">
        <v>46222</v>
      </c>
      <c r="N1" s="54" t="n">
        <v>46229</v>
      </c>
      <c r="O1" s="54" t="n">
        <v>46236</v>
      </c>
      <c r="P1" s="54" t="n">
        <v>46243</v>
      </c>
      <c r="Q1" s="53" t="s">
        <v>144</v>
      </c>
      <c r="S1" s="55" t="s">
        <v>145</v>
      </c>
      <c r="T1" s="56" t="n">
        <v>0.25</v>
      </c>
    </row>
    <row r="2" customFormat="false" ht="15.75" hidden="false" customHeight="true" outlineLevel="0" collapsed="false">
      <c r="A2" s="57" t="s">
        <v>146</v>
      </c>
      <c r="B2" s="9"/>
      <c r="C2" s="9" t="n">
        <v>2.01</v>
      </c>
      <c r="D2" s="9" t="n">
        <v>6.41</v>
      </c>
      <c r="E2" s="9"/>
      <c r="F2" s="9" t="n">
        <v>0.78</v>
      </c>
      <c r="G2" s="9" t="n">
        <v>0.25</v>
      </c>
      <c r="H2" s="9"/>
      <c r="I2" s="9" t="n">
        <v>1.68</v>
      </c>
      <c r="J2" s="9" t="n">
        <v>0</v>
      </c>
      <c r="K2" s="9"/>
      <c r="L2" s="9" t="n">
        <v>0</v>
      </c>
      <c r="M2" s="9" t="n">
        <v>2.96</v>
      </c>
      <c r="N2" s="9"/>
      <c r="O2" s="9"/>
      <c r="P2" s="9"/>
      <c r="Q2" s="58" t="n">
        <f aca="false">TRIMMEAN(B2:P2,2/COUNT(B2:P2))</f>
        <v>1.28</v>
      </c>
    </row>
    <row r="3" customFormat="false" ht="15.75" hidden="false" customHeight="true" outlineLevel="0" collapsed="false">
      <c r="A3" s="57" t="s">
        <v>147</v>
      </c>
      <c r="B3" s="9" t="n">
        <v>0.63</v>
      </c>
      <c r="C3" s="9" t="n">
        <v>0</v>
      </c>
      <c r="D3" s="9"/>
      <c r="E3" s="9" t="n">
        <v>1.33</v>
      </c>
      <c r="F3" s="9" t="n">
        <v>0.2</v>
      </c>
      <c r="G3" s="9" t="n">
        <v>0.36</v>
      </c>
      <c r="H3" s="9"/>
      <c r="I3" s="9"/>
      <c r="J3" s="9" t="n">
        <v>0</v>
      </c>
      <c r="K3" s="9" t="n">
        <v>0.03</v>
      </c>
      <c r="L3" s="9" t="n">
        <v>0.73</v>
      </c>
      <c r="M3" s="9"/>
      <c r="N3" s="9"/>
      <c r="O3" s="9"/>
      <c r="P3" s="9"/>
      <c r="Q3" s="58" t="n">
        <f aca="false">TRIMMEAN(B3:P3,2/COUNT(B3:P3))</f>
        <v>0.325</v>
      </c>
    </row>
    <row r="4" customFormat="false" ht="15.75" hidden="false" customHeight="true" outlineLevel="0" collapsed="false">
      <c r="A4" s="57" t="s">
        <v>148</v>
      </c>
      <c r="B4" s="9" t="n">
        <v>0.3</v>
      </c>
      <c r="C4" s="9" t="n">
        <v>0</v>
      </c>
      <c r="D4" s="9" t="n">
        <v>0</v>
      </c>
      <c r="E4" s="9"/>
      <c r="F4" s="9"/>
      <c r="G4" s="9" t="n">
        <v>1.18</v>
      </c>
      <c r="H4" s="9"/>
      <c r="I4" s="9"/>
      <c r="J4" s="9" t="n">
        <v>1.24</v>
      </c>
      <c r="K4" s="9" t="n">
        <v>0</v>
      </c>
      <c r="L4" s="9" t="n">
        <v>0</v>
      </c>
      <c r="M4" s="9" t="n">
        <v>0</v>
      </c>
      <c r="N4" s="9"/>
      <c r="O4" s="9"/>
      <c r="P4" s="9"/>
      <c r="Q4" s="58" t="n">
        <f aca="false">TRIMMEAN(B4:P4,2/COUNT(B4:P4))</f>
        <v>0.246666666666667</v>
      </c>
    </row>
    <row r="5" customFormat="false" ht="15.75" hidden="false" customHeight="true" outlineLevel="0" collapsed="false">
      <c r="A5" s="57" t="s">
        <v>149</v>
      </c>
      <c r="B5" s="9"/>
      <c r="C5" s="9" t="n">
        <v>0.29</v>
      </c>
      <c r="D5" s="9"/>
      <c r="E5" s="9" t="n">
        <v>1.53</v>
      </c>
      <c r="F5" s="9" t="n">
        <v>0.59</v>
      </c>
      <c r="G5" s="9"/>
      <c r="H5" s="9" t="n">
        <v>0</v>
      </c>
      <c r="I5" s="9"/>
      <c r="J5" s="9"/>
      <c r="K5" s="9" t="n">
        <v>0</v>
      </c>
      <c r="L5" s="9" t="n">
        <v>0</v>
      </c>
      <c r="M5" s="9" t="n">
        <v>0.68</v>
      </c>
      <c r="N5" s="9" t="n">
        <v>0.24</v>
      </c>
      <c r="O5" s="9" t="n">
        <v>0</v>
      </c>
      <c r="P5" s="9" t="n">
        <v>0.99</v>
      </c>
      <c r="Q5" s="58" t="n">
        <f aca="false">TRIMMEAN(B5:P5,2/COUNT(B5:P5))</f>
        <v>0.34875</v>
      </c>
    </row>
    <row r="6" customFormat="false" ht="15.75" hidden="false" customHeight="true" outlineLevel="0" collapsed="false">
      <c r="A6" s="59" t="s">
        <v>150</v>
      </c>
      <c r="B6" s="9"/>
      <c r="C6" s="9" t="n">
        <v>1.12</v>
      </c>
      <c r="D6" s="9" t="n">
        <v>0.74</v>
      </c>
      <c r="E6" s="9" t="n">
        <v>0</v>
      </c>
      <c r="F6" s="9" t="n">
        <v>0.42</v>
      </c>
      <c r="G6" s="9"/>
      <c r="H6" s="9" t="n">
        <v>0</v>
      </c>
      <c r="I6" s="9"/>
      <c r="J6" s="9"/>
      <c r="K6" s="9" t="n">
        <v>0.93</v>
      </c>
      <c r="L6" s="9" t="n">
        <v>0.3</v>
      </c>
      <c r="M6" s="9" t="n">
        <v>0</v>
      </c>
      <c r="N6" s="9" t="n">
        <v>0.59</v>
      </c>
      <c r="O6" s="9" t="n">
        <v>0.31</v>
      </c>
      <c r="P6" s="9" t="n">
        <v>0.34</v>
      </c>
      <c r="Q6" s="58" t="n">
        <f aca="false">TRIMMEAN(B6:P6,2/COUNT(B6:P6))</f>
        <v>0.403333333333333</v>
      </c>
    </row>
    <row r="7" customFormat="false" ht="15.75" hidden="false" customHeight="true" outlineLevel="0" collapsed="false">
      <c r="A7" s="59" t="s">
        <v>151</v>
      </c>
      <c r="B7" s="9" t="n">
        <v>0.48</v>
      </c>
      <c r="C7" s="9" t="n">
        <v>0.14</v>
      </c>
      <c r="D7" s="9" t="n">
        <v>0.74</v>
      </c>
      <c r="E7" s="9"/>
      <c r="F7" s="9"/>
      <c r="G7" s="9" t="n">
        <v>0</v>
      </c>
      <c r="H7" s="9"/>
      <c r="I7" s="9" t="n">
        <v>0</v>
      </c>
      <c r="J7" s="9" t="n">
        <v>0.52</v>
      </c>
      <c r="K7" s="9" t="n">
        <v>0</v>
      </c>
      <c r="L7" s="9"/>
      <c r="M7" s="9" t="n">
        <v>0</v>
      </c>
      <c r="N7" s="9"/>
      <c r="O7" s="9"/>
      <c r="P7" s="9"/>
      <c r="Q7" s="58" t="n">
        <f aca="false">TRIMMEAN(B7:P7,2/COUNT(B7:P7))</f>
        <v>0.19</v>
      </c>
    </row>
    <row r="8" customFormat="false" ht="15.75" hidden="false" customHeight="true" outlineLevel="0" collapsed="false">
      <c r="A8" s="59" t="s">
        <v>152</v>
      </c>
      <c r="B8" s="9" t="n">
        <v>0.48</v>
      </c>
      <c r="C8" s="9" t="n">
        <v>0.2</v>
      </c>
      <c r="D8" s="9" t="n">
        <v>0</v>
      </c>
      <c r="E8" s="9"/>
      <c r="F8" s="9" t="n">
        <v>0.48</v>
      </c>
      <c r="G8" s="9" t="n">
        <v>0</v>
      </c>
      <c r="H8" s="9"/>
      <c r="I8" s="9" t="n">
        <v>1.68</v>
      </c>
      <c r="J8" s="9" t="n">
        <v>3.46</v>
      </c>
      <c r="K8" s="9"/>
      <c r="L8" s="9"/>
      <c r="M8" s="9" t="n">
        <v>0</v>
      </c>
      <c r="N8" s="9"/>
      <c r="O8" s="9" t="n">
        <v>0</v>
      </c>
      <c r="P8" s="9"/>
      <c r="Q8" s="58" t="n">
        <f aca="false">TRIMMEAN(B8:P8,2/COUNT(B8:P8))</f>
        <v>0.405714285714286</v>
      </c>
    </row>
    <row r="9" customFormat="false" ht="15.75" hidden="false" customHeight="true" outlineLevel="0" collapsed="false">
      <c r="A9" s="59" t="s">
        <v>153</v>
      </c>
      <c r="B9" s="9"/>
      <c r="C9" s="9" t="n">
        <v>0</v>
      </c>
      <c r="D9" s="9"/>
      <c r="E9" s="9" t="n">
        <v>0</v>
      </c>
      <c r="F9" s="9" t="n">
        <v>0</v>
      </c>
      <c r="G9" s="9"/>
      <c r="H9" s="9"/>
      <c r="I9" s="9" t="n">
        <v>0.84</v>
      </c>
      <c r="J9" s="9"/>
      <c r="K9" s="9" t="n">
        <v>1.18</v>
      </c>
      <c r="L9" s="9" t="n">
        <v>0.84</v>
      </c>
      <c r="M9" s="9"/>
      <c r="N9" s="9" t="n">
        <v>0.9</v>
      </c>
      <c r="O9" s="9" t="n">
        <v>0.03</v>
      </c>
      <c r="P9" s="9" t="n">
        <v>0</v>
      </c>
      <c r="Q9" s="58" t="n">
        <f aca="false">TRIMMEAN(B9:P9,2/COUNT(B9:P9))</f>
        <v>0.372857142857143</v>
      </c>
    </row>
    <row r="10" customFormat="false" ht="15.75" hidden="false" customHeight="true" outlineLevel="0" collapsed="false">
      <c r="A10" s="59" t="s">
        <v>154</v>
      </c>
      <c r="B10" s="9" t="n">
        <v>0</v>
      </c>
      <c r="C10" s="9" t="n">
        <v>0</v>
      </c>
      <c r="D10" s="9" t="n">
        <v>0.38</v>
      </c>
      <c r="E10" s="9" t="n">
        <v>0</v>
      </c>
      <c r="F10" s="9" t="n">
        <v>0.21</v>
      </c>
      <c r="G10" s="9"/>
      <c r="H10" s="9" t="n">
        <v>0</v>
      </c>
      <c r="I10" s="9"/>
      <c r="J10" s="9"/>
      <c r="K10" s="9" t="n">
        <v>0</v>
      </c>
      <c r="L10" s="9" t="n">
        <v>0</v>
      </c>
      <c r="M10" s="9" t="n">
        <v>0</v>
      </c>
      <c r="N10" s="9" t="n">
        <v>0.46</v>
      </c>
      <c r="O10" s="9" t="n">
        <v>0.75</v>
      </c>
      <c r="P10" s="9" t="n">
        <v>0</v>
      </c>
      <c r="Q10" s="58" t="n">
        <f aca="false">TRIMMEAN(B10:P10,2/COUNT(B10:P10))</f>
        <v>0.105</v>
      </c>
    </row>
    <row r="11" customFormat="false" ht="15.75" hidden="false" customHeight="true" outlineLevel="0" collapsed="false">
      <c r="A11" s="57" t="s">
        <v>155</v>
      </c>
      <c r="B11" s="9" t="n">
        <v>0</v>
      </c>
      <c r="C11" s="9" t="n">
        <v>0.75</v>
      </c>
      <c r="D11" s="9"/>
      <c r="E11" s="9"/>
      <c r="F11" s="9"/>
      <c r="G11" s="9" t="n">
        <v>0</v>
      </c>
      <c r="H11" s="9"/>
      <c r="I11" s="9"/>
      <c r="J11" s="9" t="n">
        <v>0.16</v>
      </c>
      <c r="K11" s="9" t="n">
        <v>0</v>
      </c>
      <c r="L11" s="9" t="n">
        <v>0</v>
      </c>
      <c r="M11" s="9" t="n">
        <v>0</v>
      </c>
      <c r="N11" s="9"/>
      <c r="O11" s="9"/>
      <c r="P11" s="9"/>
      <c r="Q11" s="58" t="n">
        <f aca="false">TRIMMEAN(B11:P11,2/COUNT(B11:P11))</f>
        <v>0.032</v>
      </c>
    </row>
    <row r="12" customFormat="false" ht="15.75" hidden="false" customHeight="true" outlineLevel="0" collapsed="false">
      <c r="A12" s="59" t="s">
        <v>156</v>
      </c>
      <c r="B12" s="9" t="n">
        <v>0.05</v>
      </c>
      <c r="C12" s="9" t="n">
        <v>0.69</v>
      </c>
      <c r="D12" s="9" t="n">
        <v>0</v>
      </c>
      <c r="E12" s="9"/>
      <c r="F12" s="9" t="n">
        <v>0.35</v>
      </c>
      <c r="G12" s="9" t="n">
        <v>0.82</v>
      </c>
      <c r="H12" s="9"/>
      <c r="I12" s="9" t="n">
        <v>0.84</v>
      </c>
      <c r="J12" s="9" t="n">
        <v>0.98</v>
      </c>
      <c r="K12" s="9" t="n">
        <v>0.42</v>
      </c>
      <c r="L12" s="9"/>
      <c r="M12" s="9" t="n">
        <v>0</v>
      </c>
      <c r="N12" s="9"/>
      <c r="O12" s="9" t="n">
        <v>1.01</v>
      </c>
      <c r="P12" s="9" t="n">
        <v>0.11</v>
      </c>
      <c r="Q12" s="58" t="n">
        <f aca="false">TRIMMEAN(B12:P12,2/COUNT(B12:P12))</f>
        <v>0.473333333333333</v>
      </c>
    </row>
    <row r="13" customFormat="false" ht="15.75" hidden="false" customHeight="true" outlineLevel="0" collapsed="false">
      <c r="A13" s="57" t="s">
        <v>157</v>
      </c>
      <c r="B13" s="9"/>
      <c r="C13" s="9"/>
      <c r="D13" s="9" t="n">
        <v>0</v>
      </c>
      <c r="E13" s="9" t="n">
        <v>0</v>
      </c>
      <c r="F13" s="9" t="n">
        <v>1.91</v>
      </c>
      <c r="G13" s="9"/>
      <c r="H13" s="9" t="n">
        <v>0</v>
      </c>
      <c r="I13" s="9" t="n">
        <v>0.48</v>
      </c>
      <c r="J13" s="9"/>
      <c r="K13" s="9" t="n">
        <v>0.33</v>
      </c>
      <c r="L13" s="9" t="n">
        <v>0</v>
      </c>
      <c r="M13" s="9" t="n">
        <v>0</v>
      </c>
      <c r="N13" s="9" t="n">
        <v>0.46</v>
      </c>
      <c r="O13" s="9" t="n">
        <v>1.01</v>
      </c>
      <c r="P13" s="9" t="n">
        <v>10.11</v>
      </c>
      <c r="Q13" s="58" t="n">
        <f aca="false">TRIMMEAN(B13:P13,2/COUNT(B13:P13))</f>
        <v>0.465555555555556</v>
      </c>
    </row>
    <row r="14" customFormat="false" ht="15.75" hidden="false" customHeight="true" outlineLevel="0" collapsed="false">
      <c r="A14" s="59" t="s">
        <v>158</v>
      </c>
      <c r="B14" s="9" t="n">
        <v>0</v>
      </c>
      <c r="C14" s="9" t="n">
        <v>0</v>
      </c>
      <c r="D14" s="9" t="n">
        <v>0</v>
      </c>
      <c r="E14" s="9"/>
      <c r="F14" s="9"/>
      <c r="G14" s="9" t="n">
        <v>0.33</v>
      </c>
      <c r="H14" s="9" t="n">
        <v>1.21</v>
      </c>
      <c r="I14" s="9" t="n">
        <v>0.71</v>
      </c>
      <c r="J14" s="9" t="n">
        <v>0.13</v>
      </c>
      <c r="K14" s="9" t="n">
        <v>0.42</v>
      </c>
      <c r="L14" s="9"/>
      <c r="M14" s="9" t="n">
        <v>0.89</v>
      </c>
      <c r="N14" s="9"/>
      <c r="O14" s="9" t="n">
        <v>0.59</v>
      </c>
      <c r="P14" s="9"/>
      <c r="Q14" s="58" t="n">
        <f aca="false">TRIMMEAN(B14:P14,2/COUNT(B14:P14))</f>
        <v>0.38375</v>
      </c>
    </row>
    <row r="15" customFormat="false" ht="15.75" hidden="false" customHeight="true" outlineLevel="0" collapsed="false">
      <c r="A15" s="59" t="s">
        <v>159</v>
      </c>
      <c r="B15" s="9"/>
      <c r="C15" s="9" t="n">
        <v>0.85</v>
      </c>
      <c r="D15" s="9"/>
      <c r="E15" s="9" t="n">
        <v>0.75</v>
      </c>
      <c r="F15" s="9"/>
      <c r="G15" s="9"/>
      <c r="H15" s="9"/>
      <c r="I15" s="9"/>
      <c r="J15" s="9"/>
      <c r="K15" s="9" t="n">
        <v>0.93</v>
      </c>
      <c r="L15" s="9"/>
      <c r="M15" s="9" t="n">
        <v>0.53</v>
      </c>
      <c r="N15" s="9"/>
      <c r="O15" s="9"/>
      <c r="P15" s="9" t="n">
        <v>0</v>
      </c>
      <c r="Q15" s="58" t="n">
        <f aca="false">TRIMMEAN(B15:P15,2/COUNT(B15:P15))</f>
        <v>0.71</v>
      </c>
    </row>
    <row r="16" customFormat="false" ht="15.75" hidden="false" customHeight="true" outlineLevel="0" collapsed="false">
      <c r="A16" s="57" t="s">
        <v>160</v>
      </c>
      <c r="B16" s="9"/>
      <c r="C16" s="9" t="n">
        <v>0</v>
      </c>
      <c r="D16" s="9" t="n">
        <v>0</v>
      </c>
      <c r="E16" s="9" t="n">
        <v>0.12</v>
      </c>
      <c r="F16" s="9" t="n">
        <v>0</v>
      </c>
      <c r="G16" s="9"/>
      <c r="H16" s="9" t="n">
        <v>0</v>
      </c>
      <c r="I16" s="9"/>
      <c r="J16" s="9"/>
      <c r="K16" s="9"/>
      <c r="L16" s="9" t="n">
        <v>0</v>
      </c>
      <c r="M16" s="9" t="n">
        <v>1.41</v>
      </c>
      <c r="N16" s="9"/>
      <c r="O16" s="9"/>
      <c r="P16" s="9"/>
      <c r="Q16" s="58" t="n">
        <f aca="false">TRIMMEAN(B16:P16,2/COUNT(B16:P16))</f>
        <v>0.024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0.17</v>
      </c>
      <c r="C19" s="9" t="n">
        <v>0.2</v>
      </c>
      <c r="D19" s="9" t="n">
        <v>1.01</v>
      </c>
      <c r="E19" s="9"/>
      <c r="F19" s="9"/>
      <c r="G19" s="9" t="n">
        <v>4.28</v>
      </c>
      <c r="H19" s="9" t="n">
        <v>0.62</v>
      </c>
      <c r="I19" s="9" t="n">
        <v>14.7</v>
      </c>
      <c r="J19" s="9" t="n">
        <v>1.46</v>
      </c>
      <c r="K19" s="9"/>
      <c r="L19" s="9"/>
      <c r="M19" s="9" t="n">
        <v>10.11</v>
      </c>
      <c r="N19" s="9"/>
      <c r="O19" s="9"/>
      <c r="P19" s="9"/>
      <c r="Q19" s="58" t="n">
        <f aca="false">TRIMMEAN(B19:P19,2/COUNT(B19:P19))</f>
        <v>2.94666666666667</v>
      </c>
    </row>
    <row r="20" customFormat="false" ht="15.75" hidden="false" customHeight="true" outlineLevel="0" collapsed="false">
      <c r="A20" s="57" t="s">
        <v>164</v>
      </c>
      <c r="B20" s="9" t="n">
        <v>0.05</v>
      </c>
      <c r="C20" s="9" t="n">
        <v>0</v>
      </c>
      <c r="D20" s="9" t="n">
        <v>0</v>
      </c>
      <c r="E20" s="9"/>
      <c r="F20" s="9" t="n">
        <v>0</v>
      </c>
      <c r="G20" s="9" t="n">
        <v>0</v>
      </c>
      <c r="H20" s="9" t="n">
        <v>0</v>
      </c>
      <c r="I20" s="9"/>
      <c r="J20" s="9" t="n">
        <v>0.13</v>
      </c>
      <c r="K20" s="9" t="n">
        <v>0</v>
      </c>
      <c r="L20" s="9" t="n">
        <v>0</v>
      </c>
      <c r="M20" s="9"/>
      <c r="N20" s="9" t="n">
        <v>0</v>
      </c>
      <c r="O20" s="9" t="n">
        <v>0</v>
      </c>
      <c r="P20" s="9" t="n">
        <v>0</v>
      </c>
      <c r="Q20" s="58" t="n">
        <f aca="false">TRIMMEAN(B20:P20,2/COUNT(B20:P20))</f>
        <v>0.005</v>
      </c>
    </row>
    <row r="21" customFormat="false" ht="15.75" hidden="false" customHeight="true" outlineLevel="0" collapsed="false">
      <c r="A21" s="59" t="s">
        <v>165</v>
      </c>
      <c r="B21" s="9"/>
      <c r="C21" s="9" t="n">
        <v>0</v>
      </c>
      <c r="D21" s="9"/>
      <c r="E21" s="9" t="n">
        <v>0</v>
      </c>
      <c r="F21" s="9"/>
      <c r="G21" s="9"/>
      <c r="H21" s="9" t="n">
        <v>0</v>
      </c>
      <c r="I21" s="9"/>
      <c r="J21" s="9"/>
      <c r="K21" s="9" t="n">
        <v>0</v>
      </c>
      <c r="L21" s="9" t="n">
        <v>0.43</v>
      </c>
      <c r="M21" s="9" t="n">
        <v>0</v>
      </c>
      <c r="N21" s="9" t="n">
        <v>0</v>
      </c>
      <c r="O21" s="9" t="n">
        <v>0</v>
      </c>
      <c r="P21" s="9" t="n">
        <v>0.59</v>
      </c>
      <c r="Q21" s="58" t="n">
        <f aca="false">TRIMMEAN(B21:P21,2/COUNT(B21:P21))</f>
        <v>0.0614285714285714</v>
      </c>
    </row>
    <row r="22" customFormat="false" ht="15.75" hidden="false" customHeight="true" outlineLevel="0" collapsed="false">
      <c r="A22" s="57" t="s">
        <v>166</v>
      </c>
      <c r="B22" s="9"/>
      <c r="C22" s="9" t="n">
        <v>0.01</v>
      </c>
      <c r="D22" s="9"/>
      <c r="E22" s="9"/>
      <c r="F22" s="9" t="n">
        <v>0.32</v>
      </c>
      <c r="G22" s="9" t="n">
        <v>0.03</v>
      </c>
      <c r="H22" s="9"/>
      <c r="I22" s="9" t="n">
        <v>0.48</v>
      </c>
      <c r="J22" s="9"/>
      <c r="K22" s="9"/>
      <c r="L22" s="9" t="n">
        <v>0.18</v>
      </c>
      <c r="M22" s="9" t="n">
        <v>0</v>
      </c>
      <c r="N22" s="9"/>
      <c r="O22" s="9"/>
      <c r="P22" s="9"/>
      <c r="Q22" s="58" t="n">
        <f aca="false">TRIMMEAN(B22:P22,2/COUNT(B22:P22))</f>
        <v>0.135</v>
      </c>
    </row>
    <row r="23" customFormat="false" ht="15.75" hidden="false" customHeight="true" outlineLevel="0" collapsed="false">
      <c r="A23" s="57" t="s">
        <v>167</v>
      </c>
      <c r="B23" s="9"/>
      <c r="C23" s="9" t="n">
        <v>1.54</v>
      </c>
      <c r="D23" s="9" t="n">
        <v>0.74</v>
      </c>
      <c r="E23" s="9"/>
      <c r="F23" s="9"/>
      <c r="G23" s="9" t="n">
        <v>0.98</v>
      </c>
      <c r="H23" s="9"/>
      <c r="I23" s="9" t="n">
        <v>0</v>
      </c>
      <c r="J23" s="9" t="n">
        <v>0.98</v>
      </c>
      <c r="K23" s="9"/>
      <c r="L23" s="9" t="n">
        <v>0</v>
      </c>
      <c r="M23" s="9" t="n">
        <v>0.89</v>
      </c>
      <c r="N23" s="9"/>
      <c r="O23" s="9" t="n">
        <v>1.56</v>
      </c>
      <c r="P23" s="9"/>
      <c r="Q23" s="58" t="n">
        <f aca="false">TRIMMEAN(B23:P23,2/COUNT(B23:P23))</f>
        <v>0.855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</v>
      </c>
      <c r="C25" s="9" t="n">
        <v>0</v>
      </c>
      <c r="D25" s="9" t="n">
        <v>0</v>
      </c>
      <c r="E25" s="9"/>
      <c r="F25" s="9" t="n">
        <v>0.21</v>
      </c>
      <c r="G25" s="9"/>
      <c r="H25" s="9" t="n">
        <v>0.27</v>
      </c>
      <c r="I25" s="9"/>
      <c r="J25" s="9"/>
      <c r="K25" s="9"/>
      <c r="L25" s="9" t="n">
        <v>0.39</v>
      </c>
      <c r="M25" s="9"/>
      <c r="N25" s="9" t="n">
        <v>0.24</v>
      </c>
      <c r="O25" s="9" t="n">
        <v>0.75</v>
      </c>
      <c r="P25" s="9" t="n">
        <v>0.11</v>
      </c>
      <c r="Q25" s="58" t="n">
        <f aca="false">TRIMMEAN(B25:P25,2/COUNT(B25:P25))</f>
        <v>0.174285714285714</v>
      </c>
    </row>
    <row r="26" customFormat="false" ht="15.75" hidden="false" customHeight="true" outlineLevel="0" collapsed="false">
      <c r="A26" s="57" t="s">
        <v>170</v>
      </c>
      <c r="B26" s="9" t="n">
        <v>0.17</v>
      </c>
      <c r="C26" s="9" t="n">
        <v>0.2</v>
      </c>
      <c r="D26" s="9" t="n">
        <v>1.01</v>
      </c>
      <c r="E26" s="9"/>
      <c r="F26" s="9"/>
      <c r="G26" s="9" t="n">
        <v>0.63</v>
      </c>
      <c r="H26" s="9" t="n">
        <v>10.5</v>
      </c>
      <c r="I26" s="9" t="n">
        <v>0</v>
      </c>
      <c r="J26" s="9" t="n">
        <v>0.98</v>
      </c>
      <c r="K26" s="9"/>
      <c r="L26" s="9" t="n">
        <v>0</v>
      </c>
      <c r="M26" s="9" t="n">
        <v>1.41</v>
      </c>
      <c r="N26" s="9"/>
      <c r="O26" s="9"/>
      <c r="P26" s="9" t="n">
        <v>0</v>
      </c>
      <c r="Q26" s="58" t="n">
        <f aca="false">TRIMMEAN(B26:P26,2/COUNT(B26:P26))</f>
        <v>0.55</v>
      </c>
    </row>
    <row r="27" customFormat="false" ht="15.75" hidden="false" customHeight="true" outlineLevel="0" collapsed="false">
      <c r="A27" s="57" t="s">
        <v>171</v>
      </c>
      <c r="B27" s="9" t="n">
        <v>0.3</v>
      </c>
      <c r="C27" s="9" t="n">
        <v>0.54</v>
      </c>
      <c r="D27" s="9"/>
      <c r="E27" s="9" t="n">
        <v>0.28</v>
      </c>
      <c r="F27" s="9" t="n">
        <v>0.43</v>
      </c>
      <c r="G27" s="9" t="n">
        <v>3.55</v>
      </c>
      <c r="H27" s="9"/>
      <c r="I27" s="9"/>
      <c r="J27" s="9" t="n">
        <v>4.33</v>
      </c>
      <c r="K27" s="9" t="n">
        <v>0</v>
      </c>
      <c r="L27" s="9" t="n">
        <v>0</v>
      </c>
      <c r="M27" s="9" t="n">
        <v>0.41</v>
      </c>
      <c r="N27" s="9"/>
      <c r="O27" s="9"/>
      <c r="P27" s="9"/>
      <c r="Q27" s="58" t="n">
        <f aca="false">TRIMMEAN(B27:P27,2/COUNT(B27:P27))</f>
        <v>0.787142857142857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 t="n">
        <v>0</v>
      </c>
      <c r="F28" s="9"/>
      <c r="G28" s="9"/>
      <c r="H28" s="9"/>
      <c r="I28" s="9"/>
      <c r="J28" s="9"/>
      <c r="K28" s="9" t="n">
        <v>0</v>
      </c>
      <c r="L28" s="9" t="n">
        <v>0.16</v>
      </c>
      <c r="M28" s="9" t="n">
        <v>0</v>
      </c>
      <c r="N28" s="9" t="n">
        <v>0</v>
      </c>
      <c r="O28" s="9"/>
      <c r="P28" s="9"/>
      <c r="Q28" s="58" t="n">
        <f aca="false">TRIMMEAN(B28:P28,2/COUNT(B28:P28))</f>
        <v>0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0</v>
      </c>
      <c r="D30" s="9"/>
      <c r="E30" s="9" t="n">
        <v>0</v>
      </c>
      <c r="F30" s="9" t="n">
        <v>0</v>
      </c>
      <c r="G30" s="9"/>
      <c r="H30" s="9" t="n">
        <v>0</v>
      </c>
      <c r="I30" s="9"/>
      <c r="J30" s="9"/>
      <c r="K30" s="9" t="n">
        <v>0.33</v>
      </c>
      <c r="L30" s="9" t="n">
        <v>1.13</v>
      </c>
      <c r="M30" s="9" t="n">
        <v>0.17</v>
      </c>
      <c r="N30" s="9" t="n">
        <v>0.73</v>
      </c>
      <c r="O30" s="9" t="n">
        <v>0</v>
      </c>
      <c r="P30" s="9" t="n">
        <v>0.59</v>
      </c>
      <c r="Q30" s="58" t="n">
        <f aca="false">TRIMMEAN(B30:P30,2/COUNT(B30:P30))</f>
        <v>0.2275</v>
      </c>
    </row>
    <row r="31" customFormat="false" ht="15.75" hidden="false" customHeight="true" outlineLevel="0" collapsed="false">
      <c r="A31" s="59" t="s">
        <v>175</v>
      </c>
      <c r="B31" s="9"/>
      <c r="C31" s="9" t="n">
        <v>0</v>
      </c>
      <c r="D31" s="9"/>
      <c r="E31" s="9" t="n">
        <v>0.32</v>
      </c>
      <c r="F31" s="9" t="n">
        <v>0</v>
      </c>
      <c r="G31" s="9"/>
      <c r="H31" s="9" t="n">
        <v>0</v>
      </c>
      <c r="I31" s="9"/>
      <c r="J31" s="9"/>
      <c r="K31" s="9" t="n">
        <v>0</v>
      </c>
      <c r="L31" s="9" t="n">
        <v>0</v>
      </c>
      <c r="M31" s="9" t="n">
        <v>0</v>
      </c>
      <c r="N31" s="9" t="n">
        <v>0</v>
      </c>
      <c r="O31" s="9" t="n">
        <v>0.75</v>
      </c>
      <c r="P31" s="9" t="n">
        <v>0</v>
      </c>
      <c r="Q31" s="58" t="n">
        <f aca="false">TRIMMEAN(B31:P31,2/COUNT(B31:P31))</f>
        <v>0.04</v>
      </c>
    </row>
    <row r="32" customFormat="false" ht="15.75" hidden="false" customHeight="true" outlineLevel="0" collapsed="false">
      <c r="A32" s="57" t="s">
        <v>176</v>
      </c>
      <c r="B32" s="9"/>
      <c r="C32" s="9"/>
      <c r="D32" s="9" t="n">
        <v>0</v>
      </c>
      <c r="E32" s="9" t="n">
        <v>7.92</v>
      </c>
      <c r="F32" s="9"/>
      <c r="G32" s="9" t="n">
        <v>6.23</v>
      </c>
      <c r="H32" s="9" t="n">
        <v>1.21</v>
      </c>
      <c r="I32" s="9" t="n">
        <v>28</v>
      </c>
      <c r="J32" s="9" t="n">
        <v>3.46</v>
      </c>
      <c r="K32" s="9"/>
      <c r="L32" s="9" t="n">
        <v>1.47</v>
      </c>
      <c r="M32" s="9" t="n">
        <v>0</v>
      </c>
      <c r="N32" s="9"/>
      <c r="O32" s="9" t="n">
        <v>0</v>
      </c>
      <c r="P32" s="9"/>
      <c r="Q32" s="58" t="n">
        <f aca="false">TRIMMEAN(B32:P32,2/COUNT(B32:P32))</f>
        <v>2.89857142857143</v>
      </c>
    </row>
    <row r="33" customFormat="false" ht="15.75" hidden="false" customHeight="true" outlineLevel="0" collapsed="false">
      <c r="A33" s="57" t="s">
        <v>177</v>
      </c>
      <c r="B33" s="9"/>
      <c r="C33" s="9" t="n">
        <v>1.12</v>
      </c>
      <c r="D33" s="9"/>
      <c r="E33" s="9" t="n">
        <v>0.32</v>
      </c>
      <c r="F33" s="9" t="n">
        <v>5.56</v>
      </c>
      <c r="G33" s="9" t="n">
        <v>2.39</v>
      </c>
      <c r="H33" s="9" t="n">
        <v>0</v>
      </c>
      <c r="I33" s="9"/>
      <c r="J33" s="9" t="n">
        <v>0.22</v>
      </c>
      <c r="K33" s="9" t="n">
        <v>0.27</v>
      </c>
      <c r="L33" s="9" t="n">
        <v>0</v>
      </c>
      <c r="M33" s="9" t="n">
        <v>0</v>
      </c>
      <c r="N33" s="9"/>
      <c r="O33" s="9" t="n">
        <v>0</v>
      </c>
      <c r="P33" s="9" t="n">
        <v>0.47</v>
      </c>
      <c r="Q33" s="58" t="n">
        <f aca="false">TRIMMEAN(B33:P33,2/COUNT(B33:P33))</f>
        <v>0.532222222222222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0.3</v>
      </c>
      <c r="C35" s="9" t="n">
        <v>0.31</v>
      </c>
      <c r="D35" s="9" t="n">
        <v>0</v>
      </c>
      <c r="E35" s="9"/>
      <c r="F35" s="9"/>
      <c r="G35" s="9" t="n">
        <v>0</v>
      </c>
      <c r="H35" s="9" t="n">
        <v>0</v>
      </c>
      <c r="I35" s="9" t="n">
        <v>1.14</v>
      </c>
      <c r="J35" s="9" t="n">
        <v>2.38</v>
      </c>
      <c r="K35" s="9"/>
      <c r="L35" s="9" t="n">
        <v>0</v>
      </c>
      <c r="M35" s="9" t="n">
        <v>2.08</v>
      </c>
      <c r="N35" s="9" t="n">
        <v>0.28</v>
      </c>
      <c r="O35" s="9" t="n">
        <v>0.75</v>
      </c>
      <c r="P35" s="9"/>
      <c r="Q35" s="58" t="n">
        <f aca="false">TRIMMEAN(B35:P35,2/COUNT(B35:P35))</f>
        <v>0.54</v>
      </c>
    </row>
    <row r="36" customFormat="false" ht="15.75" hidden="false" customHeight="true" outlineLevel="0" collapsed="false">
      <c r="A36" s="57" t="s">
        <v>180</v>
      </c>
      <c r="B36" s="9" t="n">
        <v>0.17</v>
      </c>
      <c r="C36" s="9" t="n">
        <v>0.47</v>
      </c>
      <c r="D36" s="9" t="n">
        <v>0</v>
      </c>
      <c r="E36" s="9" t="n">
        <v>0.47</v>
      </c>
      <c r="F36" s="9" t="n">
        <v>0.59</v>
      </c>
      <c r="G36" s="9" t="n">
        <v>0</v>
      </c>
      <c r="H36" s="9"/>
      <c r="I36" s="9" t="n">
        <v>1.14</v>
      </c>
      <c r="J36" s="9"/>
      <c r="K36" s="9" t="n">
        <v>0.27</v>
      </c>
      <c r="L36" s="9" t="n">
        <v>0</v>
      </c>
      <c r="M36" s="9" t="n">
        <v>0.89</v>
      </c>
      <c r="N36" s="9" t="n">
        <v>0</v>
      </c>
      <c r="O36" s="9" t="n">
        <v>0</v>
      </c>
      <c r="P36" s="9" t="n">
        <v>0</v>
      </c>
      <c r="Q36" s="58" t="n">
        <f aca="false">TRIMMEAN(B36:P36,2/COUNT(B36:P36))</f>
        <v>0.26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 t="n">
        <v>0</v>
      </c>
      <c r="F37" s="9"/>
      <c r="G37" s="9"/>
      <c r="H37" s="9"/>
      <c r="I37" s="9"/>
      <c r="J37" s="9"/>
      <c r="K37" s="9"/>
      <c r="L37" s="9" t="n">
        <v>0</v>
      </c>
      <c r="M37" s="9" t="n">
        <v>0.03</v>
      </c>
      <c r="N37" s="9"/>
      <c r="O37" s="9"/>
      <c r="P37" s="9"/>
      <c r="Q37" s="58" t="n">
        <f aca="false">TRIMMEAN(B37:P37,2/COUNT(B37:P37))</f>
        <v>0</v>
      </c>
    </row>
    <row r="38" customFormat="false" ht="15.75" hidden="false" customHeight="true" outlineLevel="0" collapsed="false">
      <c r="A38" s="57" t="s">
        <v>182</v>
      </c>
      <c r="B38" s="9" t="n">
        <v>0.12</v>
      </c>
      <c r="C38" s="9" t="n">
        <v>0.54</v>
      </c>
      <c r="D38" s="9"/>
      <c r="E38" s="9" t="n">
        <v>0.24</v>
      </c>
      <c r="F38" s="9" t="n">
        <v>0.15</v>
      </c>
      <c r="G38" s="9" t="n">
        <v>0</v>
      </c>
      <c r="H38" s="9"/>
      <c r="I38" s="9"/>
      <c r="J38" s="9" t="n">
        <v>0</v>
      </c>
      <c r="K38" s="9" t="n">
        <v>0</v>
      </c>
      <c r="L38" s="9" t="n">
        <v>0</v>
      </c>
      <c r="M38" s="9" t="n">
        <v>0</v>
      </c>
      <c r="N38" s="9"/>
      <c r="O38" s="9"/>
      <c r="P38" s="9"/>
      <c r="Q38" s="58" t="n">
        <f aca="false">TRIMMEAN(B38:P38,2/COUNT(B38:P38))</f>
        <v>0.0728571428571429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0</v>
      </c>
      <c r="C40" s="9" t="n">
        <v>0</v>
      </c>
      <c r="D40" s="9"/>
      <c r="E40" s="9" t="n">
        <v>0</v>
      </c>
      <c r="F40" s="9" t="n">
        <v>0.21</v>
      </c>
      <c r="G40" s="9"/>
      <c r="H40" s="9" t="n">
        <v>0</v>
      </c>
      <c r="I40" s="9"/>
      <c r="J40" s="9"/>
      <c r="K40" s="9" t="n">
        <v>0.23</v>
      </c>
      <c r="L40" s="9" t="n">
        <v>0.23</v>
      </c>
      <c r="M40" s="9" t="n">
        <v>0.25</v>
      </c>
      <c r="N40" s="9" t="n">
        <v>0.33</v>
      </c>
      <c r="O40" s="9" t="n">
        <v>0</v>
      </c>
      <c r="P40" s="9" t="n">
        <v>0.34</v>
      </c>
      <c r="Q40" s="58" t="n">
        <f aca="false">TRIMMEAN(B40:P40,2/COUNT(B40:P40))</f>
        <v>0.138888888888889</v>
      </c>
    </row>
    <row r="41" customFormat="false" ht="15.75" hidden="false" customHeight="true" outlineLevel="0" collapsed="false">
      <c r="A41" s="57" t="s">
        <v>185</v>
      </c>
      <c r="B41" s="9"/>
      <c r="C41" s="9" t="n">
        <v>0</v>
      </c>
      <c r="D41" s="9"/>
      <c r="E41" s="9" t="n">
        <v>0</v>
      </c>
      <c r="F41" s="9" t="n">
        <v>0</v>
      </c>
      <c r="G41" s="9"/>
      <c r="H41" s="9" t="n">
        <v>0</v>
      </c>
      <c r="I41" s="9"/>
      <c r="J41" s="9"/>
      <c r="K41" s="9"/>
      <c r="L41" s="9" t="n">
        <v>0.9</v>
      </c>
      <c r="M41" s="9"/>
      <c r="N41" s="9" t="n">
        <v>0</v>
      </c>
      <c r="O41" s="9" t="n">
        <v>0</v>
      </c>
      <c r="P41" s="9" t="n">
        <v>0</v>
      </c>
      <c r="Q41" s="58" t="n">
        <f aca="false">TRIMMEAN(B41:P41,2/COUNT(B41:P41))</f>
        <v>0</v>
      </c>
    </row>
    <row r="42" customFormat="false" ht="15.75" hidden="false" customHeight="true" outlineLevel="0" collapsed="false">
      <c r="A42" s="59" t="s">
        <v>186</v>
      </c>
      <c r="B42" s="9" t="n">
        <v>0.17</v>
      </c>
      <c r="C42" s="9" t="n">
        <v>0</v>
      </c>
      <c r="D42" s="9" t="n">
        <v>0</v>
      </c>
      <c r="E42" s="9"/>
      <c r="F42" s="9"/>
      <c r="G42" s="9" t="n">
        <v>0</v>
      </c>
      <c r="H42" s="9"/>
      <c r="I42" s="9" t="n">
        <v>0</v>
      </c>
      <c r="J42" s="9" t="n">
        <v>0</v>
      </c>
      <c r="K42" s="9"/>
      <c r="L42" s="9"/>
      <c r="M42" s="9" t="n">
        <v>0</v>
      </c>
      <c r="N42" s="9"/>
      <c r="O42" s="9"/>
      <c r="P42" s="9" t="n">
        <v>0</v>
      </c>
      <c r="Q42" s="58" t="n">
        <f aca="false">TRIMMEAN(B42:P42,2/COUNT(B42:P42))</f>
        <v>0</v>
      </c>
    </row>
    <row r="43" customFormat="false" ht="15.75" hidden="false" customHeight="true" outlineLevel="0" collapsed="false">
      <c r="A43" s="59" t="s">
        <v>187</v>
      </c>
      <c r="B43" s="9"/>
      <c r="C43" s="9" t="n">
        <v>1.75</v>
      </c>
      <c r="D43" s="9" t="n">
        <v>0</v>
      </c>
      <c r="E43" s="9"/>
      <c r="F43" s="9" t="n">
        <v>1.65</v>
      </c>
      <c r="G43" s="9" t="n">
        <v>0.37</v>
      </c>
      <c r="H43" s="9"/>
      <c r="I43" s="9" t="n">
        <v>0</v>
      </c>
      <c r="J43" s="9"/>
      <c r="K43" s="9"/>
      <c r="L43" s="9"/>
      <c r="M43" s="9" t="n">
        <v>2.08</v>
      </c>
      <c r="N43" s="9"/>
      <c r="O43" s="9"/>
      <c r="P43" s="9"/>
      <c r="Q43" s="58" t="n">
        <f aca="false">TRIMMEAN(B43:P43,2/COUNT(B43:P43))</f>
        <v>0.9425</v>
      </c>
    </row>
    <row r="44" customFormat="false" ht="15.75" hidden="false" customHeight="true" outlineLevel="0" collapsed="false">
      <c r="A44" s="57" t="s">
        <v>188</v>
      </c>
      <c r="B44" s="9" t="n">
        <v>0.2</v>
      </c>
      <c r="C44" s="9" t="n">
        <v>1.26</v>
      </c>
      <c r="D44" s="9"/>
      <c r="E44" s="9"/>
      <c r="F44" s="9" t="n">
        <v>0</v>
      </c>
      <c r="G44" s="9" t="n">
        <v>0</v>
      </c>
      <c r="H44" s="9"/>
      <c r="I44" s="9"/>
      <c r="J44" s="9" t="n">
        <v>0</v>
      </c>
      <c r="K44" s="9" t="n">
        <v>0.41</v>
      </c>
      <c r="L44" s="9" t="n">
        <v>1.13</v>
      </c>
      <c r="M44" s="9" t="n">
        <v>0.03</v>
      </c>
      <c r="N44" s="9"/>
      <c r="O44" s="9"/>
      <c r="P44" s="9"/>
      <c r="Q44" s="58" t="n">
        <f aca="false">TRIMMEAN(B44:P44,2/COUNT(B44:P44))</f>
        <v>0.295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 t="n">
        <v>0.81</v>
      </c>
      <c r="D46" s="9" t="n">
        <v>0</v>
      </c>
      <c r="E46" s="9"/>
      <c r="F46" s="9"/>
      <c r="G46" s="9"/>
      <c r="H46" s="9"/>
      <c r="I46" s="9"/>
      <c r="J46" s="9"/>
      <c r="K46" s="9"/>
      <c r="L46" s="9"/>
      <c r="M46" s="9" t="n">
        <v>0.67</v>
      </c>
      <c r="N46" s="9"/>
      <c r="O46" s="9"/>
      <c r="P46" s="9"/>
      <c r="Q46" s="58" t="n">
        <f aca="false">TRIMMEAN(B46:P46,2/COUNT(B46:P46))</f>
        <v>0.67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0.57</v>
      </c>
      <c r="D48" s="9"/>
      <c r="E48" s="9" t="n">
        <v>0</v>
      </c>
      <c r="F48" s="9" t="n">
        <v>0</v>
      </c>
      <c r="G48" s="9"/>
      <c r="H48" s="9" t="n">
        <v>0</v>
      </c>
      <c r="I48" s="9"/>
      <c r="J48" s="9"/>
      <c r="K48" s="9" t="n">
        <v>0.53</v>
      </c>
      <c r="L48" s="9" t="n">
        <v>0</v>
      </c>
      <c r="M48" s="9" t="n">
        <v>0</v>
      </c>
      <c r="N48" s="9" t="n">
        <v>0.73</v>
      </c>
      <c r="O48" s="9" t="n">
        <v>0</v>
      </c>
      <c r="P48" s="9" t="n">
        <v>0</v>
      </c>
      <c r="Q48" s="58" t="n">
        <f aca="false">TRIMMEAN(B48:P48,2/COUNT(B48:P48))</f>
        <v>0.1375</v>
      </c>
    </row>
    <row r="49" customFormat="false" ht="15.75" hidden="false" customHeight="true" outlineLevel="0" collapsed="false">
      <c r="A49" s="59" t="s">
        <v>193</v>
      </c>
      <c r="B49" s="9"/>
      <c r="C49" s="9"/>
      <c r="D49" s="9" t="n">
        <v>0</v>
      </c>
      <c r="E49" s="9"/>
      <c r="F49" s="9"/>
      <c r="G49" s="9"/>
      <c r="H49" s="9"/>
      <c r="I49" s="9"/>
      <c r="J49" s="9"/>
      <c r="K49" s="9"/>
      <c r="L49" s="9"/>
      <c r="M49" s="9" t="n">
        <v>0</v>
      </c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0.22</v>
      </c>
      <c r="D50" s="9"/>
      <c r="E50" s="9" t="n">
        <v>0</v>
      </c>
      <c r="F50" s="9" t="n">
        <v>0</v>
      </c>
      <c r="G50" s="9"/>
      <c r="H50" s="9" t="n">
        <v>0</v>
      </c>
      <c r="I50" s="9" t="n">
        <v>0</v>
      </c>
      <c r="J50" s="9"/>
      <c r="K50" s="9" t="n">
        <v>0</v>
      </c>
      <c r="L50" s="9" t="n">
        <v>0.16</v>
      </c>
      <c r="M50" s="9"/>
      <c r="N50" s="9" t="n">
        <v>0</v>
      </c>
      <c r="O50" s="9" t="n">
        <v>0</v>
      </c>
      <c r="P50" s="9" t="n">
        <v>0</v>
      </c>
      <c r="Q50" s="58" t="n">
        <f aca="false">TRIMMEAN(B50:P50,2/COUNT(B50:P50))</f>
        <v>0.02</v>
      </c>
    </row>
    <row r="51" customFormat="false" ht="15.75" hidden="false" customHeight="true" outlineLevel="0" collapsed="false">
      <c r="A51" s="59" t="s">
        <v>195</v>
      </c>
      <c r="B51" s="9"/>
      <c r="C51" s="9" t="n">
        <v>0</v>
      </c>
      <c r="D51" s="9"/>
      <c r="E51" s="9" t="n">
        <v>0.24</v>
      </c>
      <c r="F51" s="9"/>
      <c r="G51" s="9"/>
      <c r="H51" s="9"/>
      <c r="I51" s="9"/>
      <c r="J51" s="9"/>
      <c r="K51" s="9" t="n">
        <v>0.93</v>
      </c>
      <c r="L51" s="9" t="n">
        <v>0</v>
      </c>
      <c r="M51" s="9" t="n">
        <v>0</v>
      </c>
      <c r="N51" s="9" t="n">
        <v>0</v>
      </c>
      <c r="O51" s="9"/>
      <c r="P51" s="9"/>
      <c r="Q51" s="58" t="n">
        <f aca="false">TRIMMEAN(B51:P51,2/COUNT(B51:P51))</f>
        <v>0.06</v>
      </c>
    </row>
    <row r="52" customFormat="false" ht="15.75" hidden="false" customHeight="true" outlineLevel="0" collapsed="false">
      <c r="A52" s="59" t="s">
        <v>196</v>
      </c>
      <c r="B52" s="9"/>
      <c r="C52" s="9" t="n">
        <v>0.29</v>
      </c>
      <c r="D52" s="9"/>
      <c r="E52" s="9" t="n">
        <v>0</v>
      </c>
      <c r="F52" s="9" t="n">
        <v>0</v>
      </c>
      <c r="G52" s="9"/>
      <c r="H52" s="9" t="n">
        <v>0</v>
      </c>
      <c r="I52" s="9"/>
      <c r="J52" s="9"/>
      <c r="K52" s="9" t="n">
        <v>0.33</v>
      </c>
      <c r="L52" s="9" t="n">
        <v>0</v>
      </c>
      <c r="M52" s="9" t="n">
        <v>0.31</v>
      </c>
      <c r="N52" s="9" t="n">
        <v>0</v>
      </c>
      <c r="O52" s="9" t="n">
        <v>0</v>
      </c>
      <c r="P52" s="9" t="n">
        <v>0</v>
      </c>
      <c r="Q52" s="58" t="n">
        <f aca="false">TRIMMEAN(B52:P52,2/COUNT(B52:P52))</f>
        <v>0.075</v>
      </c>
    </row>
    <row r="53" customFormat="false" ht="15.75" hidden="false" customHeight="true" outlineLevel="0" collapsed="false">
      <c r="A53" s="57" t="s">
        <v>197</v>
      </c>
      <c r="B53" s="9" t="n">
        <v>0</v>
      </c>
      <c r="C53" s="9" t="n">
        <v>0</v>
      </c>
      <c r="D53" s="9"/>
      <c r="E53" s="9" t="n">
        <v>0</v>
      </c>
      <c r="F53" s="9" t="n">
        <v>0.13</v>
      </c>
      <c r="G53" s="9" t="n">
        <v>0</v>
      </c>
      <c r="H53" s="9"/>
      <c r="I53" s="9" t="n">
        <v>0</v>
      </c>
      <c r="J53" s="9"/>
      <c r="K53" s="9" t="n">
        <v>2.6</v>
      </c>
      <c r="L53" s="9" t="n">
        <v>0</v>
      </c>
      <c r="M53" s="9" t="n">
        <v>0.41</v>
      </c>
      <c r="N53" s="9"/>
      <c r="O53" s="9"/>
      <c r="P53" s="9"/>
      <c r="Q53" s="58" t="n">
        <f aca="false">TRIMMEAN(B53:P53,2/COUNT(B53:P53))</f>
        <v>0.0771428571428572</v>
      </c>
    </row>
    <row r="54" customFormat="false" ht="15.75" hidden="false" customHeight="true" outlineLevel="0" collapsed="false">
      <c r="A54" s="57" t="s">
        <v>198</v>
      </c>
      <c r="B54" s="9" t="n">
        <v>0</v>
      </c>
      <c r="C54" s="9" t="n">
        <v>0.31</v>
      </c>
      <c r="D54" s="9" t="n">
        <v>0</v>
      </c>
      <c r="E54" s="9"/>
      <c r="F54" s="9" t="n">
        <v>1.91</v>
      </c>
      <c r="G54" s="9" t="n">
        <v>0.22</v>
      </c>
      <c r="H54" s="9"/>
      <c r="I54" s="9" t="n">
        <v>0</v>
      </c>
      <c r="J54" s="9" t="n">
        <v>0.35</v>
      </c>
      <c r="K54" s="9"/>
      <c r="L54" s="9" t="n">
        <v>0.47</v>
      </c>
      <c r="M54" s="9" t="n">
        <v>0</v>
      </c>
      <c r="N54" s="9"/>
      <c r="O54" s="9" t="n">
        <v>0</v>
      </c>
      <c r="P54" s="9" t="n">
        <v>1.25</v>
      </c>
      <c r="Q54" s="58" t="n">
        <f aca="false">TRIMMEAN(B54:P54,2/COUNT(B54:P54))</f>
        <v>0.288888888888889</v>
      </c>
    </row>
    <row r="55" customFormat="false" ht="15.75" hidden="false" customHeight="true" outlineLevel="0" collapsed="false">
      <c r="A55" s="57" t="s">
        <v>199</v>
      </c>
      <c r="B55" s="9"/>
      <c r="C55" s="9" t="n">
        <v>0.39</v>
      </c>
      <c r="D55" s="9"/>
      <c r="E55" s="9" t="n">
        <v>0.24</v>
      </c>
      <c r="F55" s="9" t="n">
        <v>0</v>
      </c>
      <c r="G55" s="9"/>
      <c r="H55" s="9" t="n">
        <v>0</v>
      </c>
      <c r="I55" s="9"/>
      <c r="J55" s="9"/>
      <c r="K55" s="9" t="n">
        <v>0</v>
      </c>
      <c r="L55" s="9" t="n">
        <v>0.6</v>
      </c>
      <c r="M55" s="9" t="n">
        <v>0</v>
      </c>
      <c r="N55" s="9" t="n">
        <v>0</v>
      </c>
      <c r="O55" s="9" t="n">
        <v>0.39</v>
      </c>
      <c r="P55" s="9" t="n">
        <v>0.34</v>
      </c>
      <c r="Q55" s="58" t="n">
        <f aca="false">TRIMMEAN(B55:P55,2/COUNT(B55:P55))</f>
        <v>0.17</v>
      </c>
    </row>
    <row r="56" customFormat="false" ht="15.75" hidden="false" customHeight="true" outlineLevel="0" collapsed="false">
      <c r="A56" s="57" t="s">
        <v>200</v>
      </c>
      <c r="B56" s="9" t="n">
        <v>0</v>
      </c>
      <c r="C56" s="9" t="n">
        <v>0.22</v>
      </c>
      <c r="D56" s="9"/>
      <c r="E56" s="9" t="n">
        <v>0</v>
      </c>
      <c r="F56" s="9" t="n">
        <v>0</v>
      </c>
      <c r="G56" s="9" t="n">
        <v>0.5</v>
      </c>
      <c r="H56" s="9"/>
      <c r="I56" s="9"/>
      <c r="J56" s="9" t="n">
        <v>0.24</v>
      </c>
      <c r="K56" s="9" t="n">
        <v>0.41</v>
      </c>
      <c r="L56" s="9"/>
      <c r="M56" s="9"/>
      <c r="N56" s="9"/>
      <c r="O56" s="9"/>
      <c r="P56" s="9"/>
      <c r="Q56" s="58" t="n">
        <f aca="false">TRIMMEAN(B56:P56,2/COUNT(B56:P56))</f>
        <v>0.174</v>
      </c>
    </row>
    <row r="57" customFormat="false" ht="15.75" hidden="false" customHeight="true" outlineLevel="0" collapsed="false">
      <c r="A57" s="57" t="s">
        <v>201</v>
      </c>
      <c r="B57" s="9" t="n">
        <v>0</v>
      </c>
      <c r="C57" s="9" t="n">
        <v>0.47</v>
      </c>
      <c r="D57" s="9" t="n">
        <v>1.48</v>
      </c>
      <c r="E57" s="9"/>
      <c r="F57" s="9"/>
      <c r="G57" s="9" t="n">
        <v>0.98</v>
      </c>
      <c r="H57" s="9"/>
      <c r="I57" s="9" t="n">
        <v>0</v>
      </c>
      <c r="J57" s="9" t="n">
        <v>0.22</v>
      </c>
      <c r="K57" s="9"/>
      <c r="L57" s="9" t="n">
        <v>0</v>
      </c>
      <c r="M57" s="9" t="n">
        <v>0</v>
      </c>
      <c r="N57" s="9"/>
      <c r="O57" s="9" t="n">
        <v>0</v>
      </c>
      <c r="P57" s="9" t="n">
        <v>0</v>
      </c>
      <c r="Q57" s="58" t="n">
        <f aca="false">TRIMMEAN(B57:P57,2/COUNT(B57:P57))</f>
        <v>0.20875</v>
      </c>
    </row>
    <row r="58" customFormat="false" ht="15.75" hidden="false" customHeight="true" outlineLevel="0" collapsed="false">
      <c r="A58" s="59" t="s">
        <v>202</v>
      </c>
      <c r="B58" s="9"/>
      <c r="C58" s="9" t="n">
        <v>0</v>
      </c>
      <c r="D58" s="9"/>
      <c r="E58" s="9" t="n">
        <v>0.47</v>
      </c>
      <c r="F58" s="9" t="n">
        <v>0.78</v>
      </c>
      <c r="G58" s="9"/>
      <c r="H58" s="9" t="n">
        <v>0.42</v>
      </c>
      <c r="I58" s="9"/>
      <c r="J58" s="9"/>
      <c r="K58" s="9" t="n">
        <v>0</v>
      </c>
      <c r="L58" s="9"/>
      <c r="M58" s="9"/>
      <c r="N58" s="9"/>
      <c r="O58" s="9"/>
      <c r="P58" s="9"/>
      <c r="Q58" s="58" t="n">
        <f aca="false">TRIMMEAN(B58:P58,2/COUNT(B58:P58))</f>
        <v>0.296666666666667</v>
      </c>
    </row>
    <row r="59" customFormat="false" ht="15.75" hidden="false" customHeight="true" outlineLevel="0" collapsed="false">
      <c r="A59" s="57" t="s">
        <v>203</v>
      </c>
      <c r="B59" s="9" t="n">
        <v>1.19</v>
      </c>
      <c r="C59" s="9" t="n">
        <v>0.22</v>
      </c>
      <c r="D59" s="9"/>
      <c r="E59" s="9" t="n">
        <v>0</v>
      </c>
      <c r="F59" s="9" t="n">
        <v>0.29</v>
      </c>
      <c r="G59" s="9" t="n">
        <v>0</v>
      </c>
      <c r="H59" s="9"/>
      <c r="I59" s="9"/>
      <c r="J59" s="9" t="n">
        <v>0.34</v>
      </c>
      <c r="K59" s="9" t="n">
        <v>0</v>
      </c>
      <c r="L59" s="9" t="n">
        <v>0</v>
      </c>
      <c r="M59" s="9"/>
      <c r="N59" s="9"/>
      <c r="O59" s="9"/>
      <c r="P59" s="9"/>
      <c r="Q59" s="58" t="n">
        <f aca="false">TRIMMEAN(B59:P59,2/COUNT(B59:P59))</f>
        <v>0.141666666666667</v>
      </c>
    </row>
    <row r="60" customFormat="false" ht="15.75" hidden="false" customHeight="true" outlineLevel="0" collapsed="false">
      <c r="A60" s="59" t="s">
        <v>204</v>
      </c>
      <c r="B60" s="9"/>
      <c r="C60" s="9" t="n">
        <v>0.31</v>
      </c>
      <c r="D60" s="9"/>
      <c r="E60" s="9" t="n">
        <v>1.53</v>
      </c>
      <c r="F60" s="9" t="n">
        <v>0</v>
      </c>
      <c r="G60" s="9" t="n">
        <v>0.43</v>
      </c>
      <c r="H60" s="9" t="n">
        <v>0.32</v>
      </c>
      <c r="I60" s="9"/>
      <c r="J60" s="9" t="n">
        <v>0</v>
      </c>
      <c r="K60" s="9" t="n">
        <v>0</v>
      </c>
      <c r="L60" s="9"/>
      <c r="M60" s="9"/>
      <c r="N60" s="9" t="n">
        <v>0</v>
      </c>
      <c r="O60" s="9" t="n">
        <v>0</v>
      </c>
      <c r="P60" s="9" t="n">
        <v>0</v>
      </c>
      <c r="Q60" s="58" t="n">
        <f aca="false">TRIMMEAN(B60:P60,2/COUNT(B60:P60))</f>
        <v>0.1325</v>
      </c>
    </row>
    <row r="61" customFormat="false" ht="15.75" hidden="false" customHeight="true" outlineLevel="0" collapsed="false">
      <c r="A61" s="59" t="s">
        <v>205</v>
      </c>
      <c r="B61" s="9"/>
      <c r="C61" s="9" t="n">
        <v>0.39</v>
      </c>
      <c r="D61" s="9"/>
      <c r="E61" s="9" t="n">
        <v>0.12</v>
      </c>
      <c r="F61" s="9" t="n">
        <v>0</v>
      </c>
      <c r="G61" s="9"/>
      <c r="H61" s="9" t="n">
        <v>0.42</v>
      </c>
      <c r="I61" s="9"/>
      <c r="J61" s="9"/>
      <c r="K61" s="9" t="n">
        <v>0</v>
      </c>
      <c r="L61" s="9" t="n">
        <v>0</v>
      </c>
      <c r="M61" s="9" t="n">
        <v>0.14</v>
      </c>
      <c r="N61" s="9" t="n">
        <v>0.73</v>
      </c>
      <c r="O61" s="9" t="n">
        <v>0.03</v>
      </c>
      <c r="P61" s="9" t="n">
        <v>0.11</v>
      </c>
      <c r="Q61" s="58" t="n">
        <f aca="false">TRIMMEAN(B61:P61,2/COUNT(B61:P61))</f>
        <v>0.15125</v>
      </c>
    </row>
    <row r="62" customFormat="false" ht="15.75" hidden="false" customHeight="true" outlineLevel="0" collapsed="false">
      <c r="A62" s="59" t="s">
        <v>206</v>
      </c>
      <c r="B62" s="9"/>
      <c r="C62" s="9" t="n">
        <v>0.17</v>
      </c>
      <c r="D62" s="9" t="n">
        <v>0</v>
      </c>
      <c r="E62" s="9" t="n">
        <v>0.47</v>
      </c>
      <c r="F62" s="9" t="n">
        <v>1.33</v>
      </c>
      <c r="G62" s="9"/>
      <c r="H62" s="9" t="n">
        <v>0</v>
      </c>
      <c r="I62" s="9"/>
      <c r="J62" s="9"/>
      <c r="K62" s="9" t="n">
        <v>0</v>
      </c>
      <c r="L62" s="9" t="n">
        <v>4.36</v>
      </c>
      <c r="M62" s="9"/>
      <c r="N62" s="9" t="n">
        <v>0</v>
      </c>
      <c r="O62" s="9" t="n">
        <v>0</v>
      </c>
      <c r="P62" s="9" t="n">
        <v>0</v>
      </c>
      <c r="Q62" s="58" t="n">
        <f aca="false">TRIMMEAN(B62:P62,2/COUNT(B62:P62))</f>
        <v>0.24625</v>
      </c>
    </row>
    <row r="63" customFormat="false" ht="15.75" hidden="false" customHeight="true" outlineLevel="0" collapsed="false">
      <c r="A63" s="57" t="s">
        <v>207</v>
      </c>
      <c r="B63" s="9" t="n">
        <v>1.51</v>
      </c>
      <c r="C63" s="9" t="n">
        <v>4.18</v>
      </c>
      <c r="D63" s="9" t="n">
        <v>0</v>
      </c>
      <c r="E63" s="9"/>
      <c r="F63" s="9"/>
      <c r="G63" s="9" t="n">
        <v>2.96</v>
      </c>
      <c r="H63" s="9" t="n">
        <v>0.62</v>
      </c>
      <c r="I63" s="9" t="n">
        <v>1.14</v>
      </c>
      <c r="J63" s="9" t="n">
        <v>2.38</v>
      </c>
      <c r="K63" s="9"/>
      <c r="L63" s="9" t="n">
        <v>0</v>
      </c>
      <c r="M63" s="9" t="n">
        <v>0</v>
      </c>
      <c r="N63" s="9"/>
      <c r="O63" s="9"/>
      <c r="P63" s="9" t="n">
        <v>0</v>
      </c>
      <c r="Q63" s="58" t="n">
        <f aca="false">TRIMMEAN(B63:P63,2/COUNT(B63:P63))</f>
        <v>1.07625</v>
      </c>
    </row>
    <row r="64" customFormat="false" ht="15.75" hidden="false" customHeight="true" outlineLevel="0" collapsed="false">
      <c r="A64" s="57" t="s">
        <v>208</v>
      </c>
      <c r="B64" s="9"/>
      <c r="C64" s="9" t="n">
        <v>0</v>
      </c>
      <c r="D64" s="9" t="n">
        <v>2.08</v>
      </c>
      <c r="E64" s="9"/>
      <c r="F64" s="9"/>
      <c r="G64" s="9" t="n">
        <v>0.28</v>
      </c>
      <c r="H64" s="9" t="n">
        <v>5.76</v>
      </c>
      <c r="I64" s="9" t="n">
        <v>1.43</v>
      </c>
      <c r="J64" s="9" t="n">
        <v>4.67</v>
      </c>
      <c r="K64" s="9"/>
      <c r="L64" s="9" t="n">
        <v>4.64</v>
      </c>
      <c r="M64" s="9" t="n">
        <v>0</v>
      </c>
      <c r="N64" s="9"/>
      <c r="O64" s="9"/>
      <c r="P64" s="9"/>
      <c r="Q64" s="58" t="n">
        <f aca="false">TRIMMEAN(B64:P64,2/COUNT(B64:P64))</f>
        <v>2.18333333333333</v>
      </c>
    </row>
    <row r="65" customFormat="false" ht="15.75" hidden="false" customHeight="true" outlineLevel="0" collapsed="false">
      <c r="A65" s="57" t="s">
        <v>209</v>
      </c>
      <c r="B65" s="9" t="n">
        <v>0.48</v>
      </c>
      <c r="C65" s="9" t="n">
        <v>2.88</v>
      </c>
      <c r="D65" s="9" t="n">
        <v>0</v>
      </c>
      <c r="E65" s="9"/>
      <c r="F65" s="9"/>
      <c r="G65" s="9" t="n">
        <v>4.28</v>
      </c>
      <c r="H65" s="9" t="n">
        <v>1.21</v>
      </c>
      <c r="I65" s="9" t="n">
        <v>2.41</v>
      </c>
      <c r="J65" s="9" t="n">
        <v>0.98</v>
      </c>
      <c r="K65" s="9"/>
      <c r="L65" s="9" t="n">
        <v>1.47</v>
      </c>
      <c r="M65" s="9" t="n">
        <v>6.99</v>
      </c>
      <c r="N65" s="9"/>
      <c r="O65" s="9"/>
      <c r="P65" s="9"/>
      <c r="Q65" s="58" t="n">
        <f aca="false">TRIMMEAN(B65:P65,2/COUNT(B65:P65))</f>
        <v>1.95857142857143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0.12</v>
      </c>
      <c r="C67" s="9" t="n">
        <v>0</v>
      </c>
      <c r="D67" s="9"/>
      <c r="E67" s="9" t="n">
        <v>0</v>
      </c>
      <c r="F67" s="9" t="n">
        <v>0.43</v>
      </c>
      <c r="G67" s="9" t="n">
        <v>0</v>
      </c>
      <c r="H67" s="9"/>
      <c r="I67" s="9"/>
      <c r="J67" s="9" t="n">
        <v>0</v>
      </c>
      <c r="K67" s="9"/>
      <c r="L67" s="9" t="n">
        <v>0</v>
      </c>
      <c r="M67" s="9"/>
      <c r="N67" s="9"/>
      <c r="O67" s="9"/>
      <c r="P67" s="9"/>
      <c r="Q67" s="58" t="n">
        <f aca="false">TRIMMEAN(B67:P67,2/COUNT(B67:P67))</f>
        <v>0.024</v>
      </c>
    </row>
    <row r="68" customFormat="false" ht="15.75" hidden="false" customHeight="true" outlineLevel="0" collapsed="false">
      <c r="A68" s="59" t="s">
        <v>212</v>
      </c>
      <c r="B68" s="9" t="n">
        <v>1.51</v>
      </c>
      <c r="C68" s="9" t="n">
        <v>6.77</v>
      </c>
      <c r="D68" s="9" t="n">
        <v>0</v>
      </c>
      <c r="E68" s="9"/>
      <c r="F68" s="9" t="n">
        <v>0</v>
      </c>
      <c r="G68" s="9" t="n">
        <v>0</v>
      </c>
      <c r="H68" s="9"/>
      <c r="I68" s="9" t="n">
        <v>0</v>
      </c>
      <c r="J68" s="9" t="n">
        <v>0.22</v>
      </c>
      <c r="K68" s="9" t="n">
        <v>0.7</v>
      </c>
      <c r="L68" s="9"/>
      <c r="M68" s="9" t="n">
        <v>1.41</v>
      </c>
      <c r="N68" s="9"/>
      <c r="O68" s="9" t="n">
        <v>1.56</v>
      </c>
      <c r="P68" s="9"/>
      <c r="Q68" s="58" t="n">
        <f aca="false">TRIMMEAN(B68:P68,2/COUNT(B68:P68))</f>
        <v>0.675</v>
      </c>
    </row>
    <row r="69" customFormat="false" ht="15.75" hidden="false" customHeight="true" outlineLevel="0" collapsed="false">
      <c r="A69" s="57" t="s">
        <v>213</v>
      </c>
      <c r="B69" s="9" t="n">
        <v>0.3</v>
      </c>
      <c r="C69" s="9" t="n">
        <v>0</v>
      </c>
      <c r="D69" s="9" t="n">
        <v>0.74</v>
      </c>
      <c r="E69" s="9"/>
      <c r="F69" s="9"/>
      <c r="G69" s="9" t="n">
        <v>0.5</v>
      </c>
      <c r="H69" s="9" t="n">
        <v>1.63</v>
      </c>
      <c r="I69" s="9" t="n">
        <v>1.14</v>
      </c>
      <c r="J69" s="9" t="n">
        <v>0</v>
      </c>
      <c r="K69" s="9"/>
      <c r="L69" s="9" t="n">
        <v>0.6</v>
      </c>
      <c r="M69" s="9" t="n">
        <v>28</v>
      </c>
      <c r="N69" s="9"/>
      <c r="O69" s="9"/>
      <c r="P69" s="9"/>
      <c r="Q69" s="58" t="n">
        <f aca="false">TRIMMEAN(B69:P69,2/COUNT(B69:P69))</f>
        <v>0.701428571428571</v>
      </c>
    </row>
    <row r="70" customFormat="false" ht="15.75" hidden="false" customHeight="true" outlineLevel="0" collapsed="false">
      <c r="A70" s="57" t="s">
        <v>214</v>
      </c>
      <c r="B70" s="9" t="n">
        <v>0</v>
      </c>
      <c r="C70" s="9" t="n">
        <v>0</v>
      </c>
      <c r="D70" s="9"/>
      <c r="E70" s="9"/>
      <c r="F70" s="9" t="n">
        <v>0</v>
      </c>
      <c r="G70" s="9" t="n">
        <v>0.05</v>
      </c>
      <c r="H70" s="9"/>
      <c r="I70" s="9"/>
      <c r="J70" s="9" t="n">
        <v>0.51</v>
      </c>
      <c r="K70" s="9" t="n">
        <v>0</v>
      </c>
      <c r="L70" s="9" t="n">
        <v>0</v>
      </c>
      <c r="M70" s="9" t="n">
        <v>0</v>
      </c>
      <c r="N70" s="9"/>
      <c r="O70" s="9"/>
      <c r="P70" s="9"/>
      <c r="Q70" s="58" t="n">
        <f aca="false">TRIMMEAN(B70:P70,2/COUNT(B70:P70))</f>
        <v>0.00833333333333333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0.39</v>
      </c>
      <c r="D72" s="9"/>
      <c r="E72" s="9" t="n">
        <v>0</v>
      </c>
      <c r="F72" s="9" t="n">
        <v>0.59</v>
      </c>
      <c r="G72" s="9"/>
      <c r="H72" s="9" t="n">
        <v>2.56</v>
      </c>
      <c r="I72" s="9"/>
      <c r="J72" s="9"/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9" t="n">
        <v>0</v>
      </c>
      <c r="Q72" s="58" t="n">
        <f aca="false">TRIMMEAN(B72:P72,2/COUNT(B72:P72))</f>
        <v>0.1225</v>
      </c>
    </row>
    <row r="73" customFormat="false" ht="15.75" hidden="false" customHeight="true" outlineLevel="0" collapsed="false">
      <c r="A73" s="57" t="s">
        <v>217</v>
      </c>
      <c r="B73" s="9" t="n">
        <v>0.3</v>
      </c>
      <c r="C73" s="9" t="n">
        <v>0</v>
      </c>
      <c r="D73" s="9" t="n">
        <v>0</v>
      </c>
      <c r="E73" s="9"/>
      <c r="F73" s="9" t="n">
        <v>1.33</v>
      </c>
      <c r="G73" s="9" t="n">
        <v>9.06</v>
      </c>
      <c r="H73" s="9"/>
      <c r="I73" s="9" t="n">
        <v>0</v>
      </c>
      <c r="J73" s="9" t="n">
        <v>0.16</v>
      </c>
      <c r="K73" s="9"/>
      <c r="L73" s="9" t="n">
        <v>0.73</v>
      </c>
      <c r="M73" s="9" t="n">
        <v>2.96</v>
      </c>
      <c r="N73" s="9"/>
      <c r="O73" s="9" t="n">
        <v>1.56</v>
      </c>
      <c r="P73" s="9" t="n">
        <v>0</v>
      </c>
      <c r="Q73" s="58" t="n">
        <f aca="false">TRIMMEAN(B73:P73,2/COUNT(B73:P73))</f>
        <v>0.782222222222222</v>
      </c>
    </row>
    <row r="74" customFormat="false" ht="15.75" hidden="false" customHeight="true" outlineLevel="0" collapsed="false">
      <c r="A74" s="57" t="s">
        <v>218</v>
      </c>
      <c r="B74" s="9"/>
      <c r="C74" s="9" t="n">
        <v>0.39</v>
      </c>
      <c r="D74" s="9"/>
      <c r="E74" s="9" t="n">
        <v>0.32</v>
      </c>
      <c r="F74" s="9" t="n">
        <v>0.48</v>
      </c>
      <c r="G74" s="9"/>
      <c r="H74" s="9" t="n">
        <v>0.9</v>
      </c>
      <c r="I74" s="9"/>
      <c r="J74" s="9"/>
      <c r="K74" s="9" t="n">
        <v>1.61</v>
      </c>
      <c r="L74" s="9" t="n">
        <v>0</v>
      </c>
      <c r="M74" s="9"/>
      <c r="N74" s="9" t="n">
        <v>0</v>
      </c>
      <c r="O74" s="9" t="n">
        <v>1.01</v>
      </c>
      <c r="P74" s="9" t="n">
        <v>0.79</v>
      </c>
      <c r="Q74" s="58" t="n">
        <f aca="false">TRIMMEAN(B74:P74,2/COUNT(B74:P74))</f>
        <v>0.555714285714286</v>
      </c>
    </row>
    <row r="75" customFormat="false" ht="15.75" hidden="false" customHeight="true" outlineLevel="0" collapsed="false">
      <c r="A75" s="59" t="s">
        <v>219</v>
      </c>
      <c r="B75" s="9" t="n">
        <v>1</v>
      </c>
      <c r="C75" s="9" t="n">
        <v>0.2</v>
      </c>
      <c r="D75" s="9" t="n">
        <v>0</v>
      </c>
      <c r="E75" s="9"/>
      <c r="F75" s="9" t="n">
        <v>0</v>
      </c>
      <c r="G75" s="9" t="n">
        <v>0.15</v>
      </c>
      <c r="H75" s="9" t="n">
        <v>0</v>
      </c>
      <c r="I75" s="9"/>
      <c r="J75" s="9" t="n">
        <v>0</v>
      </c>
      <c r="K75" s="9" t="n">
        <v>2.62</v>
      </c>
      <c r="L75" s="9" t="n">
        <v>1.13</v>
      </c>
      <c r="M75" s="9"/>
      <c r="N75" s="9" t="n">
        <v>0</v>
      </c>
      <c r="O75" s="9" t="n">
        <v>0</v>
      </c>
      <c r="P75" s="9" t="n">
        <v>0</v>
      </c>
      <c r="Q75" s="58" t="n">
        <f aca="false">TRIMMEAN(B75:P75,2/COUNT(B75:P75))</f>
        <v>0.248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 t="n">
        <v>0</v>
      </c>
      <c r="D77" s="9"/>
      <c r="E77" s="9" t="n">
        <v>0</v>
      </c>
      <c r="F77" s="9"/>
      <c r="G77" s="9"/>
      <c r="H77" s="9"/>
      <c r="I77" s="9"/>
      <c r="J77" s="9"/>
      <c r="K77" s="9" t="n">
        <v>0</v>
      </c>
      <c r="L77" s="9"/>
      <c r="M77" s="9"/>
      <c r="N77" s="9"/>
      <c r="O77" s="9"/>
      <c r="P77" s="9"/>
      <c r="Q77" s="58" t="n">
        <f aca="false">TRIMMEAN(B77:P77,2/COUNT(B77:P77))</f>
        <v>0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 t="n">
        <v>0</v>
      </c>
      <c r="F78" s="9"/>
      <c r="G78" s="9"/>
      <c r="H78" s="9"/>
      <c r="I78" s="9"/>
      <c r="J78" s="9"/>
      <c r="K78" s="9"/>
      <c r="L78" s="9" t="n">
        <v>0</v>
      </c>
      <c r="M78" s="9" t="n">
        <v>1.24</v>
      </c>
      <c r="N78" s="9" t="n">
        <v>0</v>
      </c>
      <c r="O78" s="9"/>
      <c r="P78" s="9"/>
      <c r="Q78" s="58" t="n">
        <f aca="false">TRIMMEAN(B78:P78,2/COUNT(B78:P78))</f>
        <v>0</v>
      </c>
    </row>
    <row r="79" customFormat="false" ht="15.75" hidden="false" customHeight="true" outlineLevel="0" collapsed="false">
      <c r="A79" s="57" t="s">
        <v>223</v>
      </c>
      <c r="B79" s="9" t="n">
        <v>0.17</v>
      </c>
      <c r="C79" s="9" t="n">
        <v>1.07</v>
      </c>
      <c r="D79" s="9" t="n">
        <v>2.81</v>
      </c>
      <c r="E79" s="9"/>
      <c r="F79" s="9"/>
      <c r="G79" s="9" t="n">
        <v>0.5</v>
      </c>
      <c r="H79" s="9"/>
      <c r="I79" s="9" t="n">
        <v>0.48</v>
      </c>
      <c r="J79" s="9" t="n">
        <v>0.35</v>
      </c>
      <c r="K79" s="9" t="n">
        <v>7.81</v>
      </c>
      <c r="L79" s="9" t="n">
        <v>1.85</v>
      </c>
      <c r="M79" s="9" t="n">
        <v>1.41</v>
      </c>
      <c r="N79" s="9"/>
      <c r="O79" s="9" t="n">
        <v>0</v>
      </c>
      <c r="P79" s="9"/>
      <c r="Q79" s="58" t="n">
        <f aca="false">TRIMMEAN(B79:P79,2/COUNT(B79:P79))</f>
        <v>1.08</v>
      </c>
    </row>
    <row r="80" customFormat="false" ht="15.75" hidden="false" customHeight="true" outlineLevel="0" collapsed="false">
      <c r="A80" s="57" t="s">
        <v>224</v>
      </c>
      <c r="B80" s="9" t="n">
        <v>0.17</v>
      </c>
      <c r="C80" s="9" t="n">
        <v>0.22</v>
      </c>
      <c r="D80" s="9" t="n">
        <v>2.08</v>
      </c>
      <c r="E80" s="9" t="n">
        <v>1.02</v>
      </c>
      <c r="F80" s="9" t="n">
        <v>0</v>
      </c>
      <c r="G80" s="9"/>
      <c r="H80" s="9" t="n">
        <v>0</v>
      </c>
      <c r="I80" s="9" t="n">
        <v>0.48</v>
      </c>
      <c r="J80" s="9"/>
      <c r="K80" s="9" t="n">
        <v>0</v>
      </c>
      <c r="L80" s="9" t="n">
        <v>0.47</v>
      </c>
      <c r="M80" s="9" t="n">
        <v>0</v>
      </c>
      <c r="N80" s="9" t="n">
        <v>0.38</v>
      </c>
      <c r="O80" s="9" t="n">
        <v>0.03</v>
      </c>
      <c r="P80" s="9" t="n">
        <v>0</v>
      </c>
      <c r="Q80" s="58" t="n">
        <f aca="false">TRIMMEAN(B80:P80,2/COUNT(B80:P80))</f>
        <v>0.251818181818182</v>
      </c>
    </row>
    <row r="81" customFormat="false" ht="15.75" hidden="false" customHeight="true" outlineLevel="0" collapsed="false">
      <c r="A81" s="59" t="s">
        <v>225</v>
      </c>
      <c r="B81" s="9" t="n">
        <v>5.27</v>
      </c>
      <c r="C81" s="9" t="n">
        <v>0</v>
      </c>
      <c r="D81" s="9" t="n">
        <v>2.08</v>
      </c>
      <c r="E81" s="9"/>
      <c r="F81" s="9" t="n">
        <v>3.27</v>
      </c>
      <c r="G81" s="9" t="n">
        <v>0</v>
      </c>
      <c r="H81" s="9"/>
      <c r="I81" s="9" t="n">
        <v>1.68</v>
      </c>
      <c r="J81" s="9" t="n">
        <v>1.78</v>
      </c>
      <c r="K81" s="9" t="n">
        <v>0.53</v>
      </c>
      <c r="L81" s="9"/>
      <c r="M81" s="9" t="n">
        <v>0</v>
      </c>
      <c r="N81" s="9"/>
      <c r="O81" s="9" t="n">
        <v>0</v>
      </c>
      <c r="P81" s="9" t="n">
        <v>0</v>
      </c>
      <c r="Q81" s="58" t="n">
        <f aca="false">TRIMMEAN(B81:P81,2/COUNT(B81:P81))</f>
        <v>1.03777777777778</v>
      </c>
    </row>
    <row r="82" customFormat="false" ht="15.75" hidden="false" customHeight="true" outlineLevel="0" collapsed="false">
      <c r="A82" s="59" t="s">
        <v>226</v>
      </c>
      <c r="B82" s="9"/>
      <c r="C82" s="9" t="n">
        <v>0.57</v>
      </c>
      <c r="D82" s="9"/>
      <c r="E82" s="9" t="n">
        <v>0</v>
      </c>
      <c r="F82" s="9" t="n">
        <v>0.42</v>
      </c>
      <c r="G82" s="9"/>
      <c r="H82" s="9" t="n">
        <v>0</v>
      </c>
      <c r="I82" s="9"/>
      <c r="J82" s="9"/>
      <c r="K82" s="9" t="n">
        <v>0.27</v>
      </c>
      <c r="L82" s="9" t="n">
        <v>0</v>
      </c>
      <c r="M82" s="9" t="n">
        <v>0</v>
      </c>
      <c r="N82" s="9" t="n">
        <v>0</v>
      </c>
      <c r="O82" s="9" t="n">
        <v>0</v>
      </c>
      <c r="P82" s="9" t="n">
        <v>0</v>
      </c>
      <c r="Q82" s="58" t="n">
        <f aca="false">TRIMMEAN(B82:P82,2/COUNT(B82:P82))</f>
        <v>0.08625</v>
      </c>
    </row>
    <row r="83" customFormat="false" ht="15.75" hidden="false" customHeight="true" outlineLevel="0" collapsed="false">
      <c r="A83" s="59" t="s">
        <v>227</v>
      </c>
      <c r="B83" s="9"/>
      <c r="C83" s="9" t="n">
        <v>0</v>
      </c>
      <c r="D83" s="9" t="n">
        <v>0</v>
      </c>
      <c r="E83" s="9" t="n">
        <v>0.28</v>
      </c>
      <c r="F83" s="9" t="n">
        <v>0.21</v>
      </c>
      <c r="G83" s="9"/>
      <c r="H83" s="9" t="n">
        <v>0.62</v>
      </c>
      <c r="I83" s="9" t="n">
        <v>1.14</v>
      </c>
      <c r="J83" s="9"/>
      <c r="K83" s="9" t="n">
        <v>0.42</v>
      </c>
      <c r="L83" s="9"/>
      <c r="M83" s="9"/>
      <c r="N83" s="9" t="n">
        <v>1.6</v>
      </c>
      <c r="O83" s="9" t="n">
        <v>0.47</v>
      </c>
      <c r="P83" s="9" t="n">
        <v>0</v>
      </c>
      <c r="Q83" s="58" t="n">
        <f aca="false">TRIMMEAN(B83:P83,2/COUNT(B83:P83))</f>
        <v>0.3925</v>
      </c>
    </row>
    <row r="84" customFormat="false" ht="15.75" hidden="false" customHeight="true" outlineLevel="0" collapsed="false">
      <c r="A84" s="57" t="s">
        <v>228</v>
      </c>
      <c r="B84" s="9" t="n">
        <v>0</v>
      </c>
      <c r="C84" s="9" t="n">
        <v>0</v>
      </c>
      <c r="D84" s="9"/>
      <c r="E84" s="9" t="n">
        <v>0.08</v>
      </c>
      <c r="F84" s="9" t="n">
        <v>0</v>
      </c>
      <c r="G84" s="9" t="n">
        <v>0.74</v>
      </c>
      <c r="H84" s="9"/>
      <c r="I84" s="9"/>
      <c r="J84" s="9"/>
      <c r="K84" s="9" t="n">
        <v>0</v>
      </c>
      <c r="L84" s="9" t="n">
        <v>0</v>
      </c>
      <c r="M84" s="9"/>
      <c r="N84" s="9"/>
      <c r="O84" s="9"/>
      <c r="P84" s="9"/>
      <c r="Q84" s="58" t="n">
        <f aca="false">TRIMMEAN(B84:P84,2/COUNT(B84:P84))</f>
        <v>0.016</v>
      </c>
    </row>
    <row r="85" customFormat="false" ht="15.75" hidden="false" customHeight="true" outlineLevel="0" collapsed="false">
      <c r="A85" s="57" t="s">
        <v>229</v>
      </c>
      <c r="B85" s="9" t="n">
        <v>0</v>
      </c>
      <c r="C85" s="9"/>
      <c r="D85" s="9" t="n">
        <v>0</v>
      </c>
      <c r="E85" s="9" t="n">
        <v>0</v>
      </c>
      <c r="F85" s="9" t="n">
        <v>0</v>
      </c>
      <c r="G85" s="9" t="n">
        <v>0.25</v>
      </c>
      <c r="H85" s="9"/>
      <c r="I85" s="9"/>
      <c r="J85" s="9" t="n">
        <v>0</v>
      </c>
      <c r="K85" s="9" t="n">
        <v>0</v>
      </c>
      <c r="L85" s="9" t="n">
        <v>0</v>
      </c>
      <c r="M85" s="9" t="n">
        <v>0</v>
      </c>
      <c r="N85" s="9"/>
      <c r="O85" s="9"/>
      <c r="P85" s="9"/>
      <c r="Q85" s="58" t="n">
        <f aca="false">TRIMMEAN(B85:P85,2/COUNT(B85:P85))</f>
        <v>0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0</v>
      </c>
      <c r="D87" s="9"/>
      <c r="E87" s="9" t="n">
        <v>0</v>
      </c>
      <c r="F87" s="9"/>
      <c r="G87" s="9"/>
      <c r="H87" s="9" t="n">
        <v>0.32</v>
      </c>
      <c r="I87" s="9"/>
      <c r="J87" s="9"/>
      <c r="K87" s="9" t="n">
        <v>0</v>
      </c>
      <c r="L87" s="9" t="n">
        <v>0</v>
      </c>
      <c r="M87" s="9" t="n">
        <v>0</v>
      </c>
      <c r="N87" s="9" t="n">
        <v>0</v>
      </c>
      <c r="O87" s="9"/>
      <c r="P87" s="9"/>
      <c r="Q87" s="58" t="n">
        <f aca="false">TRIMMEAN(B87:P87,2/COUNT(B87:P87))</f>
        <v>0</v>
      </c>
    </row>
    <row r="88" customFormat="false" ht="15.75" hidden="false" customHeight="true" outlineLevel="0" collapsed="false">
      <c r="A88" s="59" t="s">
        <v>232</v>
      </c>
      <c r="B88" s="9"/>
      <c r="C88" s="9" t="n">
        <v>0</v>
      </c>
      <c r="D88" s="9"/>
      <c r="E88" s="9" t="n">
        <v>0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0.3</v>
      </c>
      <c r="C89" s="9" t="n">
        <v>2.01</v>
      </c>
      <c r="D89" s="9" t="n">
        <v>0</v>
      </c>
      <c r="E89" s="9"/>
      <c r="F89" s="9" t="n">
        <v>0</v>
      </c>
      <c r="G89" s="9" t="n">
        <v>0.43</v>
      </c>
      <c r="H89" s="9" t="n">
        <v>0.32</v>
      </c>
      <c r="I89" s="9" t="n">
        <v>0</v>
      </c>
      <c r="J89" s="9" t="n">
        <v>0</v>
      </c>
      <c r="K89" s="9"/>
      <c r="L89" s="9" t="n">
        <v>0</v>
      </c>
      <c r="M89" s="9" t="n">
        <v>0</v>
      </c>
      <c r="N89" s="9"/>
      <c r="O89" s="9" t="n">
        <v>0</v>
      </c>
      <c r="P89" s="9" t="n">
        <v>2.56</v>
      </c>
      <c r="Q89" s="58" t="n">
        <f aca="false">TRIMMEAN(B89:P89,2/COUNT(B89:P89))</f>
        <v>0.306</v>
      </c>
    </row>
    <row r="90" customFormat="false" ht="15.75" hidden="false" customHeight="true" outlineLevel="0" collapsed="false">
      <c r="A90" s="59" t="s">
        <v>234</v>
      </c>
      <c r="B90" s="9"/>
      <c r="C90" s="9" t="n">
        <v>0</v>
      </c>
      <c r="D90" s="9"/>
      <c r="E90" s="9" t="n">
        <v>0</v>
      </c>
      <c r="F90" s="9" t="n">
        <v>0</v>
      </c>
      <c r="G90" s="9"/>
      <c r="H90" s="9"/>
      <c r="I90" s="9" t="n">
        <v>0</v>
      </c>
      <c r="J90" s="9"/>
      <c r="K90" s="9" t="n">
        <v>0</v>
      </c>
      <c r="L90" s="9" t="n">
        <v>0.3</v>
      </c>
      <c r="M90" s="9" t="n">
        <v>0.03</v>
      </c>
      <c r="N90" s="9" t="n">
        <v>0</v>
      </c>
      <c r="O90" s="9"/>
      <c r="P90" s="9"/>
      <c r="Q90" s="58" t="n">
        <f aca="false">TRIMMEAN(B90:P90,2/COUNT(B90:P90))</f>
        <v>0.005</v>
      </c>
    </row>
    <row r="91" customFormat="false" ht="15.75" hidden="false" customHeight="true" outlineLevel="0" collapsed="false">
      <c r="A91" s="57" t="s">
        <v>235</v>
      </c>
      <c r="B91" s="9" t="n">
        <v>0.17</v>
      </c>
      <c r="C91" s="9" t="n">
        <v>0.31</v>
      </c>
      <c r="D91" s="9" t="n">
        <v>0</v>
      </c>
      <c r="E91" s="9"/>
      <c r="F91" s="9" t="n">
        <v>0.59</v>
      </c>
      <c r="G91" s="9" t="n">
        <v>0</v>
      </c>
      <c r="H91" s="9"/>
      <c r="I91" s="9" t="n">
        <v>0.84</v>
      </c>
      <c r="J91" s="9" t="n">
        <v>0.52</v>
      </c>
      <c r="K91" s="9"/>
      <c r="L91" s="9" t="n">
        <v>0.47</v>
      </c>
      <c r="M91" s="9" t="n">
        <v>0</v>
      </c>
      <c r="N91" s="9" t="n">
        <v>2.61</v>
      </c>
      <c r="O91" s="9"/>
      <c r="P91" s="9" t="n">
        <v>0</v>
      </c>
      <c r="Q91" s="58" t="n">
        <f aca="false">TRIMMEAN(B91:P91,2/COUNT(B91:P91))</f>
        <v>0.322222222222222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1.48</v>
      </c>
      <c r="E92" s="9"/>
      <c r="F92" s="9"/>
      <c r="G92" s="9"/>
      <c r="H92" s="9" t="n">
        <v>0</v>
      </c>
      <c r="I92" s="9" t="n">
        <v>0</v>
      </c>
      <c r="J92" s="9"/>
      <c r="K92" s="9"/>
      <c r="L92" s="9" t="n">
        <v>0</v>
      </c>
      <c r="M92" s="9" t="n">
        <v>0</v>
      </c>
      <c r="N92" s="9"/>
      <c r="O92" s="9"/>
      <c r="P92" s="9"/>
      <c r="Q92" s="58" t="n">
        <f aca="false">TRIMMEAN(B92:P92,2/COUNT(B92:P92))</f>
        <v>0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0.24</v>
      </c>
      <c r="D94" s="9" t="n">
        <v>0</v>
      </c>
      <c r="E94" s="9"/>
      <c r="F94" s="9"/>
      <c r="G94" s="9" t="n">
        <v>4.53</v>
      </c>
      <c r="H94" s="9"/>
      <c r="I94" s="9" t="n">
        <v>3.81</v>
      </c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2.025</v>
      </c>
    </row>
    <row r="95" customFormat="false" ht="15.75" hidden="false" customHeight="true" outlineLevel="0" collapsed="false">
      <c r="A95" s="59" t="s">
        <v>239</v>
      </c>
      <c r="B95" s="9" t="n">
        <v>0.05</v>
      </c>
      <c r="C95" s="9"/>
      <c r="D95" s="9" t="n">
        <v>0</v>
      </c>
      <c r="E95" s="9"/>
      <c r="F95" s="9" t="n">
        <v>9.86</v>
      </c>
      <c r="G95" s="9" t="n">
        <v>0.63</v>
      </c>
      <c r="H95" s="9"/>
      <c r="I95" s="9" t="n">
        <v>0</v>
      </c>
      <c r="J95" s="9" t="n">
        <v>1.46</v>
      </c>
      <c r="K95" s="9"/>
      <c r="L95" s="9"/>
      <c r="M95" s="9" t="n">
        <v>2.96</v>
      </c>
      <c r="N95" s="9"/>
      <c r="O95" s="9" t="n">
        <v>0.75</v>
      </c>
      <c r="P95" s="9"/>
      <c r="Q95" s="58" t="n">
        <f aca="false">TRIMMEAN(B95:P95,2/COUNT(B95:P95))</f>
        <v>0.975</v>
      </c>
    </row>
    <row r="96" customFormat="false" ht="15.75" hidden="false" customHeight="true" outlineLevel="0" collapsed="false">
      <c r="A96" s="57" t="s">
        <v>240</v>
      </c>
      <c r="B96" s="9" t="n">
        <v>0</v>
      </c>
      <c r="C96" s="9" t="n">
        <v>0</v>
      </c>
      <c r="D96" s="9"/>
      <c r="E96" s="9" t="n">
        <v>0</v>
      </c>
      <c r="F96" s="9" t="n">
        <v>0</v>
      </c>
      <c r="G96" s="9" t="n">
        <v>0.25</v>
      </c>
      <c r="H96" s="9"/>
      <c r="I96" s="9" t="n">
        <v>0</v>
      </c>
      <c r="J96" s="9" t="n">
        <v>0.34</v>
      </c>
      <c r="K96" s="9" t="n">
        <v>0</v>
      </c>
      <c r="L96" s="9" t="n">
        <v>0</v>
      </c>
      <c r="M96" s="9"/>
      <c r="N96" s="9"/>
      <c r="O96" s="9"/>
      <c r="P96" s="9"/>
      <c r="Q96" s="58" t="n">
        <f aca="false">TRIMMEAN(B96:P96,2/COUNT(B96:P96))</f>
        <v>0.0357142857142857</v>
      </c>
    </row>
    <row r="97" customFormat="false" ht="15.75" hidden="false" customHeight="true" outlineLevel="0" collapsed="false">
      <c r="A97" s="59" t="s">
        <v>241</v>
      </c>
      <c r="B97" s="9"/>
      <c r="C97" s="9" t="n">
        <v>0</v>
      </c>
      <c r="D97" s="9" t="n">
        <v>0</v>
      </c>
      <c r="E97" s="9" t="n">
        <v>0.47</v>
      </c>
      <c r="F97" s="9" t="n">
        <v>0.42</v>
      </c>
      <c r="G97" s="9"/>
      <c r="H97" s="9" t="n">
        <v>0</v>
      </c>
      <c r="I97" s="9"/>
      <c r="J97" s="9"/>
      <c r="K97" s="9" t="n">
        <v>0</v>
      </c>
      <c r="L97" s="9"/>
      <c r="M97" s="9" t="n">
        <v>0.03</v>
      </c>
      <c r="N97" s="9" t="n">
        <v>0</v>
      </c>
      <c r="O97" s="9" t="n">
        <v>0</v>
      </c>
      <c r="P97" s="9"/>
      <c r="Q97" s="58" t="n">
        <f aca="false">TRIMMEAN(B97:P97,2/COUNT(B97:P97))</f>
        <v>0.0642857142857143</v>
      </c>
    </row>
    <row r="98" customFormat="false" ht="15.75" hidden="false" customHeight="true" outlineLevel="0" collapsed="false">
      <c r="A98" s="59" t="s">
        <v>242</v>
      </c>
      <c r="B98" s="9"/>
      <c r="C98" s="9" t="n">
        <v>0</v>
      </c>
      <c r="D98" s="9"/>
      <c r="E98" s="9" t="n">
        <v>0</v>
      </c>
      <c r="F98" s="9"/>
      <c r="G98" s="9"/>
      <c r="H98" s="9"/>
      <c r="I98" s="9" t="n">
        <v>0.48</v>
      </c>
      <c r="J98" s="9"/>
      <c r="K98" s="9" t="n">
        <v>0.53</v>
      </c>
      <c r="L98" s="9" t="n">
        <v>0</v>
      </c>
      <c r="M98" s="9" t="n">
        <v>0</v>
      </c>
      <c r="N98" s="9" t="n">
        <v>0</v>
      </c>
      <c r="O98" s="9"/>
      <c r="P98" s="9"/>
      <c r="Q98" s="58" t="n">
        <f aca="false">TRIMMEAN(B98:P98,2/COUNT(B98:P98))</f>
        <v>0.096</v>
      </c>
    </row>
    <row r="99" customFormat="false" ht="15.75" hidden="false" customHeight="true" outlineLevel="0" collapsed="false">
      <c r="A99" s="57" t="s">
        <v>243</v>
      </c>
      <c r="B99" s="9"/>
      <c r="C99" s="9" t="n">
        <v>0</v>
      </c>
      <c r="D99" s="9" t="n">
        <v>0</v>
      </c>
      <c r="E99" s="9" t="n">
        <v>0</v>
      </c>
      <c r="F99" s="9" t="n">
        <v>0</v>
      </c>
      <c r="G99" s="9"/>
      <c r="H99" s="9" t="n">
        <v>0</v>
      </c>
      <c r="I99" s="9"/>
      <c r="J99" s="9"/>
      <c r="K99" s="9" t="n">
        <v>0</v>
      </c>
      <c r="L99" s="9" t="n">
        <v>0</v>
      </c>
      <c r="M99" s="9" t="n">
        <v>0.88</v>
      </c>
      <c r="N99" s="9" t="n">
        <v>0</v>
      </c>
      <c r="O99" s="9" t="n">
        <v>0.35</v>
      </c>
      <c r="P99" s="9" t="n">
        <v>0</v>
      </c>
      <c r="Q99" s="58" t="n">
        <f aca="false">TRIMMEAN(B99:P99,2/COUNT(B99:P99))</f>
        <v>0.0388888888888889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 t="n">
        <v>0</v>
      </c>
      <c r="F100" s="9" t="n">
        <v>0.29</v>
      </c>
      <c r="G100" s="9" t="n">
        <v>0.36</v>
      </c>
      <c r="H100" s="9"/>
      <c r="I100" s="9"/>
      <c r="J100" s="9" t="n">
        <v>0.34</v>
      </c>
      <c r="K100" s="9" t="n">
        <v>0.22</v>
      </c>
      <c r="L100" s="9" t="n">
        <v>0.39</v>
      </c>
      <c r="M100" s="9"/>
      <c r="N100" s="9"/>
      <c r="O100" s="9"/>
      <c r="P100" s="9"/>
      <c r="Q100" s="58" t="n">
        <f aca="false">TRIMMEAN(B100:P100,2/COUNT(B100:P100))</f>
        <v>0.3025</v>
      </c>
    </row>
    <row r="101" customFormat="false" ht="15.75" hidden="false" customHeight="true" outlineLevel="0" collapsed="false">
      <c r="A101" s="57" t="s">
        <v>245</v>
      </c>
      <c r="B101" s="9" t="n">
        <v>0</v>
      </c>
      <c r="C101" s="9"/>
      <c r="D101" s="9" t="n">
        <v>1.01</v>
      </c>
      <c r="E101" s="9" t="n">
        <v>0</v>
      </c>
      <c r="F101" s="9" t="n">
        <v>0.67</v>
      </c>
      <c r="G101" s="9" t="n">
        <v>0.36</v>
      </c>
      <c r="H101" s="9"/>
      <c r="I101" s="9"/>
      <c r="J101" s="9" t="n">
        <v>0</v>
      </c>
      <c r="K101" s="9" t="n">
        <v>0</v>
      </c>
      <c r="L101" s="9" t="n">
        <v>0</v>
      </c>
      <c r="M101" s="9" t="n">
        <v>0</v>
      </c>
      <c r="N101" s="9"/>
      <c r="O101" s="9"/>
      <c r="P101" s="9"/>
      <c r="Q101" s="58" t="n">
        <f aca="false">TRIMMEAN(B101:P101,2/COUNT(B101:P101))</f>
        <v>0.147142857142857</v>
      </c>
    </row>
    <row r="102" customFormat="false" ht="15.75" hidden="false" customHeight="true" outlineLevel="0" collapsed="false">
      <c r="A102" s="59" t="s">
        <v>246</v>
      </c>
      <c r="B102" s="9"/>
      <c r="C102" s="9" t="n">
        <v>0</v>
      </c>
      <c r="D102" s="9"/>
      <c r="E102" s="9" t="n">
        <v>0.47</v>
      </c>
      <c r="F102" s="9" t="n">
        <v>0</v>
      </c>
      <c r="G102" s="9"/>
      <c r="H102" s="9" t="n">
        <v>0</v>
      </c>
      <c r="I102" s="9"/>
      <c r="J102" s="9"/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9" t="n">
        <v>0</v>
      </c>
      <c r="Q102" s="58" t="n">
        <f aca="false">TRIMMEAN(B102:P102,2/COUNT(B102:P102))</f>
        <v>0</v>
      </c>
    </row>
    <row r="103" customFormat="false" ht="15.75" hidden="false" customHeight="true" outlineLevel="0" collapsed="false">
      <c r="A103" s="59" t="s">
        <v>247</v>
      </c>
      <c r="B103" s="9" t="n">
        <v>0</v>
      </c>
      <c r="C103" s="9" t="n">
        <v>0.14</v>
      </c>
      <c r="D103" s="9" t="n">
        <v>0.74</v>
      </c>
      <c r="E103" s="9" t="n">
        <v>0.47</v>
      </c>
      <c r="F103" s="9" t="n">
        <v>0</v>
      </c>
      <c r="G103" s="9" t="n">
        <v>0</v>
      </c>
      <c r="H103" s="9"/>
      <c r="I103" s="9" t="n">
        <v>0.48</v>
      </c>
      <c r="J103" s="9" t="n">
        <v>0.22</v>
      </c>
      <c r="K103" s="9" t="n">
        <v>1.18</v>
      </c>
      <c r="L103" s="9"/>
      <c r="M103" s="9" t="n">
        <v>0</v>
      </c>
      <c r="N103" s="9"/>
      <c r="O103" s="9" t="n">
        <v>0.03</v>
      </c>
      <c r="P103" s="9" t="n">
        <v>0</v>
      </c>
      <c r="Q103" s="58" t="n">
        <f aca="false">TRIMMEAN(B103:P103,2/COUNT(B103:P103))</f>
        <v>0.208</v>
      </c>
    </row>
    <row r="104" customFormat="false" ht="15.75" hidden="false" customHeight="true" outlineLevel="0" collapsed="false">
      <c r="A104" s="59" t="s">
        <v>248</v>
      </c>
      <c r="B104" s="9"/>
      <c r="C104" s="9" t="n">
        <v>0</v>
      </c>
      <c r="D104" s="9"/>
      <c r="E104" s="9" t="n">
        <v>0</v>
      </c>
      <c r="F104" s="9" t="n">
        <v>0.35</v>
      </c>
      <c r="G104" s="9"/>
      <c r="H104" s="9" t="n">
        <v>0</v>
      </c>
      <c r="I104" s="9"/>
      <c r="J104" s="9"/>
      <c r="K104" s="9" t="n">
        <v>2.62</v>
      </c>
      <c r="L104" s="9" t="n">
        <v>0</v>
      </c>
      <c r="M104" s="9"/>
      <c r="N104" s="9" t="n">
        <v>0.59</v>
      </c>
      <c r="O104" s="9" t="n">
        <v>0</v>
      </c>
      <c r="P104" s="9" t="n">
        <v>0</v>
      </c>
      <c r="Q104" s="58" t="n">
        <f aca="false">TRIMMEAN(B104:P104,2/COUNT(B104:P104))</f>
        <v>0.134285714285714</v>
      </c>
    </row>
    <row r="105" customFormat="false" ht="15.75" hidden="false" customHeight="true" outlineLevel="0" collapsed="false">
      <c r="A105" s="59" t="s">
        <v>249</v>
      </c>
      <c r="B105" s="9"/>
      <c r="C105" s="9" t="n">
        <v>0</v>
      </c>
      <c r="D105" s="9" t="n">
        <v>0</v>
      </c>
      <c r="E105" s="9" t="n">
        <v>0.47</v>
      </c>
      <c r="F105" s="9" t="n">
        <v>0.78</v>
      </c>
      <c r="G105" s="9"/>
      <c r="H105" s="9" t="n">
        <v>0</v>
      </c>
      <c r="I105" s="9"/>
      <c r="J105" s="9"/>
      <c r="K105" s="9" t="n">
        <v>0</v>
      </c>
      <c r="L105" s="9" t="n">
        <v>0.05</v>
      </c>
      <c r="M105" s="9" t="n">
        <v>0</v>
      </c>
      <c r="N105" s="9" t="n">
        <v>0</v>
      </c>
      <c r="O105" s="9" t="n">
        <v>1.01</v>
      </c>
      <c r="P105" s="9" t="n">
        <v>0.59</v>
      </c>
      <c r="Q105" s="58" t="n">
        <f aca="false">TRIMMEAN(B105:P105,2/COUNT(B105:P105))</f>
        <v>0.21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 t="n">
        <v>0</v>
      </c>
      <c r="F106" s="9" t="n">
        <v>0</v>
      </c>
      <c r="G106" s="9"/>
      <c r="H106" s="9" t="n">
        <v>0</v>
      </c>
      <c r="I106" s="9"/>
      <c r="J106" s="9"/>
      <c r="K106" s="9"/>
      <c r="L106" s="9" t="n">
        <v>0</v>
      </c>
      <c r="M106" s="9" t="n">
        <v>0</v>
      </c>
      <c r="N106" s="9" t="n">
        <v>0</v>
      </c>
      <c r="O106" s="9"/>
      <c r="P106" s="9"/>
      <c r="Q106" s="58" t="n">
        <f aca="false">TRIMMEAN(B106:P106,2/COUNT(B106:P106))</f>
        <v>0</v>
      </c>
    </row>
    <row r="107" customFormat="false" ht="15.75" hidden="false" customHeight="true" outlineLevel="0" collapsed="false">
      <c r="A107" s="59" t="s">
        <v>251</v>
      </c>
      <c r="B107" s="9" t="n">
        <v>0</v>
      </c>
      <c r="C107" s="9" t="n">
        <v>0</v>
      </c>
      <c r="D107" s="9" t="n">
        <v>1.01</v>
      </c>
      <c r="E107" s="9" t="n">
        <v>1.53</v>
      </c>
      <c r="F107" s="9" t="n">
        <v>0</v>
      </c>
      <c r="G107" s="9" t="n">
        <v>0</v>
      </c>
      <c r="H107" s="9" t="n">
        <v>0</v>
      </c>
      <c r="I107" s="9"/>
      <c r="J107" s="9" t="n">
        <v>0.22</v>
      </c>
      <c r="K107" s="9" t="n">
        <v>0.33</v>
      </c>
      <c r="L107" s="9" t="n">
        <v>0.62</v>
      </c>
      <c r="M107" s="9"/>
      <c r="N107" s="9" t="n">
        <v>0</v>
      </c>
      <c r="O107" s="9" t="n">
        <v>0</v>
      </c>
      <c r="P107" s="9" t="n">
        <v>0.47</v>
      </c>
      <c r="Q107" s="58" t="n">
        <f aca="false">TRIMMEAN(B107:P107,2/COUNT(B107:P107))</f>
        <v>0.240909090909091</v>
      </c>
    </row>
    <row r="108" customFormat="false" ht="15.75" hidden="false" customHeight="true" outlineLevel="0" collapsed="false">
      <c r="A108" s="57" t="s">
        <v>252</v>
      </c>
      <c r="B108" s="9" t="n">
        <v>0.48</v>
      </c>
      <c r="C108" s="9" t="n">
        <v>6.77</v>
      </c>
      <c r="D108" s="9" t="n">
        <v>0.38</v>
      </c>
      <c r="E108" s="9"/>
      <c r="F108" s="9"/>
      <c r="G108" s="9" t="n">
        <v>0</v>
      </c>
      <c r="H108" s="9" t="n">
        <v>0</v>
      </c>
      <c r="I108" s="9" t="n">
        <v>0</v>
      </c>
      <c r="J108" s="9" t="n">
        <v>0.98</v>
      </c>
      <c r="K108" s="9"/>
      <c r="L108" s="9" t="n">
        <v>0.73</v>
      </c>
      <c r="M108" s="9" t="n">
        <v>0</v>
      </c>
      <c r="N108" s="9"/>
      <c r="O108" s="9" t="n">
        <v>0</v>
      </c>
      <c r="P108" s="9"/>
      <c r="Q108" s="58" t="n">
        <f aca="false">TRIMMEAN(B108:P108,2/COUNT(B108:P108))</f>
        <v>0.32125</v>
      </c>
    </row>
    <row r="109" customFormat="false" ht="15.75" hidden="false" customHeight="true" outlineLevel="0" collapsed="false">
      <c r="A109" s="57" t="s">
        <v>253</v>
      </c>
      <c r="B109" s="9"/>
      <c r="C109" s="9" t="n">
        <v>0.29</v>
      </c>
      <c r="D109" s="9" t="n">
        <v>0</v>
      </c>
      <c r="E109" s="9" t="n">
        <v>0</v>
      </c>
      <c r="F109" s="9" t="n">
        <v>0</v>
      </c>
      <c r="G109" s="9"/>
      <c r="H109" s="9"/>
      <c r="I109" s="9"/>
      <c r="J109" s="9"/>
      <c r="K109" s="9"/>
      <c r="L109" s="9" t="n">
        <v>0.47</v>
      </c>
      <c r="M109" s="9" t="n">
        <v>0</v>
      </c>
      <c r="N109" s="9" t="n">
        <v>0</v>
      </c>
      <c r="O109" s="9" t="n">
        <v>3.71</v>
      </c>
      <c r="P109" s="9" t="n">
        <v>0.11</v>
      </c>
      <c r="Q109" s="58" t="n">
        <f aca="false">TRIMMEAN(B109:P109,2/COUNT(B109:P109))</f>
        <v>0.124285714285714</v>
      </c>
    </row>
    <row r="110" customFormat="false" ht="15.75" hidden="false" customHeight="true" outlineLevel="0" collapsed="false">
      <c r="A110" s="59" t="s">
        <v>254</v>
      </c>
      <c r="B110" s="9" t="n">
        <v>0.17</v>
      </c>
      <c r="C110" s="9" t="n">
        <v>0</v>
      </c>
      <c r="D110" s="9" t="n">
        <v>0</v>
      </c>
      <c r="E110" s="9"/>
      <c r="F110" s="9" t="n">
        <v>0.59</v>
      </c>
      <c r="G110" s="9"/>
      <c r="H110" s="9" t="n">
        <v>0.62</v>
      </c>
      <c r="I110" s="9"/>
      <c r="J110" s="9"/>
      <c r="K110" s="9" t="n">
        <v>4.47</v>
      </c>
      <c r="L110" s="9" t="n">
        <v>0.16</v>
      </c>
      <c r="M110" s="9" t="n">
        <v>0.89</v>
      </c>
      <c r="N110" s="9" t="n">
        <v>0</v>
      </c>
      <c r="O110" s="9"/>
      <c r="P110" s="9"/>
      <c r="Q110" s="58" t="n">
        <f aca="false">TRIMMEAN(B110:P110,2/COUNT(B110:P110))</f>
        <v>0.347142857142857</v>
      </c>
    </row>
    <row r="111" customFormat="false" ht="15.75" hidden="false" customHeight="true" outlineLevel="0" collapsed="false">
      <c r="A111" s="57" t="s">
        <v>255</v>
      </c>
      <c r="B111" s="9"/>
      <c r="C111" s="9" t="n">
        <v>0</v>
      </c>
      <c r="D111" s="9" t="n">
        <v>0</v>
      </c>
      <c r="E111" s="9" t="n">
        <v>0</v>
      </c>
      <c r="F111" s="9" t="n">
        <v>0.21</v>
      </c>
      <c r="G111" s="9" t="n">
        <v>0</v>
      </c>
      <c r="H111" s="9" t="n">
        <v>0.9</v>
      </c>
      <c r="I111" s="9" t="n">
        <v>0</v>
      </c>
      <c r="J111" s="9"/>
      <c r="K111" s="9"/>
      <c r="L111" s="9" t="n">
        <v>0</v>
      </c>
      <c r="M111" s="9" t="n">
        <v>0</v>
      </c>
      <c r="N111" s="9" t="n">
        <v>0.9</v>
      </c>
      <c r="O111" s="9" t="n">
        <v>0</v>
      </c>
      <c r="P111" s="9" t="n">
        <v>1.25</v>
      </c>
      <c r="Q111" s="58" t="n">
        <f aca="false">TRIMMEAN(B111:P111,2/COUNT(B111:P111))</f>
        <v>0.201</v>
      </c>
    </row>
    <row r="112" customFormat="false" ht="15.75" hidden="false" customHeight="true" outlineLevel="0" collapsed="false">
      <c r="A112" s="57" t="s">
        <v>256</v>
      </c>
      <c r="B112" s="9" t="n">
        <v>0</v>
      </c>
      <c r="C112" s="9" t="n">
        <v>0.13</v>
      </c>
      <c r="D112" s="9"/>
      <c r="E112" s="9" t="n">
        <v>0</v>
      </c>
      <c r="F112" s="9" t="n">
        <v>0.2</v>
      </c>
      <c r="G112" s="9" t="n">
        <v>0</v>
      </c>
      <c r="H112" s="9"/>
      <c r="I112" s="9"/>
      <c r="J112" s="9" t="n">
        <v>0</v>
      </c>
      <c r="K112" s="9" t="n">
        <v>0</v>
      </c>
      <c r="L112" s="9" t="n">
        <v>0</v>
      </c>
      <c r="M112" s="9" t="n">
        <v>0</v>
      </c>
      <c r="N112" s="9"/>
      <c r="O112" s="9"/>
      <c r="P112" s="9"/>
      <c r="Q112" s="58" t="n">
        <f aca="false">TRIMMEAN(B112:P112,2/COUNT(B112:P112))</f>
        <v>0.0185714285714286</v>
      </c>
    </row>
    <row r="113" customFormat="false" ht="15.75" hidden="false" customHeight="true" outlineLevel="0" collapsed="false">
      <c r="A113" s="59" t="s">
        <v>257</v>
      </c>
      <c r="B113" s="9"/>
      <c r="C113" s="9" t="n">
        <v>1.96</v>
      </c>
      <c r="D113" s="9"/>
      <c r="E113" s="9" t="n">
        <v>0</v>
      </c>
      <c r="F113" s="9" t="n">
        <v>0</v>
      </c>
      <c r="G113" s="9"/>
      <c r="H113" s="9" t="n">
        <v>0.27</v>
      </c>
      <c r="I113" s="9"/>
      <c r="J113" s="9"/>
      <c r="K113" s="9" t="n">
        <v>0.27</v>
      </c>
      <c r="L113" s="9" t="n">
        <v>0.3</v>
      </c>
      <c r="M113" s="9" t="n">
        <v>0.14</v>
      </c>
      <c r="N113" s="9" t="n">
        <v>0</v>
      </c>
      <c r="O113" s="9" t="n">
        <v>0.31</v>
      </c>
      <c r="P113" s="9" t="n">
        <v>5.7</v>
      </c>
      <c r="Q113" s="58" t="n">
        <f aca="false">TRIMMEAN(B113:P113,2/COUNT(B113:P113))</f>
        <v>0.40625</v>
      </c>
    </row>
    <row r="114" customFormat="false" ht="15.75" hidden="false" customHeight="true" outlineLevel="0" collapsed="false">
      <c r="A114" s="57" t="s">
        <v>258</v>
      </c>
      <c r="B114" s="9" t="n">
        <v>0.17</v>
      </c>
      <c r="C114" s="9" t="n">
        <v>0.31</v>
      </c>
      <c r="D114" s="9" t="n">
        <v>0</v>
      </c>
      <c r="E114" s="9"/>
      <c r="F114" s="9"/>
      <c r="G114" s="9"/>
      <c r="H114" s="9" t="n">
        <v>4.11</v>
      </c>
      <c r="I114" s="9" t="n">
        <v>0</v>
      </c>
      <c r="J114" s="9" t="n">
        <v>17</v>
      </c>
      <c r="K114" s="9"/>
      <c r="L114" s="9" t="n">
        <v>1.47</v>
      </c>
      <c r="M114" s="9" t="n">
        <v>0</v>
      </c>
      <c r="N114" s="9"/>
      <c r="O114" s="9"/>
      <c r="P114" s="9"/>
      <c r="Q114" s="58" t="n">
        <f aca="false">TRIMMEAN(B114:P114,2/COUNT(B114:P114))</f>
        <v>1.01</v>
      </c>
    </row>
    <row r="115" customFormat="false" ht="15.75" hidden="false" customHeight="true" outlineLevel="0" collapsed="false">
      <c r="A115" s="57" t="s">
        <v>259</v>
      </c>
      <c r="B115" s="9"/>
      <c r="C115" s="9" t="n">
        <v>2.98</v>
      </c>
      <c r="D115" s="9"/>
      <c r="E115" s="9" t="n">
        <v>0.32</v>
      </c>
      <c r="F115" s="9" t="n">
        <v>0</v>
      </c>
      <c r="G115" s="9" t="n">
        <v>0</v>
      </c>
      <c r="H115" s="9"/>
      <c r="I115" s="9"/>
      <c r="J115" s="9" t="n">
        <v>0</v>
      </c>
      <c r="K115" s="9" t="n">
        <v>0.23</v>
      </c>
      <c r="L115" s="9" t="n">
        <v>0</v>
      </c>
      <c r="M115" s="9"/>
      <c r="N115" s="9" t="n">
        <v>0.33</v>
      </c>
      <c r="O115" s="9" t="n">
        <v>0</v>
      </c>
      <c r="P115" s="9" t="n">
        <v>0</v>
      </c>
      <c r="Q115" s="58" t="n">
        <f aca="false">TRIMMEAN(B115:P115,2/COUNT(B115:P115))</f>
        <v>0.11</v>
      </c>
    </row>
    <row r="116" customFormat="false" ht="15.75" hidden="false" customHeight="true" outlineLevel="0" collapsed="false">
      <c r="A116" s="59" t="s">
        <v>260</v>
      </c>
      <c r="B116" s="9"/>
      <c r="C116" s="9" t="n">
        <v>0</v>
      </c>
      <c r="D116" s="9"/>
      <c r="E116" s="9" t="n">
        <v>0</v>
      </c>
      <c r="F116" s="9" t="n">
        <v>1.33</v>
      </c>
      <c r="G116" s="9"/>
      <c r="H116" s="9" t="n">
        <v>0</v>
      </c>
      <c r="I116" s="9"/>
      <c r="J116" s="9"/>
      <c r="K116" s="9" t="n">
        <v>0.23</v>
      </c>
      <c r="L116" s="9" t="n">
        <v>0.62</v>
      </c>
      <c r="M116" s="9" t="n">
        <v>0.31</v>
      </c>
      <c r="N116" s="9" t="n">
        <v>0.24</v>
      </c>
      <c r="O116" s="9" t="n">
        <v>0</v>
      </c>
      <c r="P116" s="9" t="n">
        <v>0.47</v>
      </c>
      <c r="Q116" s="58" t="n">
        <f aca="false">TRIMMEAN(B116:P116,2/COUNT(B116:P116))</f>
        <v>0.23375</v>
      </c>
    </row>
    <row r="117" customFormat="false" ht="15.75" hidden="false" customHeight="true" outlineLevel="0" collapsed="false">
      <c r="A117" s="57" t="s">
        <v>261</v>
      </c>
      <c r="B117" s="9" t="n">
        <v>0</v>
      </c>
      <c r="C117" s="9" t="n">
        <v>2.88</v>
      </c>
      <c r="D117" s="9" t="n">
        <v>0</v>
      </c>
      <c r="E117" s="9" t="n">
        <v>1.02</v>
      </c>
      <c r="F117" s="9" t="n">
        <v>0</v>
      </c>
      <c r="G117" s="9" t="n">
        <v>0.37</v>
      </c>
      <c r="H117" s="9"/>
      <c r="I117" s="9" t="n">
        <v>0.48</v>
      </c>
      <c r="J117" s="9" t="n">
        <v>0.35</v>
      </c>
      <c r="K117" s="9" t="n">
        <v>0</v>
      </c>
      <c r="L117" s="9" t="n">
        <v>0</v>
      </c>
      <c r="M117" s="9" t="n">
        <v>2.08</v>
      </c>
      <c r="N117" s="9" t="n">
        <v>0</v>
      </c>
      <c r="O117" s="9" t="n">
        <v>1.01</v>
      </c>
      <c r="P117" s="9" t="n">
        <v>0.99</v>
      </c>
      <c r="Q117" s="58" t="n">
        <f aca="false">TRIMMEAN(B117:P117,2/COUNT(B117:P117))</f>
        <v>0.525</v>
      </c>
    </row>
    <row r="118" customFormat="false" ht="15.75" hidden="false" customHeight="true" outlineLevel="0" collapsed="false">
      <c r="A118" s="59" t="s">
        <v>262</v>
      </c>
      <c r="B118" s="9"/>
      <c r="C118" s="9" t="n">
        <v>0</v>
      </c>
      <c r="D118" s="9" t="n">
        <v>1.48</v>
      </c>
      <c r="E118" s="9" t="n">
        <v>1.02</v>
      </c>
      <c r="F118" s="9" t="n">
        <v>0</v>
      </c>
      <c r="G118" s="9"/>
      <c r="H118" s="9" t="n">
        <v>0</v>
      </c>
      <c r="I118" s="9"/>
      <c r="J118" s="9"/>
      <c r="K118" s="9" t="n">
        <v>0.7</v>
      </c>
      <c r="L118" s="9" t="n">
        <v>0.43</v>
      </c>
      <c r="M118" s="9" t="n">
        <v>0</v>
      </c>
      <c r="N118" s="9" t="n">
        <v>0</v>
      </c>
      <c r="O118" s="9" t="n">
        <v>0.59</v>
      </c>
      <c r="P118" s="9" t="n">
        <v>0</v>
      </c>
      <c r="Q118" s="58" t="n">
        <f aca="false">TRIMMEAN(B118:P118,2/COUNT(B118:P118))</f>
        <v>0.304444444444444</v>
      </c>
    </row>
    <row r="119" customFormat="false" ht="15.75" hidden="false" customHeight="true" outlineLevel="0" collapsed="false">
      <c r="A119" s="57" t="s">
        <v>263</v>
      </c>
      <c r="B119" s="9" t="n">
        <v>0</v>
      </c>
      <c r="C119" s="9" t="n">
        <v>0</v>
      </c>
      <c r="D119" s="9"/>
      <c r="E119" s="9" t="n">
        <v>0</v>
      </c>
      <c r="F119" s="9" t="n">
        <v>0</v>
      </c>
      <c r="G119" s="9" t="n">
        <v>0.25</v>
      </c>
      <c r="H119" s="9"/>
      <c r="I119" s="9"/>
      <c r="J119" s="9" t="n">
        <v>0</v>
      </c>
      <c r="K119" s="9" t="n">
        <v>0.18</v>
      </c>
      <c r="L119" s="9" t="n">
        <v>0</v>
      </c>
      <c r="M119" s="9" t="n">
        <v>0</v>
      </c>
      <c r="N119" s="9"/>
      <c r="O119" s="9"/>
      <c r="P119" s="9"/>
      <c r="Q119" s="58" t="n">
        <f aca="false">TRIMMEAN(B119:P119,2/COUNT(B119:P119))</f>
        <v>0.0257142857142857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 t="n">
        <v>0</v>
      </c>
      <c r="I120" s="9" t="n">
        <v>1.14</v>
      </c>
      <c r="J120" s="9" t="n">
        <v>0</v>
      </c>
      <c r="K120" s="9"/>
      <c r="L120" s="9" t="n">
        <v>0.43</v>
      </c>
      <c r="M120" s="9" t="n">
        <v>1.24</v>
      </c>
      <c r="N120" s="9" t="n">
        <v>0</v>
      </c>
      <c r="O120" s="9" t="n">
        <v>0.39</v>
      </c>
      <c r="P120" s="9" t="n">
        <v>4.14</v>
      </c>
      <c r="Q120" s="58" t="n">
        <f aca="false">TRIMMEAN(B120:P120,2/COUNT(B120:P120))</f>
        <v>0.533333333333333</v>
      </c>
    </row>
    <row r="121" customFormat="false" ht="15.75" hidden="false" customHeight="true" outlineLevel="0" collapsed="false">
      <c r="A121" s="57" t="s">
        <v>265</v>
      </c>
      <c r="B121" s="9"/>
      <c r="C121" s="9" t="n">
        <v>0.17</v>
      </c>
      <c r="D121" s="9" t="n">
        <v>0</v>
      </c>
      <c r="E121" s="9" t="n">
        <v>0.28</v>
      </c>
      <c r="F121" s="9" t="n">
        <v>0</v>
      </c>
      <c r="G121" s="9" t="n">
        <v>0</v>
      </c>
      <c r="H121" s="9"/>
      <c r="I121" s="9"/>
      <c r="J121" s="9" t="n">
        <v>0</v>
      </c>
      <c r="K121" s="9" t="n">
        <v>0.18</v>
      </c>
      <c r="L121" s="9" t="n">
        <v>0.9</v>
      </c>
      <c r="M121" s="9" t="n">
        <v>4.58</v>
      </c>
      <c r="N121" s="9" t="n">
        <v>0</v>
      </c>
      <c r="O121" s="9"/>
      <c r="P121" s="9"/>
      <c r="Q121" s="58" t="n">
        <f aca="false">TRIMMEAN(B121:P121,2/COUNT(B121:P121))</f>
        <v>0.19125</v>
      </c>
    </row>
    <row r="122" customFormat="false" ht="15.75" hidden="false" customHeight="true" outlineLevel="0" collapsed="false">
      <c r="A122" s="59" t="s">
        <v>266</v>
      </c>
      <c r="B122" s="9"/>
      <c r="C122" s="9" t="n">
        <v>0.2</v>
      </c>
      <c r="D122" s="9" t="n">
        <v>0.38</v>
      </c>
      <c r="E122" s="9"/>
      <c r="F122" s="9" t="n">
        <v>1.26</v>
      </c>
      <c r="G122" s="9" t="n">
        <v>0.81</v>
      </c>
      <c r="H122" s="9"/>
      <c r="I122" s="9" t="n">
        <v>0.84</v>
      </c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0.676666666666667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 t="n">
        <v>1.18</v>
      </c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</v>
      </c>
      <c r="C124" s="9" t="n">
        <v>0</v>
      </c>
      <c r="D124" s="9"/>
      <c r="E124" s="9" t="n">
        <v>0</v>
      </c>
      <c r="F124" s="9" t="n">
        <v>0</v>
      </c>
      <c r="G124" s="9" t="n">
        <v>0</v>
      </c>
      <c r="H124" s="9"/>
      <c r="I124" s="9"/>
      <c r="J124" s="9" t="n">
        <v>0.24</v>
      </c>
      <c r="K124" s="9" t="n">
        <v>0</v>
      </c>
      <c r="L124" s="9" t="n">
        <v>0</v>
      </c>
      <c r="M124" s="9" t="n">
        <v>0</v>
      </c>
      <c r="N124" s="9"/>
      <c r="O124" s="9"/>
      <c r="P124" s="9"/>
      <c r="Q124" s="58" t="n">
        <f aca="false">TRIMMEAN(B124:P124,2/COUNT(B124:P124))</f>
        <v>0</v>
      </c>
    </row>
    <row r="125" customFormat="false" ht="15.75" hidden="false" customHeight="true" outlineLevel="0" collapsed="false">
      <c r="A125" s="59" t="s">
        <v>269</v>
      </c>
      <c r="B125" s="9"/>
      <c r="C125" s="9" t="n">
        <v>0.17</v>
      </c>
      <c r="D125" s="9"/>
      <c r="E125" s="9" t="n">
        <v>0</v>
      </c>
      <c r="F125" s="9" t="n">
        <v>0</v>
      </c>
      <c r="G125" s="9"/>
      <c r="H125" s="9" t="n">
        <v>0.42</v>
      </c>
      <c r="I125" s="9"/>
      <c r="J125" s="9"/>
      <c r="K125" s="9" t="n">
        <v>0</v>
      </c>
      <c r="L125" s="9" t="n">
        <v>0.43</v>
      </c>
      <c r="M125" s="9" t="n">
        <v>0</v>
      </c>
      <c r="N125" s="9" t="n">
        <v>0</v>
      </c>
      <c r="O125" s="9" t="n">
        <v>0</v>
      </c>
      <c r="P125" s="9" t="n">
        <v>0</v>
      </c>
      <c r="Q125" s="58" t="n">
        <f aca="false">TRIMMEAN(B125:P125,2/COUNT(B125:P125))</f>
        <v>0.07375</v>
      </c>
    </row>
    <row r="126" customFormat="false" ht="15.75" hidden="false" customHeight="true" outlineLevel="0" collapsed="false">
      <c r="A126" s="57" t="s">
        <v>270</v>
      </c>
      <c r="B126" s="9" t="n">
        <v>0.63</v>
      </c>
      <c r="C126" s="9" t="n">
        <v>0</v>
      </c>
      <c r="D126" s="9" t="n">
        <v>0</v>
      </c>
      <c r="E126" s="9" t="n">
        <v>1.33</v>
      </c>
      <c r="F126" s="9" t="n">
        <v>3.6</v>
      </c>
      <c r="G126" s="9"/>
      <c r="H126" s="9"/>
      <c r="I126" s="9"/>
      <c r="J126" s="9" t="n">
        <v>0.51</v>
      </c>
      <c r="K126" s="9" t="n">
        <v>0</v>
      </c>
      <c r="L126" s="9" t="n">
        <v>0</v>
      </c>
      <c r="M126" s="9" t="n">
        <v>0</v>
      </c>
      <c r="N126" s="9"/>
      <c r="O126" s="9"/>
      <c r="P126" s="9"/>
      <c r="Q126" s="58" t="n">
        <f aca="false">TRIMMEAN(B126:P126,2/COUNT(B126:P126))</f>
        <v>0.352857142857143</v>
      </c>
    </row>
    <row r="127" customFormat="false" ht="15.75" hidden="false" customHeight="true" outlineLevel="0" collapsed="false">
      <c r="A127" s="59" t="s">
        <v>271</v>
      </c>
      <c r="B127" s="9"/>
      <c r="C127" s="9" t="n">
        <v>0</v>
      </c>
      <c r="D127" s="9"/>
      <c r="E127" s="9" t="n">
        <v>0</v>
      </c>
      <c r="F127" s="9" t="n">
        <v>0.21</v>
      </c>
      <c r="G127" s="9"/>
      <c r="H127" s="9" t="n">
        <v>0.21</v>
      </c>
      <c r="I127" s="9"/>
      <c r="J127" s="9"/>
      <c r="K127" s="9" t="n">
        <v>0</v>
      </c>
      <c r="L127" s="9" t="n">
        <v>0</v>
      </c>
      <c r="M127" s="9" t="n">
        <v>0.03</v>
      </c>
      <c r="N127" s="9" t="n">
        <v>0</v>
      </c>
      <c r="O127" s="9" t="n">
        <v>0</v>
      </c>
      <c r="P127" s="9" t="n">
        <v>0</v>
      </c>
      <c r="Q127" s="58" t="n">
        <f aca="false">TRIMMEAN(B127:P127,2/COUNT(B127:P127))</f>
        <v>0.03</v>
      </c>
    </row>
    <row r="128" customFormat="false" ht="15.75" hidden="false" customHeight="true" outlineLevel="0" collapsed="false">
      <c r="A128" s="57" t="s">
        <v>272</v>
      </c>
      <c r="B128" s="9" t="n">
        <v>0</v>
      </c>
      <c r="C128" s="9" t="n">
        <v>0.15</v>
      </c>
      <c r="D128" s="9"/>
      <c r="E128" s="9" t="n">
        <v>0</v>
      </c>
      <c r="F128" s="9" t="n">
        <v>0.2</v>
      </c>
      <c r="G128" s="9" t="n">
        <v>0.17</v>
      </c>
      <c r="H128" s="9"/>
      <c r="I128" s="9"/>
      <c r="J128" s="9" t="n">
        <v>0</v>
      </c>
      <c r="K128" s="9" t="n">
        <v>0</v>
      </c>
      <c r="L128" s="9" t="n">
        <v>0</v>
      </c>
      <c r="M128" s="9" t="n">
        <v>0</v>
      </c>
      <c r="N128" s="9"/>
      <c r="O128" s="9"/>
      <c r="P128" s="9"/>
      <c r="Q128" s="58" t="n">
        <f aca="false">TRIMMEAN(B128:P128,2/COUNT(B128:P128))</f>
        <v>0.0457142857142857</v>
      </c>
    </row>
    <row r="129" customFormat="false" ht="15.75" hidden="false" customHeight="true" outlineLevel="0" collapsed="false">
      <c r="A129" s="57" t="s">
        <v>273</v>
      </c>
      <c r="B129" s="9"/>
      <c r="C129" s="9" t="n">
        <v>0.22</v>
      </c>
      <c r="D129" s="9" t="n">
        <v>0</v>
      </c>
      <c r="E129" s="9" t="n">
        <v>1.02</v>
      </c>
      <c r="F129" s="9" t="n">
        <v>0.35</v>
      </c>
      <c r="G129" s="9"/>
      <c r="H129" s="9" t="n">
        <v>0</v>
      </c>
      <c r="I129" s="9" t="n">
        <v>0.71</v>
      </c>
      <c r="J129" s="9"/>
      <c r="K129" s="9" t="n">
        <v>0</v>
      </c>
      <c r="L129" s="9" t="n">
        <v>4.64</v>
      </c>
      <c r="M129" s="9" t="n">
        <v>0</v>
      </c>
      <c r="N129" s="9" t="n">
        <v>0</v>
      </c>
      <c r="O129" s="9" t="n">
        <v>0</v>
      </c>
      <c r="P129" s="9" t="n">
        <v>0</v>
      </c>
      <c r="Q129" s="58" t="n">
        <f aca="false">TRIMMEAN(B129:P129,2/COUNT(B129:P129))</f>
        <v>0.23</v>
      </c>
    </row>
    <row r="130" customFormat="false" ht="15.75" hidden="false" customHeight="true" outlineLevel="0" collapsed="false">
      <c r="A130" s="59" t="s">
        <v>274</v>
      </c>
      <c r="B130" s="9"/>
      <c r="C130" s="9" t="n">
        <v>0.1</v>
      </c>
      <c r="D130" s="9"/>
      <c r="E130" s="9" t="n">
        <v>0.28</v>
      </c>
      <c r="F130" s="9"/>
      <c r="G130" s="9"/>
      <c r="H130" s="9"/>
      <c r="I130" s="9"/>
      <c r="J130" s="9"/>
      <c r="K130" s="9" t="n">
        <v>0</v>
      </c>
      <c r="L130" s="9" t="n">
        <v>0.19</v>
      </c>
      <c r="M130" s="9" t="n">
        <v>0</v>
      </c>
      <c r="N130" s="9"/>
      <c r="O130" s="9"/>
      <c r="P130" s="9"/>
      <c r="Q130" s="58" t="n">
        <f aca="false">TRIMMEAN(B130:P130,2/COUNT(B130:P130))</f>
        <v>0.0966666666666667</v>
      </c>
    </row>
    <row r="131" customFormat="false" ht="15.75" hidden="false" customHeight="true" outlineLevel="0" collapsed="false">
      <c r="A131" s="57" t="s">
        <v>275</v>
      </c>
      <c r="B131" s="9" t="n">
        <v>0.71</v>
      </c>
      <c r="C131" s="9" t="n">
        <v>0.08</v>
      </c>
      <c r="D131" s="9" t="n">
        <v>0.38</v>
      </c>
      <c r="E131" s="9"/>
      <c r="F131" s="9" t="n">
        <v>0.78</v>
      </c>
      <c r="G131" s="9" t="n">
        <v>0.12</v>
      </c>
      <c r="H131" s="9"/>
      <c r="I131" s="9" t="n">
        <v>0.48</v>
      </c>
      <c r="J131" s="9" t="n">
        <v>0.35</v>
      </c>
      <c r="K131" s="9" t="n">
        <v>0</v>
      </c>
      <c r="L131" s="9" t="n">
        <v>0</v>
      </c>
      <c r="M131" s="9" t="n">
        <v>0</v>
      </c>
      <c r="N131" s="9" t="n">
        <v>1.14</v>
      </c>
      <c r="O131" s="9" t="n">
        <v>1.56</v>
      </c>
      <c r="P131" s="9" t="n">
        <v>0</v>
      </c>
      <c r="Q131" s="58" t="n">
        <f aca="false">TRIMMEAN(B131:P131,2/COUNT(B131:P131))</f>
        <v>0.367272727272727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3.37</v>
      </c>
      <c r="C133" s="9" t="n">
        <v>0</v>
      </c>
      <c r="D133" s="9" t="n">
        <v>0.38</v>
      </c>
      <c r="E133" s="9" t="n">
        <v>4.33</v>
      </c>
      <c r="F133" s="9"/>
      <c r="G133" s="9" t="n">
        <v>1.8</v>
      </c>
      <c r="H133" s="9"/>
      <c r="I133" s="9" t="n">
        <v>0</v>
      </c>
      <c r="J133" s="9" t="n">
        <v>0.16</v>
      </c>
      <c r="K133" s="9"/>
      <c r="L133" s="9" t="n">
        <v>2.21</v>
      </c>
      <c r="M133" s="9" t="n">
        <v>4.58</v>
      </c>
      <c r="N133" s="9"/>
      <c r="O133" s="9" t="n">
        <v>0.35</v>
      </c>
      <c r="P133" s="9"/>
      <c r="Q133" s="58" t="n">
        <f aca="false">TRIMMEAN(B133:P133,2/COUNT(B133:P133))</f>
        <v>1.575</v>
      </c>
    </row>
    <row r="134" customFormat="false" ht="15.75" hidden="false" customHeight="true" outlineLevel="0" collapsed="false">
      <c r="A134" s="57" t="s">
        <v>13</v>
      </c>
      <c r="B134" s="9"/>
      <c r="C134" s="9" t="n">
        <v>1.12</v>
      </c>
      <c r="D134" s="9"/>
      <c r="E134" s="9" t="n">
        <v>0</v>
      </c>
      <c r="F134" s="9" t="n">
        <v>0</v>
      </c>
      <c r="G134" s="9"/>
      <c r="H134" s="9" t="n">
        <v>0.9</v>
      </c>
      <c r="I134" s="9" t="n">
        <v>10.1</v>
      </c>
      <c r="J134" s="9"/>
      <c r="K134" s="9" t="n">
        <v>0.23</v>
      </c>
      <c r="L134" s="9" t="n">
        <v>17.34</v>
      </c>
      <c r="M134" s="9" t="n">
        <v>0</v>
      </c>
      <c r="N134" s="9" t="n">
        <v>0.59</v>
      </c>
      <c r="O134" s="9"/>
      <c r="P134" s="9" t="n">
        <v>2.56</v>
      </c>
      <c r="Q134" s="58" t="n">
        <f aca="false">TRIMMEAN(B134:P134,2/COUNT(B134:P134))</f>
        <v>1.9375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 t="n">
        <v>0.74</v>
      </c>
      <c r="E135" s="9" t="n">
        <v>0.32</v>
      </c>
      <c r="F135" s="9" t="n">
        <v>0</v>
      </c>
      <c r="G135" s="9"/>
      <c r="H135" s="9" t="n">
        <v>0</v>
      </c>
      <c r="I135" s="9" t="n">
        <v>0</v>
      </c>
      <c r="J135" s="9"/>
      <c r="K135" s="9"/>
      <c r="L135" s="9" t="n">
        <v>0</v>
      </c>
      <c r="M135" s="9"/>
      <c r="N135" s="9" t="n">
        <v>0.38</v>
      </c>
      <c r="O135" s="9" t="n">
        <v>1.56</v>
      </c>
      <c r="P135" s="9" t="n">
        <v>0</v>
      </c>
      <c r="Q135" s="58" t="n">
        <f aca="false">TRIMMEAN(B135:P135,2/COUNT(B135:P135))</f>
        <v>0.205714285714286</v>
      </c>
    </row>
    <row r="136" customFormat="false" ht="15.75" hidden="false" customHeight="true" outlineLevel="0" collapsed="false">
      <c r="A136" s="57" t="s">
        <v>279</v>
      </c>
      <c r="B136" s="9" t="n">
        <v>1.51</v>
      </c>
      <c r="C136" s="9" t="n">
        <v>0.69</v>
      </c>
      <c r="D136" s="9" t="n">
        <v>2.81</v>
      </c>
      <c r="E136" s="9"/>
      <c r="F136" s="9"/>
      <c r="G136" s="9" t="n">
        <v>0.63</v>
      </c>
      <c r="H136" s="9"/>
      <c r="I136" s="9" t="n">
        <v>0</v>
      </c>
      <c r="J136" s="9" t="n">
        <v>0.52</v>
      </c>
      <c r="K136" s="9"/>
      <c r="L136" s="9" t="n">
        <v>0.39</v>
      </c>
      <c r="M136" s="9" t="n">
        <v>0.67</v>
      </c>
      <c r="N136" s="9" t="n">
        <v>0.46</v>
      </c>
      <c r="O136" s="9"/>
      <c r="P136" s="9"/>
      <c r="Q136" s="58" t="n">
        <f aca="false">TRIMMEAN(B136:P136,2/COUNT(B136:P136))</f>
        <v>0.695714285714286</v>
      </c>
    </row>
    <row r="137" customFormat="false" ht="15.75" hidden="false" customHeight="true" outlineLevel="0" collapsed="false">
      <c r="A137" s="59" t="s">
        <v>280</v>
      </c>
      <c r="B137" s="9"/>
      <c r="C137" s="9" t="n">
        <v>0</v>
      </c>
      <c r="D137" s="9"/>
      <c r="E137" s="9" t="n">
        <v>0</v>
      </c>
      <c r="F137" s="9" t="n">
        <v>0</v>
      </c>
      <c r="G137" s="9"/>
      <c r="H137" s="9" t="n">
        <v>0</v>
      </c>
      <c r="I137" s="9"/>
      <c r="J137" s="9"/>
      <c r="K137" s="9" t="n">
        <v>0</v>
      </c>
      <c r="L137" s="9" t="n">
        <v>0.16</v>
      </c>
      <c r="M137" s="9"/>
      <c r="N137" s="9" t="n">
        <v>0</v>
      </c>
      <c r="O137" s="9" t="n">
        <v>0</v>
      </c>
      <c r="P137" s="9" t="n">
        <v>0</v>
      </c>
      <c r="Q137" s="58" t="n">
        <f aca="false">TRIMMEAN(B137:P137,2/COUNT(B137:P137))</f>
        <v>0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 t="n">
        <v>0</v>
      </c>
      <c r="J138" s="9" t="n">
        <v>0</v>
      </c>
      <c r="K138" s="9"/>
      <c r="L138" s="9" t="n">
        <v>0</v>
      </c>
      <c r="M138" s="9" t="n">
        <v>0</v>
      </c>
      <c r="N138" s="9" t="n">
        <v>0.9</v>
      </c>
      <c r="O138" s="9" t="n">
        <v>0</v>
      </c>
      <c r="P138" s="9"/>
      <c r="Q138" s="58" t="n">
        <f aca="false">TRIMMEAN(B138:P138,2/COUNT(B138:P138))</f>
        <v>0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0.72</v>
      </c>
      <c r="D140" s="9" t="n">
        <v>0</v>
      </c>
      <c r="E140" s="9" t="n">
        <v>0.75</v>
      </c>
      <c r="F140" s="9"/>
      <c r="G140" s="9"/>
      <c r="H140" s="9" t="n">
        <v>0</v>
      </c>
      <c r="I140" s="9" t="n">
        <v>0</v>
      </c>
      <c r="J140" s="9"/>
      <c r="K140" s="9"/>
      <c r="L140" s="9" t="n">
        <v>0</v>
      </c>
      <c r="M140" s="9" t="n">
        <v>0.89</v>
      </c>
      <c r="N140" s="9"/>
      <c r="O140" s="9"/>
      <c r="P140" s="9" t="n">
        <v>0</v>
      </c>
      <c r="Q140" s="58" t="n">
        <f aca="false">TRIMMEAN(B140:P140,2/COUNT(B140:P140))</f>
        <v>0.245</v>
      </c>
    </row>
    <row r="141" customFormat="false" ht="15.75" hidden="false" customHeight="true" outlineLevel="0" collapsed="false">
      <c r="A141" s="59" t="s">
        <v>284</v>
      </c>
      <c r="B141" s="9"/>
      <c r="C141" s="9" t="n">
        <v>0.22</v>
      </c>
      <c r="D141" s="9"/>
      <c r="E141" s="9" t="n">
        <v>0</v>
      </c>
      <c r="F141" s="9" t="n">
        <v>0</v>
      </c>
      <c r="G141" s="9"/>
      <c r="H141" s="9"/>
      <c r="I141" s="9"/>
      <c r="J141" s="9"/>
      <c r="K141" s="9" t="n">
        <v>2.62</v>
      </c>
      <c r="L141" s="9" t="n">
        <v>0.43</v>
      </c>
      <c r="M141" s="9"/>
      <c r="N141" s="9" t="n">
        <v>1.36</v>
      </c>
      <c r="O141" s="9" t="n">
        <v>0.59</v>
      </c>
      <c r="P141" s="9" t="n">
        <v>0.47</v>
      </c>
      <c r="Q141" s="58" t="n">
        <f aca="false">TRIMMEAN(B141:P141,2/COUNT(B141:P141))</f>
        <v>0.511666666666667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 t="n">
        <v>1.14</v>
      </c>
      <c r="J142" s="9"/>
      <c r="K142" s="9" t="n">
        <v>0</v>
      </c>
      <c r="L142" s="9" t="n">
        <v>0.62</v>
      </c>
      <c r="M142" s="9"/>
      <c r="N142" s="9" t="n">
        <v>8.82</v>
      </c>
      <c r="O142" s="9" t="n">
        <v>0.47</v>
      </c>
      <c r="P142" s="9" t="n">
        <v>0.47</v>
      </c>
      <c r="Q142" s="58" t="n">
        <f aca="false">TRIMMEAN(B142:P142,2/COUNT(B142:P142))</f>
        <v>0.675</v>
      </c>
    </row>
    <row r="143" customFormat="false" ht="15.75" hidden="false" customHeight="true" outlineLevel="0" collapsed="false">
      <c r="A143" s="57" t="s">
        <v>286</v>
      </c>
      <c r="B143" s="9" t="n">
        <v>0</v>
      </c>
      <c r="C143" s="9" t="n">
        <v>0</v>
      </c>
      <c r="D143" s="9"/>
      <c r="E143" s="9"/>
      <c r="F143" s="9"/>
      <c r="G143" s="9"/>
      <c r="H143" s="9"/>
      <c r="I143" s="9"/>
      <c r="J143" s="9" t="n">
        <v>0</v>
      </c>
      <c r="K143" s="9" t="n">
        <v>0</v>
      </c>
      <c r="L143" s="9" t="n">
        <v>0</v>
      </c>
      <c r="M143" s="9"/>
      <c r="N143" s="9"/>
      <c r="O143" s="9"/>
      <c r="P143" s="9"/>
      <c r="Q143" s="58" t="n">
        <f aca="false">TRIMMEAN(B143:P143,2/COUNT(B143:P143))</f>
        <v>0</v>
      </c>
    </row>
    <row r="144" customFormat="false" ht="15.75" hidden="false" customHeight="true" outlineLevel="0" collapsed="false">
      <c r="A144" s="59" t="s">
        <v>287</v>
      </c>
      <c r="B144" s="9"/>
      <c r="C144" s="9" t="n">
        <v>0.29</v>
      </c>
      <c r="D144" s="9"/>
      <c r="E144" s="9" t="n">
        <v>0</v>
      </c>
      <c r="F144" s="9" t="n">
        <v>0.59</v>
      </c>
      <c r="G144" s="9" t="n">
        <v>0.63</v>
      </c>
      <c r="H144" s="9"/>
      <c r="I144" s="9"/>
      <c r="J144" s="9"/>
      <c r="K144" s="9" t="n">
        <v>0.7</v>
      </c>
      <c r="L144" s="9"/>
      <c r="M144" s="9"/>
      <c r="N144" s="9" t="n">
        <v>0</v>
      </c>
      <c r="O144" s="9" t="n">
        <v>0.03</v>
      </c>
      <c r="P144" s="9" t="n">
        <v>0</v>
      </c>
      <c r="Q144" s="58" t="n">
        <f aca="false">TRIMMEAN(B144:P144,2/COUNT(B144:P144))</f>
        <v>0.256666666666667</v>
      </c>
    </row>
    <row r="145" customFormat="false" ht="15.75" hidden="false" customHeight="true" outlineLevel="0" collapsed="false">
      <c r="A145" s="57" t="s">
        <v>288</v>
      </c>
      <c r="B145" s="9" t="n">
        <v>0</v>
      </c>
      <c r="C145" s="9"/>
      <c r="D145" s="9"/>
      <c r="E145" s="9" t="n">
        <v>0</v>
      </c>
      <c r="F145" s="9"/>
      <c r="G145" s="9" t="n">
        <v>0</v>
      </c>
      <c r="H145" s="9"/>
      <c r="I145" s="9"/>
      <c r="J145" s="9" t="n">
        <v>0.51</v>
      </c>
      <c r="K145" s="9" t="n">
        <v>0.29</v>
      </c>
      <c r="L145" s="9" t="n">
        <v>0</v>
      </c>
      <c r="M145" s="9" t="n">
        <v>0</v>
      </c>
      <c r="N145" s="9"/>
      <c r="O145" s="9"/>
      <c r="P145" s="9"/>
      <c r="Q145" s="58" t="n">
        <f aca="false">TRIMMEAN(B145:P145,2/COUNT(B145:P145))</f>
        <v>0.058</v>
      </c>
    </row>
    <row r="146" customFormat="false" ht="15.75" hidden="false" customHeight="true" outlineLevel="0" collapsed="false">
      <c r="A146" s="57" t="s">
        <v>289</v>
      </c>
      <c r="B146" s="9" t="n">
        <v>0.3</v>
      </c>
      <c r="C146" s="9" t="n">
        <v>0.3</v>
      </c>
      <c r="D146" s="9"/>
      <c r="E146" s="9" t="n">
        <v>0</v>
      </c>
      <c r="F146" s="9" t="n">
        <v>0</v>
      </c>
      <c r="G146" s="9" t="n">
        <v>0</v>
      </c>
      <c r="H146" s="9"/>
      <c r="I146" s="9"/>
      <c r="J146" s="9" t="n">
        <v>1.48</v>
      </c>
      <c r="K146" s="9" t="n">
        <v>0</v>
      </c>
      <c r="L146" s="9" t="n">
        <v>0</v>
      </c>
      <c r="M146" s="9" t="n">
        <v>0</v>
      </c>
      <c r="N146" s="9"/>
      <c r="O146" s="9"/>
      <c r="P146" s="9"/>
      <c r="Q146" s="58" t="n">
        <f aca="false">TRIMMEAN(B146:P146,2/COUNT(B146:P146))</f>
        <v>0.0857142857142857</v>
      </c>
    </row>
    <row r="147" customFormat="false" ht="15.75" hidden="false" customHeight="true" outlineLevel="0" collapsed="false">
      <c r="A147" s="59" t="s">
        <v>290</v>
      </c>
      <c r="B147" s="9"/>
      <c r="C147" s="9" t="n">
        <v>0</v>
      </c>
      <c r="D147" s="9"/>
      <c r="E147" s="9" t="n">
        <v>0</v>
      </c>
      <c r="F147" s="9"/>
      <c r="G147" s="9"/>
      <c r="H147" s="9"/>
      <c r="I147" s="9"/>
      <c r="J147" s="9"/>
      <c r="K147" s="9" t="n">
        <v>0</v>
      </c>
      <c r="L147" s="9" t="n">
        <v>0</v>
      </c>
      <c r="M147" s="9"/>
      <c r="N147" s="9"/>
      <c r="O147" s="9"/>
      <c r="P147" s="9"/>
      <c r="Q147" s="58" t="n">
        <f aca="false">TRIMMEAN(B147:P147,2/COUNT(B147:P147))</f>
        <v>0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0</v>
      </c>
      <c r="D149" s="9"/>
      <c r="E149" s="9" t="n">
        <v>0</v>
      </c>
      <c r="F149" s="9" t="n">
        <v>0</v>
      </c>
      <c r="G149" s="9"/>
      <c r="H149" s="9" t="n">
        <v>0</v>
      </c>
      <c r="I149" s="9"/>
      <c r="J149" s="9"/>
      <c r="K149" s="9" t="n">
        <v>0</v>
      </c>
      <c r="L149" s="9" t="n">
        <v>0</v>
      </c>
      <c r="M149" s="9" t="n">
        <v>0</v>
      </c>
      <c r="N149" s="9" t="n">
        <v>0</v>
      </c>
      <c r="O149" s="9" t="n">
        <v>0</v>
      </c>
      <c r="P149" s="9" t="n">
        <v>0</v>
      </c>
      <c r="Q149" s="58" t="n">
        <f aca="false">TRIMMEAN(B149:P149,2/COUNT(B149:P149))</f>
        <v>0</v>
      </c>
    </row>
    <row r="150" customFormat="false" ht="15.75" hidden="false" customHeight="true" outlineLevel="0" collapsed="false">
      <c r="A150" s="57" t="s">
        <v>293</v>
      </c>
      <c r="B150" s="9" t="n">
        <v>0</v>
      </c>
      <c r="C150" s="9" t="n">
        <v>0</v>
      </c>
      <c r="D150" s="9"/>
      <c r="E150" s="9" t="n">
        <v>0</v>
      </c>
      <c r="F150" s="9" t="n">
        <v>0</v>
      </c>
      <c r="G150" s="9" t="n">
        <v>0</v>
      </c>
      <c r="H150" s="9"/>
      <c r="I150" s="9"/>
      <c r="J150" s="9" t="n">
        <v>0</v>
      </c>
      <c r="K150" s="9" t="n">
        <v>0</v>
      </c>
      <c r="L150" s="9" t="n">
        <v>0</v>
      </c>
      <c r="M150" s="9"/>
      <c r="N150" s="9"/>
      <c r="O150" s="9"/>
      <c r="P150" s="9"/>
      <c r="Q150" s="58" t="n">
        <f aca="false">TRIMMEAN(B150:P150,2/COUNT(B150:P150))</f>
        <v>0</v>
      </c>
    </row>
    <row r="151" customFormat="false" ht="15.75" hidden="false" customHeight="true" outlineLevel="0" collapsed="false">
      <c r="A151" s="57" t="s">
        <v>294</v>
      </c>
      <c r="B151" s="9" t="n">
        <v>0</v>
      </c>
      <c r="C151" s="9" t="n">
        <v>0</v>
      </c>
      <c r="D151" s="9"/>
      <c r="E151" s="9" t="n">
        <v>0</v>
      </c>
      <c r="F151" s="9" t="n">
        <v>0</v>
      </c>
      <c r="G151" s="9"/>
      <c r="H151" s="9"/>
      <c r="I151" s="9"/>
      <c r="J151" s="9" t="n">
        <v>0</v>
      </c>
      <c r="K151" s="9" t="n">
        <v>0</v>
      </c>
      <c r="L151" s="9" t="n">
        <v>0</v>
      </c>
      <c r="M151" s="9" t="n">
        <v>0</v>
      </c>
      <c r="N151" s="9"/>
      <c r="O151" s="9"/>
      <c r="P151" s="9"/>
      <c r="Q151" s="58" t="n">
        <f aca="false">TRIMMEAN(B151:P151,2/COUNT(B151:P151))</f>
        <v>0</v>
      </c>
    </row>
    <row r="152" customFormat="false" ht="15.75" hidden="false" customHeight="true" outlineLevel="0" collapsed="false">
      <c r="A152" s="59" t="s">
        <v>295</v>
      </c>
      <c r="B152" s="9"/>
      <c r="C152" s="9" t="n">
        <v>0</v>
      </c>
      <c r="D152" s="9"/>
      <c r="E152" s="9" t="n">
        <v>0</v>
      </c>
      <c r="F152" s="9" t="n">
        <v>0</v>
      </c>
      <c r="G152" s="9"/>
      <c r="H152" s="9" t="n">
        <v>0</v>
      </c>
      <c r="I152" s="9"/>
      <c r="J152" s="9"/>
      <c r="K152" s="9" t="n">
        <v>0</v>
      </c>
      <c r="L152" s="9" t="n">
        <v>0</v>
      </c>
      <c r="M152" s="9" t="n">
        <v>0</v>
      </c>
      <c r="N152" s="9" t="n">
        <v>0.46</v>
      </c>
      <c r="O152" s="9" t="n">
        <v>0.35</v>
      </c>
      <c r="P152" s="9" t="n">
        <v>0</v>
      </c>
      <c r="Q152" s="58" t="n">
        <f aca="false">TRIMMEAN(B152:P152,2/COUNT(B152:P152))</f>
        <v>0.04375</v>
      </c>
    </row>
    <row r="153" customFormat="false" ht="15.75" hidden="false" customHeight="true" outlineLevel="0" collapsed="false">
      <c r="A153" s="57" t="s">
        <v>296</v>
      </c>
      <c r="B153" s="9"/>
      <c r="C153" s="9" t="n">
        <v>0</v>
      </c>
      <c r="D153" s="9"/>
      <c r="E153" s="9"/>
      <c r="F153" s="9" t="n">
        <v>0</v>
      </c>
      <c r="G153" s="9"/>
      <c r="H153" s="9"/>
      <c r="I153" s="9"/>
      <c r="J153" s="9" t="n">
        <v>0</v>
      </c>
      <c r="K153" s="9" t="n">
        <v>0</v>
      </c>
      <c r="L153" s="9" t="n">
        <v>0</v>
      </c>
      <c r="M153" s="9"/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 t="n">
        <v>0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0.71</v>
      </c>
      <c r="C155" s="9" t="n">
        <v>1.07</v>
      </c>
      <c r="D155" s="9" t="n">
        <v>1.48</v>
      </c>
      <c r="E155" s="9"/>
      <c r="F155" s="9"/>
      <c r="G155" s="9" t="n">
        <v>0</v>
      </c>
      <c r="H155" s="9"/>
      <c r="I155" s="9" t="n">
        <v>0</v>
      </c>
      <c r="J155" s="9" t="n">
        <v>0</v>
      </c>
      <c r="K155" s="9"/>
      <c r="L155" s="9" t="n">
        <v>9.11</v>
      </c>
      <c r="M155" s="9" t="n">
        <v>0</v>
      </c>
      <c r="N155" s="9"/>
      <c r="O155" s="9"/>
      <c r="P155" s="9"/>
      <c r="Q155" s="58" t="n">
        <f aca="false">TRIMMEAN(B155:P155,2/COUNT(B155:P155))</f>
        <v>0.543333333333333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0</v>
      </c>
      <c r="D157" s="9" t="n">
        <v>0.74</v>
      </c>
      <c r="E157" s="9" t="n">
        <v>0</v>
      </c>
      <c r="F157" s="9" t="n">
        <v>0</v>
      </c>
      <c r="G157" s="9"/>
      <c r="H157" s="9" t="n">
        <v>0</v>
      </c>
      <c r="I157" s="9"/>
      <c r="J157" s="9"/>
      <c r="K157" s="9" t="n">
        <v>0</v>
      </c>
      <c r="L157" s="9" t="n">
        <v>0</v>
      </c>
      <c r="M157" s="9" t="n">
        <v>0</v>
      </c>
      <c r="N157" s="9" t="n">
        <v>0</v>
      </c>
      <c r="O157" s="9" t="n">
        <v>0</v>
      </c>
      <c r="P157" s="9" t="n">
        <v>0</v>
      </c>
      <c r="Q157" s="58" t="n">
        <f aca="false">TRIMMEAN(B157:P157,2/COUNT(B157:P157))</f>
        <v>0</v>
      </c>
    </row>
    <row r="158" customFormat="false" ht="15.75" hidden="false" customHeight="true" outlineLevel="0" collapsed="false">
      <c r="A158" s="57" t="s">
        <v>301</v>
      </c>
      <c r="B158" s="9" t="n">
        <v>4.1</v>
      </c>
      <c r="C158" s="9"/>
      <c r="D158" s="9" t="n">
        <v>0</v>
      </c>
      <c r="E158" s="9" t="n">
        <v>0.34</v>
      </c>
      <c r="F158" s="9" t="n">
        <v>0</v>
      </c>
      <c r="G158" s="9" t="n">
        <v>0</v>
      </c>
      <c r="H158" s="9"/>
      <c r="I158" s="9"/>
      <c r="J158" s="9" t="n">
        <v>0</v>
      </c>
      <c r="K158" s="9"/>
      <c r="L158" s="9" t="n">
        <v>0.39</v>
      </c>
      <c r="M158" s="9"/>
      <c r="N158" s="9"/>
      <c r="O158" s="9"/>
      <c r="P158" s="9"/>
      <c r="Q158" s="58" t="n">
        <f aca="false">TRIMMEAN(B158:P158,2/COUNT(B158:P158))</f>
        <v>0.146</v>
      </c>
    </row>
    <row r="159" customFormat="false" ht="15.75" hidden="false" customHeight="true" outlineLevel="0" collapsed="false">
      <c r="A159" s="57" t="s">
        <v>302</v>
      </c>
      <c r="B159" s="9" t="n">
        <v>0.12</v>
      </c>
      <c r="C159" s="9" t="n">
        <v>0.54</v>
      </c>
      <c r="D159" s="9"/>
      <c r="E159" s="9" t="n">
        <v>0.18</v>
      </c>
      <c r="F159" s="9" t="n">
        <v>0.07</v>
      </c>
      <c r="G159" s="9" t="n">
        <v>2.1</v>
      </c>
      <c r="H159" s="9"/>
      <c r="I159" s="9"/>
      <c r="J159" s="9" t="n">
        <v>0.91</v>
      </c>
      <c r="K159" s="9" t="n">
        <v>0.54</v>
      </c>
      <c r="L159" s="9" t="n">
        <v>0.47</v>
      </c>
      <c r="M159" s="9"/>
      <c r="N159" s="9"/>
      <c r="O159" s="9"/>
      <c r="P159" s="9"/>
      <c r="Q159" s="58" t="n">
        <f aca="false">TRIMMEAN(B159:P159,2/COUNT(B159:P159))</f>
        <v>0.46</v>
      </c>
    </row>
    <row r="160" customFormat="false" ht="15.75" hidden="false" customHeight="true" outlineLevel="0" collapsed="false">
      <c r="A160" s="59" t="s">
        <v>303</v>
      </c>
      <c r="B160" s="9" t="n">
        <v>0</v>
      </c>
      <c r="C160" s="9" t="n">
        <v>0.47</v>
      </c>
      <c r="D160" s="9" t="n">
        <v>0</v>
      </c>
      <c r="E160" s="9"/>
      <c r="F160" s="9" t="n">
        <v>0</v>
      </c>
      <c r="G160" s="9"/>
      <c r="H160" s="9" t="n">
        <v>0</v>
      </c>
      <c r="I160" s="9"/>
      <c r="J160" s="9"/>
      <c r="K160" s="9" t="n">
        <v>0.53</v>
      </c>
      <c r="L160" s="9" t="n">
        <v>0.05</v>
      </c>
      <c r="M160" s="9"/>
      <c r="N160" s="9" t="n">
        <v>0</v>
      </c>
      <c r="O160" s="9" t="n">
        <v>0.47</v>
      </c>
      <c r="P160" s="9" t="n">
        <v>0</v>
      </c>
      <c r="Q160" s="58" t="n">
        <f aca="false">TRIMMEAN(B160:P160,2/COUNT(B160:P160))</f>
        <v>0.12375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 t="n">
        <v>0.24</v>
      </c>
      <c r="F161" s="9"/>
      <c r="G161" s="9"/>
      <c r="H161" s="9"/>
      <c r="I161" s="9"/>
      <c r="J161" s="9"/>
      <c r="K161" s="9" t="n">
        <v>0</v>
      </c>
      <c r="L161" s="9" t="n">
        <v>0.05</v>
      </c>
      <c r="M161" s="9" t="n">
        <v>0.4</v>
      </c>
      <c r="N161" s="9" t="n">
        <v>0</v>
      </c>
      <c r="O161" s="9"/>
      <c r="P161" s="9" t="n">
        <v>0</v>
      </c>
      <c r="Q161" s="58" t="n">
        <f aca="false">TRIMMEAN(B161:P161,2/COUNT(B161:P161))</f>
        <v>0.0725</v>
      </c>
    </row>
    <row r="162" customFormat="false" ht="15.75" hidden="false" customHeight="true" outlineLevel="0" collapsed="false">
      <c r="A162" s="59" t="s">
        <v>305</v>
      </c>
      <c r="B162" s="9"/>
      <c r="C162" s="9" t="n">
        <v>0.1</v>
      </c>
      <c r="D162" s="9"/>
      <c r="E162" s="9" t="n">
        <v>0.12</v>
      </c>
      <c r="F162" s="9"/>
      <c r="G162" s="9"/>
      <c r="H162" s="9" t="n">
        <v>0</v>
      </c>
      <c r="I162" s="9"/>
      <c r="J162" s="9"/>
      <c r="K162" s="9" t="n">
        <v>0</v>
      </c>
      <c r="L162" s="9" t="n">
        <v>0</v>
      </c>
      <c r="M162" s="9" t="n">
        <v>0.14</v>
      </c>
      <c r="N162" s="9" t="n">
        <v>0</v>
      </c>
      <c r="O162" s="9" t="n">
        <v>0.39</v>
      </c>
      <c r="P162" s="9" t="n">
        <v>0</v>
      </c>
      <c r="Q162" s="58" t="n">
        <f aca="false">TRIMMEAN(B162:P162,2/COUNT(B162:P162))</f>
        <v>0.0514285714285714</v>
      </c>
    </row>
    <row r="163" customFormat="false" ht="15.75" hidden="false" customHeight="true" outlineLevel="0" collapsed="false">
      <c r="A163" s="57" t="s">
        <v>306</v>
      </c>
      <c r="B163" s="9" t="n">
        <v>0.48</v>
      </c>
      <c r="C163" s="9"/>
      <c r="D163" s="9" t="n">
        <v>0.38</v>
      </c>
      <c r="E163" s="9"/>
      <c r="F163" s="9"/>
      <c r="G163" s="9" t="n">
        <v>0.63</v>
      </c>
      <c r="H163" s="9" t="n">
        <v>0.42</v>
      </c>
      <c r="I163" s="9" t="n">
        <v>0</v>
      </c>
      <c r="J163" s="9" t="n">
        <v>0.66</v>
      </c>
      <c r="K163" s="9"/>
      <c r="L163" s="9" t="n">
        <v>0</v>
      </c>
      <c r="M163" s="9" t="n">
        <v>0.89</v>
      </c>
      <c r="N163" s="9"/>
      <c r="O163" s="9"/>
      <c r="P163" s="9"/>
      <c r="Q163" s="58" t="n">
        <f aca="false">TRIMMEAN(B163:P163,2/COUNT(B163:P163))</f>
        <v>0.428333333333333</v>
      </c>
    </row>
    <row r="164" customFormat="false" ht="15.75" hidden="false" customHeight="true" outlineLevel="0" collapsed="false">
      <c r="A164" s="57" t="s">
        <v>307</v>
      </c>
      <c r="B164" s="9"/>
      <c r="C164" s="9" t="n">
        <v>0</v>
      </c>
      <c r="D164" s="9"/>
      <c r="E164" s="9" t="n">
        <v>0</v>
      </c>
      <c r="F164" s="9" t="n">
        <v>0.67</v>
      </c>
      <c r="G164" s="9" t="n">
        <v>0</v>
      </c>
      <c r="H164" s="9"/>
      <c r="I164" s="9"/>
      <c r="J164" s="9" t="n">
        <v>0</v>
      </c>
      <c r="K164" s="9" t="n">
        <v>0</v>
      </c>
      <c r="L164" s="9" t="n">
        <v>1.13</v>
      </c>
      <c r="M164" s="9"/>
      <c r="N164" s="9"/>
      <c r="O164" s="9"/>
      <c r="P164" s="9"/>
      <c r="Q164" s="58" t="n">
        <f aca="false">TRIMMEAN(B164:P164,2/COUNT(B164:P164))</f>
        <v>0.134</v>
      </c>
    </row>
    <row r="165" customFormat="false" ht="15.75" hidden="false" customHeight="true" outlineLevel="0" collapsed="false">
      <c r="A165" s="57" t="s">
        <v>308</v>
      </c>
      <c r="B165" s="9"/>
      <c r="C165" s="9" t="n">
        <v>0</v>
      </c>
      <c r="D165" s="9" t="n">
        <v>0</v>
      </c>
      <c r="E165" s="9"/>
      <c r="F165" s="9" t="n">
        <v>0.21</v>
      </c>
      <c r="G165" s="9" t="n">
        <v>0</v>
      </c>
      <c r="H165" s="9" t="n">
        <v>0.9</v>
      </c>
      <c r="I165" s="9" t="n">
        <v>0.71</v>
      </c>
      <c r="J165" s="9" t="n">
        <v>1.78</v>
      </c>
      <c r="K165" s="9"/>
      <c r="L165" s="9" t="n">
        <v>4.64</v>
      </c>
      <c r="M165" s="9" t="n">
        <v>0.89</v>
      </c>
      <c r="N165" s="9"/>
      <c r="O165" s="9"/>
      <c r="P165" s="9"/>
      <c r="Q165" s="58" t="n">
        <f aca="false">TRIMMEAN(B165:P165,2/COUNT(B165:P165))</f>
        <v>0.641428571428572</v>
      </c>
    </row>
    <row r="166" customFormat="false" ht="15.75" hidden="false" customHeight="true" outlineLevel="0" collapsed="false">
      <c r="A166" s="59" t="s">
        <v>309</v>
      </c>
      <c r="B166" s="9"/>
      <c r="C166" s="9" t="n">
        <v>0</v>
      </c>
      <c r="D166" s="9"/>
      <c r="E166" s="9" t="n">
        <v>0.47</v>
      </c>
      <c r="F166" s="9"/>
      <c r="G166" s="9"/>
      <c r="H166" s="9" t="n">
        <v>0</v>
      </c>
      <c r="I166" s="9"/>
      <c r="J166" s="9"/>
      <c r="K166" s="9" t="n">
        <v>0</v>
      </c>
      <c r="L166" s="9" t="n">
        <v>0</v>
      </c>
      <c r="M166" s="9" t="n">
        <v>0.17</v>
      </c>
      <c r="N166" s="9" t="n">
        <v>0</v>
      </c>
      <c r="O166" s="9" t="n">
        <v>0</v>
      </c>
      <c r="P166" s="9" t="n">
        <v>0</v>
      </c>
      <c r="Q166" s="58" t="n">
        <f aca="false">TRIMMEAN(B166:P166,2/COUNT(B166:P166))</f>
        <v>0.0242857142857143</v>
      </c>
    </row>
    <row r="167" customFormat="false" ht="15.75" hidden="false" customHeight="true" outlineLevel="0" collapsed="false">
      <c r="A167" s="57" t="s">
        <v>310</v>
      </c>
      <c r="B167" s="9" t="n">
        <v>0.45</v>
      </c>
      <c r="C167" s="9" t="n">
        <v>0</v>
      </c>
      <c r="D167" s="9"/>
      <c r="E167" s="9" t="n">
        <v>0</v>
      </c>
      <c r="F167" s="9" t="n">
        <v>0</v>
      </c>
      <c r="G167" s="9" t="n">
        <v>0.17</v>
      </c>
      <c r="H167" s="9"/>
      <c r="I167" s="9"/>
      <c r="J167" s="9" t="n">
        <v>0</v>
      </c>
      <c r="K167" s="9" t="n">
        <v>0</v>
      </c>
      <c r="L167" s="9" t="n">
        <v>0</v>
      </c>
      <c r="M167" s="9"/>
      <c r="N167" s="9"/>
      <c r="O167" s="9"/>
      <c r="P167" s="9"/>
      <c r="Q167" s="58" t="n">
        <f aca="false">TRIMMEAN(B167:P167,2/COUNT(B167:P167))</f>
        <v>0.0283333333333333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 t="n">
        <v>0</v>
      </c>
      <c r="F168" s="9"/>
      <c r="G168" s="9" t="n">
        <v>0</v>
      </c>
      <c r="H168" s="9"/>
      <c r="I168" s="9"/>
      <c r="J168" s="9" t="n">
        <v>0</v>
      </c>
      <c r="K168" s="9"/>
      <c r="L168" s="9" t="n">
        <v>0</v>
      </c>
      <c r="M168" s="9"/>
      <c r="N168" s="9"/>
      <c r="O168" s="9"/>
      <c r="P168" s="9"/>
      <c r="Q168" s="58" t="n">
        <f aca="false">TRIMMEAN(B168:P168,2/COUNT(B168:P168))</f>
        <v>0</v>
      </c>
    </row>
    <row r="169" customFormat="false" ht="15.75" hidden="false" customHeight="true" outlineLevel="0" collapsed="false">
      <c r="A169" s="59" t="s">
        <v>312</v>
      </c>
      <c r="B169" s="9"/>
      <c r="C169" s="9" t="n">
        <v>0</v>
      </c>
      <c r="D169" s="9"/>
      <c r="E169" s="9" t="n">
        <v>0</v>
      </c>
      <c r="F169" s="9" t="n">
        <v>0</v>
      </c>
      <c r="G169" s="9"/>
      <c r="H169" s="9" t="n">
        <v>0</v>
      </c>
      <c r="I169" s="9"/>
      <c r="J169" s="9"/>
      <c r="K169" s="9" t="n">
        <v>0</v>
      </c>
      <c r="L169" s="9" t="n">
        <v>0.3</v>
      </c>
      <c r="M169" s="9" t="n">
        <v>0</v>
      </c>
      <c r="N169" s="9" t="n">
        <v>0</v>
      </c>
      <c r="O169" s="9"/>
      <c r="P169" s="9"/>
      <c r="Q169" s="58" t="n">
        <f aca="false">TRIMMEAN(B169:P169,2/COUNT(B169:P169))</f>
        <v>0</v>
      </c>
    </row>
    <row r="170" customFormat="false" ht="15.75" hidden="false" customHeight="true" outlineLevel="0" collapsed="false">
      <c r="A170" s="59" t="s">
        <v>313</v>
      </c>
      <c r="B170" s="9" t="n">
        <v>0</v>
      </c>
      <c r="C170" s="9" t="n">
        <v>0</v>
      </c>
      <c r="D170" s="9" t="n">
        <v>1.01</v>
      </c>
      <c r="E170" s="9"/>
      <c r="F170" s="9" t="n">
        <v>1.06</v>
      </c>
      <c r="G170" s="9" t="n">
        <v>0.18</v>
      </c>
      <c r="H170" s="9"/>
      <c r="I170" s="9" t="n">
        <v>0</v>
      </c>
      <c r="J170" s="9" t="n">
        <v>0.98</v>
      </c>
      <c r="K170" s="9"/>
      <c r="L170" s="9"/>
      <c r="M170" s="9" t="n">
        <v>2.08</v>
      </c>
      <c r="N170" s="9" t="n">
        <v>2.61</v>
      </c>
      <c r="O170" s="9" t="n">
        <v>2.65</v>
      </c>
      <c r="P170" s="9" t="n">
        <v>1.71</v>
      </c>
      <c r="Q170" s="58" t="n">
        <f aca="false">TRIMMEAN(B170:P170,2/COUNT(B170:P170))</f>
        <v>1.07</v>
      </c>
    </row>
    <row r="171" customFormat="false" ht="15.75" hidden="false" customHeight="true" outlineLevel="0" collapsed="false">
      <c r="A171" s="59" t="s">
        <v>314</v>
      </c>
      <c r="B171" s="9" t="n">
        <v>0.3</v>
      </c>
      <c r="C171" s="9" t="n">
        <v>0.08</v>
      </c>
      <c r="D171" s="9" t="n">
        <v>0.38</v>
      </c>
      <c r="E171" s="9"/>
      <c r="F171" s="9"/>
      <c r="G171" s="9" t="n">
        <v>0.33</v>
      </c>
      <c r="H171" s="9" t="n">
        <v>0</v>
      </c>
      <c r="I171" s="9"/>
      <c r="J171" s="9" t="n">
        <v>0.98</v>
      </c>
      <c r="K171" s="9" t="n">
        <v>0</v>
      </c>
      <c r="L171" s="9" t="n">
        <v>0.16</v>
      </c>
      <c r="M171" s="9"/>
      <c r="N171" s="9" t="n">
        <v>2.61</v>
      </c>
      <c r="O171" s="9" t="n">
        <v>0</v>
      </c>
      <c r="P171" s="9" t="n">
        <v>0.47</v>
      </c>
      <c r="Q171" s="58" t="n">
        <f aca="false">TRIMMEAN(B171:P171,2/COUNT(B171:P171))</f>
        <v>0.3</v>
      </c>
    </row>
    <row r="172" customFormat="false" ht="15.75" hidden="false" customHeight="true" outlineLevel="0" collapsed="false">
      <c r="A172" s="57" t="s">
        <v>315</v>
      </c>
      <c r="B172" s="9" t="n">
        <v>1.51</v>
      </c>
      <c r="C172" s="9" t="n">
        <v>1.54</v>
      </c>
      <c r="D172" s="9" t="n">
        <v>0</v>
      </c>
      <c r="E172" s="9"/>
      <c r="F172" s="9" t="n">
        <v>0</v>
      </c>
      <c r="G172" s="9" t="n">
        <v>0</v>
      </c>
      <c r="H172" s="9"/>
      <c r="I172" s="9" t="n">
        <v>0</v>
      </c>
      <c r="J172" s="9" t="n">
        <v>0.35</v>
      </c>
      <c r="K172" s="9"/>
      <c r="L172" s="9" t="n">
        <v>0</v>
      </c>
      <c r="M172" s="9" t="n">
        <v>0</v>
      </c>
      <c r="N172" s="9"/>
      <c r="O172" s="9" t="n">
        <v>0.03</v>
      </c>
      <c r="P172" s="9" t="n">
        <v>0.47</v>
      </c>
      <c r="Q172" s="58" t="n">
        <f aca="false">TRIMMEAN(B172:P172,2/COUNT(B172:P172))</f>
        <v>0.262222222222222</v>
      </c>
    </row>
    <row r="173" customFormat="false" ht="15.75" hidden="false" customHeight="true" outlineLevel="0" collapsed="false">
      <c r="A173" s="57" t="s">
        <v>316</v>
      </c>
      <c r="B173" s="9"/>
      <c r="C173" s="9" t="n">
        <v>0</v>
      </c>
      <c r="D173" s="9" t="n">
        <v>0</v>
      </c>
      <c r="E173" s="9" t="n">
        <v>0</v>
      </c>
      <c r="F173" s="9" t="n">
        <v>0.35</v>
      </c>
      <c r="G173" s="9"/>
      <c r="H173" s="9" t="n">
        <v>0</v>
      </c>
      <c r="I173" s="9" t="n">
        <v>0.84</v>
      </c>
      <c r="J173" s="9"/>
      <c r="K173" s="9" t="n">
        <v>0</v>
      </c>
      <c r="L173" s="9" t="n">
        <v>0</v>
      </c>
      <c r="M173" s="9" t="n">
        <v>0.53</v>
      </c>
      <c r="N173" s="9" t="n">
        <v>0</v>
      </c>
      <c r="O173" s="9" t="n">
        <v>0</v>
      </c>
      <c r="P173" s="9" t="n">
        <v>0</v>
      </c>
      <c r="Q173" s="58" t="n">
        <f aca="false">TRIMMEAN(B173:P173,2/COUNT(B173:P173))</f>
        <v>0.088</v>
      </c>
    </row>
    <row r="174" customFormat="false" ht="15.75" hidden="false" customHeight="true" outlineLevel="0" collapsed="false">
      <c r="A174" s="57" t="s">
        <v>317</v>
      </c>
      <c r="B174" s="9" t="n">
        <v>0</v>
      </c>
      <c r="C174" s="9" t="n">
        <v>0.15</v>
      </c>
      <c r="D174" s="9" t="n">
        <v>0</v>
      </c>
      <c r="E174" s="9"/>
      <c r="F174" s="9" t="n">
        <v>0.1</v>
      </c>
      <c r="G174" s="9" t="n">
        <v>0.15</v>
      </c>
      <c r="H174" s="9"/>
      <c r="I174" s="9"/>
      <c r="J174" s="9" t="n">
        <v>0.24</v>
      </c>
      <c r="K174" s="9"/>
      <c r="L174" s="9" t="n">
        <v>0.6</v>
      </c>
      <c r="M174" s="9" t="n">
        <v>0</v>
      </c>
      <c r="N174" s="9"/>
      <c r="O174" s="9"/>
      <c r="P174" s="9"/>
      <c r="Q174" s="58" t="n">
        <f aca="false">TRIMMEAN(B174:P174,2/COUNT(B174:P174))</f>
        <v>0.106666666666667</v>
      </c>
    </row>
    <row r="175" customFormat="false" ht="15.75" hidden="false" customHeight="true" outlineLevel="0" collapsed="false">
      <c r="A175" s="57" t="s">
        <v>318</v>
      </c>
      <c r="B175" s="9"/>
      <c r="C175" s="9" t="n">
        <v>-0.15</v>
      </c>
      <c r="D175" s="9" t="n">
        <v>4.01</v>
      </c>
      <c r="E175" s="9"/>
      <c r="F175" s="9"/>
      <c r="G175" s="9" t="n">
        <v>1.3</v>
      </c>
      <c r="H175" s="9"/>
      <c r="I175" s="9" t="n">
        <v>0.84</v>
      </c>
      <c r="J175" s="9"/>
      <c r="K175" s="9"/>
      <c r="L175" s="9" t="n">
        <v>2.77</v>
      </c>
      <c r="M175" s="9" t="n">
        <v>0.67</v>
      </c>
      <c r="N175" s="9"/>
      <c r="O175" s="9"/>
      <c r="P175" s="9"/>
      <c r="Q175" s="58" t="n">
        <f aca="false">TRIMMEAN(B175:P175,2/COUNT(B175:P175))</f>
        <v>1.395</v>
      </c>
    </row>
    <row r="176" customFormat="false" ht="15.75" hidden="false" customHeight="true" outlineLevel="0" collapsed="false">
      <c r="A176" s="59" t="s">
        <v>319</v>
      </c>
      <c r="B176" s="9" t="n">
        <v>0.3</v>
      </c>
      <c r="C176" s="9" t="n">
        <v>0.2</v>
      </c>
      <c r="D176" s="9" t="n">
        <v>1.48</v>
      </c>
      <c r="E176" s="9"/>
      <c r="F176" s="9"/>
      <c r="G176" s="9" t="n">
        <v>1.8</v>
      </c>
      <c r="H176" s="9"/>
      <c r="I176" s="9" t="n">
        <v>0.84</v>
      </c>
      <c r="J176" s="9" t="n">
        <v>0</v>
      </c>
      <c r="K176" s="9"/>
      <c r="L176" s="9"/>
      <c r="M176" s="9" t="n">
        <v>0</v>
      </c>
      <c r="N176" s="9" t="n">
        <v>0.33</v>
      </c>
      <c r="O176" s="9"/>
      <c r="P176" s="9" t="n">
        <v>0.59</v>
      </c>
      <c r="Q176" s="58" t="n">
        <f aca="false">TRIMMEAN(B176:P176,2/COUNT(B176:P176))</f>
        <v>0.534285714285714</v>
      </c>
    </row>
    <row r="177" customFormat="false" ht="15.75" hidden="false" customHeight="true" outlineLevel="0" collapsed="false">
      <c r="A177" s="57" t="s">
        <v>320</v>
      </c>
      <c r="B177" s="9"/>
      <c r="C177" s="9" t="n">
        <v>0.85</v>
      </c>
      <c r="D177" s="9"/>
      <c r="E177" s="9" t="n">
        <v>0.32</v>
      </c>
      <c r="F177" s="9" t="n">
        <v>3.27</v>
      </c>
      <c r="G177" s="9" t="n">
        <v>0.15</v>
      </c>
      <c r="H177" s="9" t="n">
        <v>0</v>
      </c>
      <c r="I177" s="9"/>
      <c r="J177" s="9" t="n">
        <v>0.16</v>
      </c>
      <c r="K177" s="9" t="n">
        <v>1.61</v>
      </c>
      <c r="L177" s="9" t="n">
        <v>0.6</v>
      </c>
      <c r="M177" s="9"/>
      <c r="N177" s="9" t="n">
        <v>0</v>
      </c>
      <c r="O177" s="9" t="n">
        <v>0.59</v>
      </c>
      <c r="P177" s="9" t="n">
        <v>0</v>
      </c>
      <c r="Q177" s="58" t="n">
        <f aca="false">TRIMMEAN(B177:P177,2/COUNT(B177:P177))</f>
        <v>0.475555555555556</v>
      </c>
    </row>
    <row r="178" customFormat="false" ht="15.75" hidden="false" customHeight="true" outlineLevel="0" collapsed="false">
      <c r="A178" s="57" t="s">
        <v>321</v>
      </c>
      <c r="B178" s="9"/>
      <c r="C178" s="9" t="n">
        <v>0.15</v>
      </c>
      <c r="D178" s="9"/>
      <c r="E178" s="9" t="n">
        <v>0</v>
      </c>
      <c r="F178" s="9" t="n">
        <v>0.06</v>
      </c>
      <c r="G178" s="9" t="n">
        <v>0</v>
      </c>
      <c r="H178" s="9"/>
      <c r="I178" s="9"/>
      <c r="J178" s="9"/>
      <c r="K178" s="9" t="n">
        <v>0</v>
      </c>
      <c r="L178" s="9" t="n">
        <v>0</v>
      </c>
      <c r="M178" s="9"/>
      <c r="N178" s="9"/>
      <c r="O178" s="9"/>
      <c r="P178" s="9"/>
      <c r="Q178" s="58" t="n">
        <f aca="false">TRIMMEAN(B178:P178,2/COUNT(B178:P178))</f>
        <v>0.015</v>
      </c>
    </row>
    <row r="179" customFormat="false" ht="15.75" hidden="false" customHeight="true" outlineLevel="0" collapsed="false">
      <c r="A179" s="57" t="s">
        <v>322</v>
      </c>
      <c r="B179" s="9" t="n">
        <v>2.07</v>
      </c>
      <c r="C179" s="9" t="n">
        <v>0</v>
      </c>
      <c r="D179" s="9"/>
      <c r="E179" s="9"/>
      <c r="F179" s="9" t="n">
        <v>0</v>
      </c>
      <c r="G179" s="9" t="n">
        <v>0.2</v>
      </c>
      <c r="H179" s="9"/>
      <c r="I179" s="9"/>
      <c r="J179" s="9" t="n">
        <v>0.19</v>
      </c>
      <c r="K179" s="9" t="n">
        <v>0</v>
      </c>
      <c r="L179" s="9" t="n">
        <v>0</v>
      </c>
      <c r="M179" s="9"/>
      <c r="N179" s="9"/>
      <c r="O179" s="9"/>
      <c r="P179" s="9"/>
      <c r="Q179" s="58" t="n">
        <f aca="false">TRIMMEAN(B179:P179,2/COUNT(B179:P179))</f>
        <v>0.078</v>
      </c>
    </row>
    <row r="180" customFormat="false" ht="15.75" hidden="false" customHeight="true" outlineLevel="0" collapsed="false">
      <c r="A180" s="59" t="s">
        <v>323</v>
      </c>
      <c r="B180" s="9" t="n">
        <v>0</v>
      </c>
      <c r="C180" s="9"/>
      <c r="D180" s="9" t="n">
        <v>0</v>
      </c>
      <c r="E180" s="9" t="n">
        <v>2.02</v>
      </c>
      <c r="F180" s="9" t="n">
        <v>0</v>
      </c>
      <c r="G180" s="9"/>
      <c r="H180" s="9" t="n">
        <v>0.42</v>
      </c>
      <c r="I180" s="9" t="n">
        <v>6.41</v>
      </c>
      <c r="J180" s="9" t="n">
        <v>0.66</v>
      </c>
      <c r="K180" s="9" t="n">
        <v>0</v>
      </c>
      <c r="L180" s="9"/>
      <c r="M180" s="9" t="n">
        <v>0</v>
      </c>
      <c r="N180" s="9" t="n">
        <v>0.24</v>
      </c>
      <c r="O180" s="9"/>
      <c r="P180" s="9" t="n">
        <v>0.34</v>
      </c>
      <c r="Q180" s="58" t="n">
        <f aca="false">TRIMMEAN(B180:P180,2/COUNT(B180:P180))</f>
        <v>0.408888888888889</v>
      </c>
    </row>
    <row r="181" customFormat="false" ht="15.75" hidden="false" customHeight="true" outlineLevel="0" collapsed="false">
      <c r="A181" s="57" t="s">
        <v>324</v>
      </c>
      <c r="B181" s="9" t="n">
        <v>0</v>
      </c>
      <c r="C181" s="9" t="n">
        <v>0</v>
      </c>
      <c r="D181" s="9"/>
      <c r="E181" s="9"/>
      <c r="F181" s="9"/>
      <c r="G181" s="9" t="n">
        <v>0.17</v>
      </c>
      <c r="H181" s="9"/>
      <c r="I181" s="9"/>
      <c r="J181" s="9" t="n">
        <v>0</v>
      </c>
      <c r="K181" s="9"/>
      <c r="L181" s="9" t="n">
        <v>1.13</v>
      </c>
      <c r="M181" s="9" t="n">
        <v>0.41</v>
      </c>
      <c r="N181" s="9"/>
      <c r="O181" s="9"/>
      <c r="P181" s="9"/>
      <c r="Q181" s="58" t="n">
        <f aca="false">TRIMMEAN(B181:P181,2/COUNT(B181:P181))</f>
        <v>0.145</v>
      </c>
    </row>
    <row r="182" customFormat="false" ht="15.75" hidden="false" customHeight="true" outlineLevel="0" collapsed="false">
      <c r="A182" s="59" t="s">
        <v>325</v>
      </c>
      <c r="B182" s="9"/>
      <c r="C182" s="9" t="n">
        <v>0</v>
      </c>
      <c r="D182" s="9"/>
      <c r="E182" s="9" t="n">
        <v>0</v>
      </c>
      <c r="F182" s="9"/>
      <c r="G182" s="9"/>
      <c r="H182" s="9"/>
      <c r="I182" s="9" t="n">
        <v>0</v>
      </c>
      <c r="J182" s="9"/>
      <c r="K182" s="9"/>
      <c r="L182" s="9"/>
      <c r="M182" s="9"/>
      <c r="N182" s="9"/>
      <c r="O182" s="9"/>
      <c r="P182" s="9"/>
      <c r="Q182" s="58" t="n">
        <f aca="false">TRIMMEAN(B182:P182,2/COUNT(B182:P182))</f>
        <v>0</v>
      </c>
    </row>
    <row r="183" customFormat="false" ht="15.75" hidden="false" customHeight="true" outlineLevel="0" collapsed="false">
      <c r="A183" s="57" t="s">
        <v>326</v>
      </c>
      <c r="B183" s="9"/>
      <c r="C183" s="9" t="n">
        <v>0.47</v>
      </c>
      <c r="D183" s="9"/>
      <c r="E183" s="9" t="n">
        <v>0.75</v>
      </c>
      <c r="F183" s="9" t="n">
        <v>0</v>
      </c>
      <c r="G183" s="9"/>
      <c r="H183" s="9" t="n">
        <v>0.32</v>
      </c>
      <c r="I183" s="9"/>
      <c r="J183" s="9"/>
      <c r="K183" s="9" t="n">
        <v>0</v>
      </c>
      <c r="L183" s="9" t="n">
        <v>0</v>
      </c>
      <c r="M183" s="9"/>
      <c r="N183" s="9" t="n">
        <v>0</v>
      </c>
      <c r="O183" s="9"/>
      <c r="P183" s="9"/>
      <c r="Q183" s="58" t="n">
        <f aca="false">TRIMMEAN(B183:P183,2/COUNT(B183:P183))</f>
        <v>0.158</v>
      </c>
    </row>
    <row r="184" customFormat="false" ht="15.75" hidden="false" customHeight="true" outlineLevel="0" collapsed="false">
      <c r="A184" s="59" t="s">
        <v>327</v>
      </c>
      <c r="B184" s="9" t="n">
        <v>0</v>
      </c>
      <c r="C184" s="9"/>
      <c r="D184" s="9" t="n">
        <v>0</v>
      </c>
      <c r="E184" s="9"/>
      <c r="F184" s="9"/>
      <c r="G184" s="9"/>
      <c r="H184" s="9" t="n">
        <v>0.42</v>
      </c>
      <c r="I184" s="9" t="n">
        <v>1.68</v>
      </c>
      <c r="J184" s="9" t="n">
        <v>6.17</v>
      </c>
      <c r="K184" s="9"/>
      <c r="L184" s="9"/>
      <c r="M184" s="9" t="n">
        <v>1.41</v>
      </c>
      <c r="N184" s="9"/>
      <c r="O184" s="9"/>
      <c r="P184" s="9"/>
      <c r="Q184" s="58" t="n">
        <f aca="false">TRIMMEAN(B184:P184,2/COUNT(B184:P184))</f>
        <v>0.8775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 t="n">
        <v>0</v>
      </c>
      <c r="E185" s="9" t="n">
        <v>0</v>
      </c>
      <c r="F185" s="9" t="n">
        <v>0</v>
      </c>
      <c r="G185" s="9"/>
      <c r="H185" s="9" t="n">
        <v>0.62</v>
      </c>
      <c r="I185" s="9" t="n">
        <v>0</v>
      </c>
      <c r="J185" s="9"/>
      <c r="K185" s="9" t="n">
        <v>0.42</v>
      </c>
      <c r="L185" s="9" t="n">
        <v>0.62</v>
      </c>
      <c r="M185" s="9"/>
      <c r="N185" s="9" t="n">
        <v>0</v>
      </c>
      <c r="O185" s="9" t="n">
        <v>0</v>
      </c>
      <c r="P185" s="9" t="n">
        <v>0</v>
      </c>
      <c r="Q185" s="58" t="n">
        <f aca="false">TRIMMEAN(B185:P185,2/COUNT(B185:P185))</f>
        <v>0.13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</v>
      </c>
      <c r="C187" s="9" t="n">
        <v>0</v>
      </c>
      <c r="D187" s="9"/>
      <c r="E187" s="9" t="n">
        <v>0</v>
      </c>
      <c r="F187" s="9" t="n">
        <v>0</v>
      </c>
      <c r="G187" s="9" t="n">
        <v>0</v>
      </c>
      <c r="H187" s="9"/>
      <c r="I187" s="9"/>
      <c r="J187" s="9" t="n">
        <v>0</v>
      </c>
      <c r="K187" s="9" t="n">
        <v>0</v>
      </c>
      <c r="L187" s="9" t="n">
        <v>0</v>
      </c>
      <c r="M187" s="9"/>
      <c r="N187" s="9"/>
      <c r="O187" s="9"/>
      <c r="P187" s="9"/>
      <c r="Q187" s="58" t="n">
        <f aca="false">TRIMMEAN(B187:P187,2/COUNT(B187:P187))</f>
        <v>0</v>
      </c>
    </row>
    <row r="188" customFormat="false" ht="15.75" hidden="false" customHeight="true" outlineLevel="0" collapsed="false">
      <c r="A188" s="57" t="s">
        <v>331</v>
      </c>
      <c r="B188" s="9"/>
      <c r="C188" s="9" t="n">
        <v>0.57</v>
      </c>
      <c r="D188" s="9"/>
      <c r="E188" s="9" t="n">
        <v>0</v>
      </c>
      <c r="F188" s="9" t="n">
        <v>0.48</v>
      </c>
      <c r="G188" s="9"/>
      <c r="H188" s="9" t="n">
        <v>0.62</v>
      </c>
      <c r="I188" s="9"/>
      <c r="J188" s="9"/>
      <c r="K188" s="9" t="n">
        <v>0.23</v>
      </c>
      <c r="L188" s="9" t="n">
        <v>4.64</v>
      </c>
      <c r="M188" s="9" t="n">
        <v>0</v>
      </c>
      <c r="N188" s="9" t="n">
        <v>0</v>
      </c>
      <c r="O188" s="9" t="n">
        <v>0.75</v>
      </c>
      <c r="P188" s="9"/>
      <c r="Q188" s="58" t="n">
        <f aca="false">TRIMMEAN(B188:P188,2/COUNT(B188:P188))</f>
        <v>0.378571428571429</v>
      </c>
    </row>
    <row r="189" customFormat="false" ht="15.75" hidden="false" customHeight="true" outlineLevel="0" collapsed="false">
      <c r="A189" s="57" t="s">
        <v>332</v>
      </c>
      <c r="B189" s="9"/>
      <c r="C189" s="9" t="n">
        <v>0</v>
      </c>
      <c r="D189" s="9" t="n">
        <v>0</v>
      </c>
      <c r="E189" s="9" t="n">
        <v>0.47</v>
      </c>
      <c r="F189" s="9" t="n">
        <v>0.21</v>
      </c>
      <c r="G189" s="9"/>
      <c r="H189" s="9" t="n">
        <v>0.35</v>
      </c>
      <c r="I189" s="9"/>
      <c r="J189" s="9"/>
      <c r="K189" s="9" t="n">
        <v>0</v>
      </c>
      <c r="L189" s="9" t="n">
        <v>0.47</v>
      </c>
      <c r="M189" s="9" t="n">
        <v>2.96</v>
      </c>
      <c r="N189" s="9" t="n">
        <v>0.59</v>
      </c>
      <c r="O189" s="9" t="n">
        <v>0</v>
      </c>
      <c r="P189" s="9" t="n">
        <v>0</v>
      </c>
      <c r="Q189" s="58" t="n">
        <f aca="false">TRIMMEAN(B189:P189,2/COUNT(B189:P189))</f>
        <v>0.232222222222222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 t="n">
        <v>0.57</v>
      </c>
      <c r="D191" s="9" t="n">
        <v>1.48</v>
      </c>
      <c r="E191" s="9"/>
      <c r="F191" s="9" t="n">
        <v>4.6</v>
      </c>
      <c r="G191" s="9" t="n">
        <v>0.12</v>
      </c>
      <c r="H191" s="9"/>
      <c r="I191" s="9" t="n">
        <v>3.81</v>
      </c>
      <c r="J191" s="9"/>
      <c r="K191" s="9"/>
      <c r="L191" s="9"/>
      <c r="M191" s="9" t="n">
        <v>0</v>
      </c>
      <c r="N191" s="9"/>
      <c r="O191" s="9"/>
      <c r="P191" s="9"/>
      <c r="Q191" s="58" t="n">
        <f aca="false">TRIMMEAN(B191:P191,2/COUNT(B191:P191))</f>
        <v>1.495</v>
      </c>
    </row>
    <row r="192" customFormat="false" ht="15.75" hidden="false" customHeight="true" outlineLevel="0" collapsed="false">
      <c r="A192" s="57" t="s">
        <v>335</v>
      </c>
      <c r="B192" s="9" t="n">
        <v>2.22</v>
      </c>
      <c r="C192" s="9" t="n">
        <v>0.31</v>
      </c>
      <c r="D192" s="9" t="n">
        <v>1.01</v>
      </c>
      <c r="E192" s="9"/>
      <c r="F192" s="9"/>
      <c r="G192" s="9" t="n">
        <v>2.12</v>
      </c>
      <c r="H192" s="9" t="n">
        <v>0</v>
      </c>
      <c r="I192" s="9" t="n">
        <v>0</v>
      </c>
      <c r="J192" s="9" t="n">
        <v>0</v>
      </c>
      <c r="K192" s="9"/>
      <c r="L192" s="9" t="n">
        <v>0</v>
      </c>
      <c r="M192" s="9" t="n">
        <v>1.41</v>
      </c>
      <c r="N192" s="9"/>
      <c r="O192" s="9"/>
      <c r="P192" s="9" t="n">
        <v>1.71</v>
      </c>
      <c r="Q192" s="58" t="n">
        <f aca="false">TRIMMEAN(B192:P192,2/COUNT(B192:P192))</f>
        <v>0.82</v>
      </c>
    </row>
    <row r="193" customFormat="false" ht="15.75" hidden="false" customHeight="true" outlineLevel="0" collapsed="false">
      <c r="A193" s="57" t="s">
        <v>336</v>
      </c>
      <c r="B193" s="9" t="n">
        <v>0.12</v>
      </c>
      <c r="C193" s="9" t="n">
        <v>0</v>
      </c>
      <c r="D193" s="9"/>
      <c r="E193" s="9" t="n">
        <v>0</v>
      </c>
      <c r="F193" s="9"/>
      <c r="G193" s="9" t="n">
        <v>0.25</v>
      </c>
      <c r="H193" s="9"/>
      <c r="I193" s="9" t="n">
        <v>0.48</v>
      </c>
      <c r="J193" s="9" t="n">
        <v>0.15</v>
      </c>
      <c r="K193" s="9" t="n">
        <v>0.22</v>
      </c>
      <c r="L193" s="9" t="n">
        <v>0</v>
      </c>
      <c r="M193" s="9" t="n">
        <v>0</v>
      </c>
      <c r="N193" s="9"/>
      <c r="O193" s="9"/>
      <c r="P193" s="9"/>
      <c r="Q193" s="58" t="n">
        <f aca="false">TRIMMEAN(B193:P193,2/COUNT(B193:P193))</f>
        <v>0.105714285714286</v>
      </c>
    </row>
    <row r="194" customFormat="false" ht="15.75" hidden="false" customHeight="true" outlineLevel="0" collapsed="false">
      <c r="A194" s="59" t="s">
        <v>337</v>
      </c>
      <c r="B194" s="9"/>
      <c r="C194" s="9" t="n">
        <v>0</v>
      </c>
      <c r="D194" s="9"/>
      <c r="E194" s="9" t="n">
        <v>0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 t="n">
        <v>2.06</v>
      </c>
      <c r="D195" s="9"/>
      <c r="E195" s="9"/>
      <c r="F195" s="9"/>
      <c r="G195" s="9"/>
      <c r="H195" s="9"/>
      <c r="I195" s="9"/>
      <c r="J195" s="9"/>
      <c r="K195" s="9" t="n">
        <v>0.18</v>
      </c>
      <c r="L195" s="9" t="n">
        <v>0.47</v>
      </c>
      <c r="M195" s="9" t="n">
        <v>0</v>
      </c>
      <c r="N195" s="9"/>
      <c r="O195" s="9"/>
      <c r="P195" s="9"/>
      <c r="Q195" s="58" t="n">
        <f aca="false">TRIMMEAN(B195:P195,2/COUNT(B195:P195))</f>
        <v>0.325</v>
      </c>
    </row>
    <row r="196" customFormat="false" ht="15.75" hidden="false" customHeight="true" outlineLevel="0" collapsed="false">
      <c r="A196" s="57" t="s">
        <v>339</v>
      </c>
      <c r="B196" s="9" t="n">
        <v>0</v>
      </c>
      <c r="C196" s="9" t="n">
        <v>0.47</v>
      </c>
      <c r="D196" s="9" t="n">
        <v>1.01</v>
      </c>
      <c r="E196" s="9"/>
      <c r="F196" s="9" t="n">
        <v>0</v>
      </c>
      <c r="G196" s="9" t="n">
        <v>0</v>
      </c>
      <c r="H196" s="9"/>
      <c r="I196" s="9" t="n">
        <v>0</v>
      </c>
      <c r="J196" s="9" t="n">
        <v>0.35</v>
      </c>
      <c r="K196" s="9" t="n">
        <v>0</v>
      </c>
      <c r="L196" s="9" t="n">
        <v>0</v>
      </c>
      <c r="M196" s="9" t="n">
        <v>0</v>
      </c>
      <c r="N196" s="9"/>
      <c r="O196" s="9" t="n">
        <v>0</v>
      </c>
      <c r="P196" s="9" t="n">
        <v>1.71</v>
      </c>
      <c r="Q196" s="58" t="n">
        <f aca="false">TRIMMEAN(B196:P196,2/COUNT(B196:P196))</f>
        <v>0.183</v>
      </c>
    </row>
    <row r="197" customFormat="false" ht="15.75" hidden="false" customHeight="true" outlineLevel="0" collapsed="false">
      <c r="A197" s="59" t="s">
        <v>340</v>
      </c>
      <c r="B197" s="9"/>
      <c r="C197" s="9" t="n">
        <v>0.22</v>
      </c>
      <c r="D197" s="9"/>
      <c r="E197" s="9" t="n">
        <v>0</v>
      </c>
      <c r="F197" s="9" t="n">
        <v>0</v>
      </c>
      <c r="G197" s="9"/>
      <c r="H197" s="9" t="n">
        <v>0</v>
      </c>
      <c r="I197" s="9"/>
      <c r="J197" s="9"/>
      <c r="K197" s="9" t="n">
        <v>0.42</v>
      </c>
      <c r="L197" s="9" t="n">
        <v>0</v>
      </c>
      <c r="M197" s="9" t="n">
        <v>0</v>
      </c>
      <c r="N197" s="9" t="n">
        <v>0.28</v>
      </c>
      <c r="O197" s="9" t="n">
        <v>0</v>
      </c>
      <c r="P197" s="9" t="n">
        <v>0</v>
      </c>
      <c r="Q197" s="58" t="n">
        <f aca="false">TRIMMEAN(B197:P197,2/COUNT(B197:P197))</f>
        <v>0.0625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 t="n">
        <v>0</v>
      </c>
      <c r="F198" s="9" t="n">
        <v>0</v>
      </c>
      <c r="G198" s="9"/>
      <c r="H198" s="9" t="n">
        <v>0</v>
      </c>
      <c r="I198" s="9"/>
      <c r="J198" s="9"/>
      <c r="K198" s="9" t="n">
        <v>0</v>
      </c>
      <c r="L198" s="9" t="n">
        <v>0</v>
      </c>
      <c r="M198" s="9"/>
      <c r="N198" s="9" t="n">
        <v>0</v>
      </c>
      <c r="O198" s="9" t="n">
        <v>0.39</v>
      </c>
      <c r="P198" s="9" t="n">
        <v>0</v>
      </c>
      <c r="Q198" s="58" t="n">
        <f aca="false">TRIMMEAN(B198:P198,2/COUNT(B198:P198))</f>
        <v>0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 t="n">
        <v>0</v>
      </c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 t="n">
        <v>0.06</v>
      </c>
      <c r="D200" s="9"/>
      <c r="E200" s="9"/>
      <c r="F200" s="9" t="n">
        <v>0</v>
      </c>
      <c r="G200" s="9" t="n">
        <v>0.15</v>
      </c>
      <c r="H200" s="9"/>
      <c r="I200" s="9" t="n">
        <v>0</v>
      </c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0.03</v>
      </c>
    </row>
    <row r="201" customFormat="false" ht="15.75" hidden="false" customHeight="true" outlineLevel="0" collapsed="false">
      <c r="A201" s="57" t="s">
        <v>344</v>
      </c>
      <c r="B201" s="9" t="n">
        <v>0</v>
      </c>
      <c r="C201" s="9" t="n">
        <v>0</v>
      </c>
      <c r="D201" s="9"/>
      <c r="E201" s="9" t="n">
        <v>0</v>
      </c>
      <c r="F201" s="9" t="n">
        <v>0</v>
      </c>
      <c r="G201" s="9" t="n">
        <v>0</v>
      </c>
      <c r="H201" s="9"/>
      <c r="I201" s="9"/>
      <c r="J201" s="9" t="n">
        <v>0</v>
      </c>
      <c r="K201" s="9" t="n">
        <v>0</v>
      </c>
      <c r="L201" s="9" t="n">
        <v>0</v>
      </c>
      <c r="M201" s="9"/>
      <c r="N201" s="9"/>
      <c r="O201" s="9"/>
      <c r="P201" s="9"/>
      <c r="Q201" s="58" t="n">
        <f aca="false">TRIMMEAN(B201:P201,2/COUNT(B201:P201))</f>
        <v>0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 t="n">
        <v>0</v>
      </c>
      <c r="G202" s="9"/>
      <c r="H202" s="9"/>
      <c r="I202" s="9"/>
      <c r="J202" s="9"/>
      <c r="K202" s="9"/>
      <c r="L202" s="9"/>
      <c r="M202" s="9" t="n">
        <v>0</v>
      </c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0.22</v>
      </c>
      <c r="D203" s="9" t="n">
        <v>0</v>
      </c>
      <c r="E203" s="9" t="n">
        <v>0.12</v>
      </c>
      <c r="F203" s="9" t="n">
        <v>0</v>
      </c>
      <c r="G203" s="9"/>
      <c r="H203" s="9" t="n">
        <v>0</v>
      </c>
      <c r="I203" s="9" t="n">
        <v>2.41</v>
      </c>
      <c r="J203" s="9"/>
      <c r="K203" s="9"/>
      <c r="L203" s="9" t="n">
        <v>0</v>
      </c>
      <c r="M203" s="9" t="n">
        <v>0.89</v>
      </c>
      <c r="N203" s="9" t="n">
        <v>0.46</v>
      </c>
      <c r="O203" s="9" t="n">
        <v>0</v>
      </c>
      <c r="P203" s="9" t="n">
        <v>0.34</v>
      </c>
      <c r="Q203" s="58" t="n">
        <f aca="false">TRIMMEAN(B203:P203,2/COUNT(B203:P203))</f>
        <v>0.225555555555556</v>
      </c>
    </row>
    <row r="204" customFormat="false" ht="15.75" hidden="false" customHeight="true" outlineLevel="0" collapsed="false">
      <c r="A204" s="59" t="s">
        <v>347</v>
      </c>
      <c r="B204" s="9"/>
      <c r="C204" s="9" t="n">
        <v>0</v>
      </c>
      <c r="D204" s="9"/>
      <c r="E204" s="9" t="n">
        <v>0</v>
      </c>
      <c r="F204" s="9"/>
      <c r="G204" s="9"/>
      <c r="H204" s="9" t="n">
        <v>0</v>
      </c>
      <c r="I204" s="9"/>
      <c r="J204" s="9"/>
      <c r="K204" s="9" t="n">
        <v>0</v>
      </c>
      <c r="L204" s="9" t="n">
        <v>0</v>
      </c>
      <c r="M204" s="9" t="n">
        <v>0</v>
      </c>
      <c r="N204" s="9" t="n">
        <v>0</v>
      </c>
      <c r="O204" s="9"/>
      <c r="P204" s="9"/>
      <c r="Q204" s="58" t="n">
        <f aca="false">TRIMMEAN(B204:P204,2/COUNT(B204:P204))</f>
        <v>0</v>
      </c>
    </row>
    <row r="205" customFormat="false" ht="15.75" hidden="false" customHeight="true" outlineLevel="0" collapsed="false">
      <c r="A205" s="57" t="s">
        <v>348</v>
      </c>
      <c r="B205" s="9"/>
      <c r="C205" s="9" t="n">
        <v>0</v>
      </c>
      <c r="D205" s="9"/>
      <c r="E205" s="9" t="n">
        <v>0.24</v>
      </c>
      <c r="F205" s="9" t="n">
        <v>0</v>
      </c>
      <c r="G205" s="9"/>
      <c r="H205" s="9" t="n">
        <v>0.62</v>
      </c>
      <c r="I205" s="9"/>
      <c r="J205" s="9"/>
      <c r="K205" s="9" t="n">
        <v>0</v>
      </c>
      <c r="L205" s="9" t="n">
        <v>0</v>
      </c>
      <c r="M205" s="9"/>
      <c r="N205" s="9" t="n">
        <v>0</v>
      </c>
      <c r="O205" s="9" t="n">
        <v>0</v>
      </c>
      <c r="P205" s="9" t="n">
        <v>0</v>
      </c>
      <c r="Q205" s="58" t="n">
        <f aca="false">TRIMMEAN(B205:P205,2/COUNT(B205:P205))</f>
        <v>0.0342857142857143</v>
      </c>
    </row>
    <row r="206" customFormat="false" ht="15.75" hidden="false" customHeight="true" outlineLevel="0" collapsed="false">
      <c r="A206" s="59" t="s">
        <v>349</v>
      </c>
      <c r="B206" s="9" t="n">
        <v>0.17</v>
      </c>
      <c r="C206" s="9" t="n">
        <v>0.2</v>
      </c>
      <c r="D206" s="9" t="n">
        <v>0.38</v>
      </c>
      <c r="E206" s="9" t="n">
        <v>0.12</v>
      </c>
      <c r="F206" s="9"/>
      <c r="G206" s="9" t="n">
        <v>0.18</v>
      </c>
      <c r="H206" s="9" t="n">
        <v>0.42</v>
      </c>
      <c r="I206" s="9"/>
      <c r="J206" s="9" t="n">
        <v>0</v>
      </c>
      <c r="K206" s="9" t="n">
        <v>0</v>
      </c>
      <c r="L206" s="9" t="n">
        <v>2.55</v>
      </c>
      <c r="M206" s="9" t="n">
        <v>0</v>
      </c>
      <c r="N206" s="9" t="n">
        <v>0</v>
      </c>
      <c r="O206" s="9" t="n">
        <v>0</v>
      </c>
      <c r="P206" s="9" t="n">
        <v>0.34</v>
      </c>
      <c r="Q206" s="58" t="n">
        <f aca="false">TRIMMEAN(B206:P206,2/COUNT(B206:P206))</f>
        <v>0.164545454545455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 t="n">
        <v>0</v>
      </c>
      <c r="E207" s="9"/>
      <c r="F207" s="9"/>
      <c r="G207" s="9"/>
      <c r="H207" s="9"/>
      <c r="I207" s="9"/>
      <c r="J207" s="9"/>
      <c r="K207" s="9" t="n">
        <v>0.71</v>
      </c>
      <c r="L207" s="9" t="n">
        <v>0</v>
      </c>
      <c r="M207" s="9" t="n">
        <v>1.41</v>
      </c>
      <c r="N207" s="9"/>
      <c r="O207" s="9" t="n">
        <v>0.31</v>
      </c>
      <c r="P207" s="9" t="n">
        <v>0.34</v>
      </c>
      <c r="Q207" s="58" t="n">
        <f aca="false">TRIMMEAN(B207:P207,2/COUNT(B207:P207))</f>
        <v>0.34</v>
      </c>
    </row>
    <row r="208" customFormat="false" ht="15.75" hidden="false" customHeight="true" outlineLevel="0" collapsed="false">
      <c r="A208" s="57" t="s">
        <v>351</v>
      </c>
      <c r="B208" s="9"/>
      <c r="C208" s="9" t="n">
        <v>0.44</v>
      </c>
      <c r="D208" s="9"/>
      <c r="E208" s="9" t="n">
        <v>1.33</v>
      </c>
      <c r="F208" s="9" t="n">
        <v>0.1</v>
      </c>
      <c r="G208" s="9" t="n">
        <v>0.24</v>
      </c>
      <c r="H208" s="9"/>
      <c r="I208" s="9"/>
      <c r="J208" s="9"/>
      <c r="K208" s="9" t="n">
        <v>0.71</v>
      </c>
      <c r="L208" s="9" t="n">
        <v>2.21</v>
      </c>
      <c r="M208" s="9" t="n">
        <v>0.89</v>
      </c>
      <c r="N208" s="9"/>
      <c r="O208" s="9"/>
      <c r="P208" s="9"/>
      <c r="Q208" s="58" t="n">
        <f aca="false">TRIMMEAN(B208:P208,2/COUNT(B208:P208))</f>
        <v>0.722</v>
      </c>
    </row>
    <row r="209" customFormat="false" ht="15.75" hidden="false" customHeight="true" outlineLevel="0" collapsed="false">
      <c r="A209" s="59" t="s">
        <v>352</v>
      </c>
      <c r="B209" s="9"/>
      <c r="C209" s="9" t="n">
        <v>0.72</v>
      </c>
      <c r="D209" s="9"/>
      <c r="E209" s="9" t="n">
        <v>0</v>
      </c>
      <c r="F209" s="9" t="n">
        <v>0</v>
      </c>
      <c r="G209" s="9"/>
      <c r="H209" s="9" t="n">
        <v>0</v>
      </c>
      <c r="I209" s="9"/>
      <c r="J209" s="9"/>
      <c r="K209" s="9" t="n">
        <v>0</v>
      </c>
      <c r="L209" s="9" t="n">
        <v>0.05</v>
      </c>
      <c r="M209" s="9" t="n">
        <v>0.25</v>
      </c>
      <c r="N209" s="9" t="n">
        <v>0</v>
      </c>
      <c r="O209" s="9"/>
      <c r="P209" s="9"/>
      <c r="Q209" s="58" t="n">
        <f aca="false">TRIMMEAN(B209:P209,2/COUNT(B209:P209))</f>
        <v>0.05</v>
      </c>
    </row>
    <row r="210" customFormat="false" ht="15.75" hidden="false" customHeight="true" outlineLevel="0" collapsed="false">
      <c r="A210" s="59" t="s">
        <v>353</v>
      </c>
      <c r="B210" s="9"/>
      <c r="C210" s="9" t="n">
        <v>0</v>
      </c>
      <c r="D210" s="9"/>
      <c r="E210" s="9" t="n">
        <v>0</v>
      </c>
      <c r="F210" s="9" t="n">
        <v>0</v>
      </c>
      <c r="G210" s="9"/>
      <c r="H210" s="9" t="n">
        <v>0.9</v>
      </c>
      <c r="I210" s="9" t="n">
        <v>0</v>
      </c>
      <c r="J210" s="9"/>
      <c r="K210" s="9" t="n">
        <v>0.7</v>
      </c>
      <c r="L210" s="9" t="n">
        <v>0.43</v>
      </c>
      <c r="M210" s="9"/>
      <c r="N210" s="9" t="n">
        <v>2.61</v>
      </c>
      <c r="O210" s="9" t="n">
        <v>0</v>
      </c>
      <c r="P210" s="9" t="n">
        <v>0.69</v>
      </c>
      <c r="Q210" s="58" t="n">
        <f aca="false">TRIMMEAN(B210:P210,2/COUNT(B210:P210))</f>
        <v>0.34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 t="n">
        <v>0</v>
      </c>
      <c r="F211" s="9"/>
      <c r="G211" s="9"/>
      <c r="H211" s="9"/>
      <c r="I211" s="9"/>
      <c r="J211" s="9"/>
      <c r="K211" s="9"/>
      <c r="L211" s="9" t="n">
        <v>0</v>
      </c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0.05</v>
      </c>
      <c r="C212" s="9" t="n">
        <v>0.47</v>
      </c>
      <c r="D212" s="9" t="n">
        <v>0</v>
      </c>
      <c r="E212" s="9"/>
      <c r="F212" s="9" t="n">
        <v>0.35</v>
      </c>
      <c r="G212" s="9" t="n">
        <v>17.1</v>
      </c>
      <c r="H212" s="9"/>
      <c r="I212" s="9" t="n">
        <v>6.41</v>
      </c>
      <c r="J212" s="9" t="n">
        <v>0</v>
      </c>
      <c r="K212" s="9" t="n">
        <v>0</v>
      </c>
      <c r="L212" s="9"/>
      <c r="M212" s="9" t="n">
        <v>0</v>
      </c>
      <c r="N212" s="9"/>
      <c r="O212" s="9"/>
      <c r="P212" s="9" t="n">
        <v>0</v>
      </c>
      <c r="Q212" s="58" t="n">
        <f aca="false">TRIMMEAN(B212:P212,2/COUNT(B212:P212))</f>
        <v>0.91</v>
      </c>
    </row>
    <row r="213" customFormat="false" ht="15.75" hidden="false" customHeight="true" outlineLevel="0" collapsed="false">
      <c r="A213" s="57" t="s">
        <v>356</v>
      </c>
      <c r="B213" s="9" t="n">
        <v>1</v>
      </c>
      <c r="C213" s="9" t="n">
        <v>0.08</v>
      </c>
      <c r="D213" s="9" t="n">
        <v>0.74</v>
      </c>
      <c r="E213" s="9"/>
      <c r="F213" s="9"/>
      <c r="G213" s="9"/>
      <c r="H213" s="9" t="n">
        <v>1.63</v>
      </c>
      <c r="I213" s="9"/>
      <c r="J213" s="9"/>
      <c r="K213" s="9" t="n">
        <v>0</v>
      </c>
      <c r="L213" s="9" t="n">
        <v>0</v>
      </c>
      <c r="M213" s="9" t="n">
        <v>0</v>
      </c>
      <c r="N213" s="9" t="n">
        <v>0</v>
      </c>
      <c r="O213" s="9" t="n">
        <v>0</v>
      </c>
      <c r="P213" s="9" t="n">
        <v>0</v>
      </c>
      <c r="Q213" s="58" t="n">
        <f aca="false">TRIMMEAN(B213:P213,2/COUNT(B213:P213))</f>
        <v>0.2275</v>
      </c>
    </row>
    <row r="214" customFormat="false" ht="15.75" hidden="false" customHeight="true" outlineLevel="0" collapsed="false">
      <c r="A214" s="59" t="s">
        <v>357</v>
      </c>
      <c r="B214" s="9"/>
      <c r="C214" s="9" t="n">
        <v>0</v>
      </c>
      <c r="D214" s="9"/>
      <c r="E214" s="9" t="n">
        <v>0.47</v>
      </c>
      <c r="F214" s="9" t="n">
        <v>0</v>
      </c>
      <c r="G214" s="9"/>
      <c r="H214" s="9" t="n">
        <v>0</v>
      </c>
      <c r="I214" s="9"/>
      <c r="J214" s="9"/>
      <c r="K214" s="9" t="n">
        <v>0</v>
      </c>
      <c r="L214" s="9"/>
      <c r="M214" s="9" t="n">
        <v>0.53</v>
      </c>
      <c r="N214" s="9" t="n">
        <v>1.14</v>
      </c>
      <c r="O214" s="9" t="n">
        <v>0</v>
      </c>
      <c r="P214" s="9" t="n">
        <v>0</v>
      </c>
      <c r="Q214" s="58" t="n">
        <f aca="false">TRIMMEAN(B214:P214,2/COUNT(B214:P214))</f>
        <v>0.142857142857143</v>
      </c>
    </row>
    <row r="215" customFormat="false" ht="15.75" hidden="false" customHeight="true" outlineLevel="0" collapsed="false">
      <c r="A215" s="57" t="s">
        <v>358</v>
      </c>
      <c r="B215" s="9" t="n">
        <v>0</v>
      </c>
      <c r="C215" s="9" t="n">
        <v>3.47</v>
      </c>
      <c r="D215" s="9"/>
      <c r="E215" s="9" t="n">
        <v>0.18</v>
      </c>
      <c r="F215" s="9" t="n">
        <v>0.13</v>
      </c>
      <c r="G215" s="9" t="n">
        <v>0</v>
      </c>
      <c r="H215" s="9"/>
      <c r="I215" s="9"/>
      <c r="J215" s="9" t="n">
        <v>0</v>
      </c>
      <c r="K215" s="9" t="n">
        <v>0</v>
      </c>
      <c r="L215" s="9" t="n">
        <v>0</v>
      </c>
      <c r="M215" s="9"/>
      <c r="N215" s="9"/>
      <c r="O215" s="9"/>
      <c r="P215" s="9"/>
      <c r="Q215" s="58" t="n">
        <f aca="false">TRIMMEAN(B215:P215,2/COUNT(B215:P215))</f>
        <v>0.0516666666666667</v>
      </c>
    </row>
    <row r="216" customFormat="false" ht="15.75" hidden="false" customHeight="true" outlineLevel="0" collapsed="false">
      <c r="A216" s="57" t="s">
        <v>359</v>
      </c>
      <c r="B216" s="9" t="n">
        <v>0.3</v>
      </c>
      <c r="C216" s="9" t="n">
        <v>0.38</v>
      </c>
      <c r="D216" s="9" t="n">
        <v>1.48</v>
      </c>
      <c r="E216" s="9"/>
      <c r="F216" s="9" t="n">
        <v>0.22</v>
      </c>
      <c r="G216" s="9" t="n">
        <v>0.81</v>
      </c>
      <c r="H216" s="9"/>
      <c r="I216" s="9" t="n">
        <v>0</v>
      </c>
      <c r="J216" s="9" t="n">
        <v>0.06</v>
      </c>
      <c r="K216" s="9"/>
      <c r="L216" s="9" t="n">
        <v>0</v>
      </c>
      <c r="M216" s="9" t="n">
        <v>0</v>
      </c>
      <c r="N216" s="9"/>
      <c r="O216" s="9"/>
      <c r="P216" s="9"/>
      <c r="Q216" s="58" t="n">
        <f aca="false">TRIMMEAN(B216:P216,2/COUNT(B216:P216))</f>
        <v>0.252857142857143</v>
      </c>
    </row>
    <row r="217" customFormat="false" ht="15.75" hidden="false" customHeight="true" outlineLevel="0" collapsed="false">
      <c r="A217" s="57" t="s">
        <v>360</v>
      </c>
      <c r="B217" s="9" t="n">
        <v>0.71</v>
      </c>
      <c r="C217" s="9" t="n">
        <v>0.2</v>
      </c>
      <c r="D217" s="9" t="n">
        <v>0</v>
      </c>
      <c r="E217" s="9"/>
      <c r="F217" s="9" t="n">
        <v>0.78</v>
      </c>
      <c r="G217" s="9"/>
      <c r="H217" s="9" t="n">
        <v>0</v>
      </c>
      <c r="I217" s="9" t="n">
        <v>0</v>
      </c>
      <c r="J217" s="9"/>
      <c r="K217" s="9" t="n">
        <v>0</v>
      </c>
      <c r="L217" s="9" t="n">
        <v>0</v>
      </c>
      <c r="M217" s="9"/>
      <c r="N217" s="9" t="n">
        <v>0</v>
      </c>
      <c r="O217" s="9" t="n">
        <v>0</v>
      </c>
      <c r="P217" s="9" t="n">
        <v>0</v>
      </c>
      <c r="Q217" s="58" t="n">
        <f aca="false">TRIMMEAN(B217:P217,2/COUNT(B217:P217))</f>
        <v>0.101111111111111</v>
      </c>
    </row>
    <row r="218" customFormat="false" ht="15.75" hidden="false" customHeight="true" outlineLevel="0" collapsed="false">
      <c r="A218" s="57" t="s">
        <v>361</v>
      </c>
      <c r="B218" s="9"/>
      <c r="C218" s="9" t="n">
        <v>0.57</v>
      </c>
      <c r="D218" s="9" t="n">
        <v>12.4</v>
      </c>
      <c r="E218" s="9"/>
      <c r="F218" s="9" t="n">
        <v>0.22</v>
      </c>
      <c r="G218" s="9" t="n">
        <v>2.43</v>
      </c>
      <c r="H218" s="9"/>
      <c r="I218" s="9" t="n">
        <v>0</v>
      </c>
      <c r="J218" s="9"/>
      <c r="K218" s="9"/>
      <c r="L218" s="9" t="n">
        <v>0.47</v>
      </c>
      <c r="M218" s="9" t="n">
        <v>0.41</v>
      </c>
      <c r="N218" s="9"/>
      <c r="O218" s="9"/>
      <c r="P218" s="9"/>
      <c r="Q218" s="58" t="n">
        <f aca="false">TRIMMEAN(B218:P218,2/COUNT(B218:P218))</f>
        <v>0.82</v>
      </c>
    </row>
    <row r="219" customFormat="false" ht="15.75" hidden="false" customHeight="true" outlineLevel="0" collapsed="false">
      <c r="A219" s="57" t="s">
        <v>362</v>
      </c>
      <c r="B219" s="9"/>
      <c r="C219" s="9" t="n">
        <v>1.46</v>
      </c>
      <c r="D219" s="9" t="n">
        <v>28</v>
      </c>
      <c r="E219" s="9"/>
      <c r="F219" s="9"/>
      <c r="G219" s="9" t="n">
        <v>0.82</v>
      </c>
      <c r="H219" s="9" t="n">
        <v>0</v>
      </c>
      <c r="I219" s="9" t="n">
        <v>2.41</v>
      </c>
      <c r="J219" s="9" t="n">
        <v>0.35</v>
      </c>
      <c r="K219" s="9"/>
      <c r="L219" s="9" t="n">
        <v>0</v>
      </c>
      <c r="M219" s="9" t="n">
        <v>0</v>
      </c>
      <c r="N219" s="9"/>
      <c r="O219" s="9"/>
      <c r="P219" s="9" t="n">
        <v>0.47</v>
      </c>
      <c r="Q219" s="58" t="n">
        <f aca="false">TRIMMEAN(B219:P219,2/COUNT(B219:P219))</f>
        <v>0.787142857142857</v>
      </c>
    </row>
    <row r="220" customFormat="false" ht="15.75" hidden="false" customHeight="true" outlineLevel="0" collapsed="false">
      <c r="A220" s="59" t="s">
        <v>363</v>
      </c>
      <c r="B220" s="9"/>
      <c r="C220" s="9" t="n">
        <v>0</v>
      </c>
      <c r="D220" s="9"/>
      <c r="E220" s="9" t="n">
        <v>0</v>
      </c>
      <c r="F220" s="9" t="n">
        <v>0</v>
      </c>
      <c r="G220" s="9"/>
      <c r="H220" s="9" t="n">
        <v>0</v>
      </c>
      <c r="I220" s="9"/>
      <c r="J220" s="9"/>
      <c r="K220" s="9" t="n">
        <v>0</v>
      </c>
      <c r="L220" s="9" t="n">
        <v>0.23</v>
      </c>
      <c r="M220" s="9" t="n">
        <v>0</v>
      </c>
      <c r="N220" s="9" t="n">
        <v>0</v>
      </c>
      <c r="O220" s="9" t="n">
        <v>0</v>
      </c>
      <c r="P220" s="9" t="n">
        <v>0.34</v>
      </c>
      <c r="Q220" s="58" t="n">
        <f aca="false">TRIMMEAN(B220:P220,2/COUNT(B220:P220))</f>
        <v>0.02875</v>
      </c>
    </row>
    <row r="221" customFormat="false" ht="15.75" hidden="false" customHeight="true" outlineLevel="0" collapsed="false">
      <c r="A221" s="57" t="s">
        <v>364</v>
      </c>
      <c r="B221" s="9" t="n">
        <v>0</v>
      </c>
      <c r="C221" s="9" t="n">
        <v>0.13</v>
      </c>
      <c r="D221" s="9"/>
      <c r="E221" s="9" t="n">
        <v>0.18</v>
      </c>
      <c r="F221" s="9" t="n">
        <v>0.15</v>
      </c>
      <c r="G221" s="9" t="n">
        <v>0.36</v>
      </c>
      <c r="H221" s="9"/>
      <c r="I221" s="9"/>
      <c r="J221" s="9" t="n">
        <v>0</v>
      </c>
      <c r="K221" s="9" t="n">
        <v>0</v>
      </c>
      <c r="L221" s="9" t="n">
        <v>0</v>
      </c>
      <c r="M221" s="9" t="n">
        <v>0</v>
      </c>
      <c r="N221" s="9"/>
      <c r="O221" s="9"/>
      <c r="P221" s="9"/>
      <c r="Q221" s="58" t="n">
        <f aca="false">TRIMMEAN(B221:P221,2/COUNT(B221:P221))</f>
        <v>0.0657142857142857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 t="n">
        <v>0.03</v>
      </c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2.81</v>
      </c>
      <c r="E223" s="9"/>
      <c r="F223" s="9"/>
      <c r="G223" s="9"/>
      <c r="H223" s="9"/>
      <c r="I223" s="9" t="n">
        <v>0</v>
      </c>
      <c r="J223" s="9" t="n">
        <v>0.15</v>
      </c>
      <c r="K223" s="9" t="n">
        <v>0</v>
      </c>
      <c r="L223" s="9" t="n">
        <v>1.47</v>
      </c>
      <c r="M223" s="9" t="n">
        <v>0.41</v>
      </c>
      <c r="N223" s="9"/>
      <c r="O223" s="9"/>
      <c r="P223" s="9"/>
      <c r="Q223" s="58" t="n">
        <f aca="false">TRIMMEAN(B223:P223,2/COUNT(B223:P223))</f>
        <v>0.5075</v>
      </c>
    </row>
    <row r="224" customFormat="false" ht="15.75" hidden="false" customHeight="true" outlineLevel="0" collapsed="false">
      <c r="A224" s="57" t="s">
        <v>367</v>
      </c>
      <c r="B224" s="9" t="n">
        <v>1</v>
      </c>
      <c r="C224" s="9" t="n">
        <v>15.2</v>
      </c>
      <c r="D224" s="9" t="n">
        <v>0.38</v>
      </c>
      <c r="E224" s="9"/>
      <c r="F224" s="9"/>
      <c r="G224" s="9" t="n">
        <v>2.96</v>
      </c>
      <c r="H224" s="9" t="n">
        <v>0</v>
      </c>
      <c r="I224" s="9" t="n">
        <v>0</v>
      </c>
      <c r="J224" s="9" t="n">
        <v>0.66</v>
      </c>
      <c r="K224" s="9"/>
      <c r="L224" s="9" t="n">
        <v>0</v>
      </c>
      <c r="M224" s="9" t="n">
        <v>1.41</v>
      </c>
      <c r="N224" s="9"/>
      <c r="O224" s="9"/>
      <c r="P224" s="9"/>
      <c r="Q224" s="58" t="n">
        <f aca="false">TRIMMEAN(B224:P224,2/COUNT(B224:P224))</f>
        <v>0.915714285714286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0.1</v>
      </c>
      <c r="D226" s="9" t="n">
        <v>0</v>
      </c>
      <c r="E226" s="9" t="n">
        <v>0</v>
      </c>
      <c r="F226" s="9" t="n">
        <v>0</v>
      </c>
      <c r="G226" s="9"/>
      <c r="H226" s="9" t="n">
        <v>0</v>
      </c>
      <c r="I226" s="9"/>
      <c r="J226" s="9"/>
      <c r="K226" s="9" t="n">
        <v>0</v>
      </c>
      <c r="L226" s="9" t="n">
        <v>0</v>
      </c>
      <c r="M226" s="9" t="n">
        <v>0.14</v>
      </c>
      <c r="N226" s="9" t="n">
        <v>0</v>
      </c>
      <c r="O226" s="9" t="n">
        <v>4.67</v>
      </c>
      <c r="P226" s="9" t="n">
        <v>0</v>
      </c>
      <c r="Q226" s="58" t="n">
        <f aca="false">TRIMMEAN(B226:P226,2/COUNT(B226:P226))</f>
        <v>0.0266666666666667</v>
      </c>
    </row>
    <row r="227" customFormat="false" ht="15.75" hidden="false" customHeight="true" outlineLevel="0" collapsed="false">
      <c r="A227" s="59" t="s">
        <v>370</v>
      </c>
      <c r="B227" s="9" t="n">
        <v>0</v>
      </c>
      <c r="C227" s="9" t="n">
        <v>0.47</v>
      </c>
      <c r="D227" s="9" t="n">
        <v>0</v>
      </c>
      <c r="E227" s="9" t="n">
        <v>0.12</v>
      </c>
      <c r="F227" s="9" t="n">
        <v>0</v>
      </c>
      <c r="G227" s="9" t="n">
        <v>0.12</v>
      </c>
      <c r="H227" s="9"/>
      <c r="I227" s="9" t="n">
        <v>0</v>
      </c>
      <c r="J227" s="9"/>
      <c r="K227" s="9" t="n">
        <v>0</v>
      </c>
      <c r="L227" s="9"/>
      <c r="M227" s="9"/>
      <c r="N227" s="9" t="n">
        <v>0</v>
      </c>
      <c r="O227" s="9" t="n">
        <v>0</v>
      </c>
      <c r="P227" s="9" t="n">
        <v>0</v>
      </c>
      <c r="Q227" s="58" t="n">
        <f aca="false">TRIMMEAN(B227:P227,2/COUNT(B227:P227))</f>
        <v>0.0266666666666667</v>
      </c>
    </row>
    <row r="228" customFormat="false" ht="15.75" hidden="false" customHeight="true" outlineLevel="0" collapsed="false">
      <c r="A228" s="57" t="s">
        <v>371</v>
      </c>
      <c r="B228" s="9" t="n">
        <v>2.07</v>
      </c>
      <c r="C228" s="9" t="n">
        <v>0.13</v>
      </c>
      <c r="D228" s="9"/>
      <c r="E228" s="9" t="n">
        <v>0</v>
      </c>
      <c r="F228" s="9" t="n">
        <v>0</v>
      </c>
      <c r="G228" s="9" t="n">
        <v>0</v>
      </c>
      <c r="H228" s="9"/>
      <c r="I228" s="9"/>
      <c r="J228" s="9" t="n">
        <v>0.91</v>
      </c>
      <c r="K228" s="9" t="n">
        <v>0</v>
      </c>
      <c r="L228" s="9" t="n">
        <v>0</v>
      </c>
      <c r="M228" s="9"/>
      <c r="N228" s="9"/>
      <c r="O228" s="9"/>
      <c r="P228" s="9"/>
      <c r="Q228" s="58" t="n">
        <f aca="false">TRIMMEAN(B228:P228,2/COUNT(B228:P228))</f>
        <v>0.173333333333333</v>
      </c>
    </row>
    <row r="229" customFormat="false" ht="15.75" hidden="false" customHeight="true" outlineLevel="0" collapsed="false">
      <c r="A229" s="59" t="s">
        <v>372</v>
      </c>
      <c r="B229" s="9" t="n">
        <v>0</v>
      </c>
      <c r="C229" s="9" t="n">
        <v>0.14</v>
      </c>
      <c r="D229" s="9" t="n">
        <v>2.81</v>
      </c>
      <c r="E229" s="9"/>
      <c r="F229" s="9"/>
      <c r="G229" s="9" t="n">
        <v>1.3</v>
      </c>
      <c r="H229" s="9" t="n">
        <v>0</v>
      </c>
      <c r="I229" s="9" t="n">
        <v>2.41</v>
      </c>
      <c r="J229" s="9" t="n">
        <v>0.52</v>
      </c>
      <c r="K229" s="9"/>
      <c r="L229" s="9"/>
      <c r="M229" s="9" t="n">
        <v>0</v>
      </c>
      <c r="N229" s="9"/>
      <c r="O229" s="9"/>
      <c r="P229" s="9"/>
      <c r="Q229" s="58" t="n">
        <f aca="false">TRIMMEAN(B229:P229,2/COUNT(B229:P229))</f>
        <v>0.728333333333333</v>
      </c>
    </row>
    <row r="230" customFormat="false" ht="15.75" hidden="false" customHeight="true" outlineLevel="0" collapsed="false">
      <c r="A230" s="59" t="s">
        <v>373</v>
      </c>
      <c r="B230" s="9"/>
      <c r="C230" s="9" t="n">
        <v>0</v>
      </c>
      <c r="D230" s="9"/>
      <c r="E230" s="9"/>
      <c r="F230" s="9"/>
      <c r="G230" s="9"/>
      <c r="H230" s="9"/>
      <c r="I230" s="9"/>
      <c r="J230" s="9"/>
      <c r="K230" s="9"/>
      <c r="L230" s="9" t="n">
        <v>0.62</v>
      </c>
      <c r="M230" s="9" t="n">
        <v>0.68</v>
      </c>
      <c r="N230" s="9"/>
      <c r="O230" s="9"/>
      <c r="P230" s="9"/>
      <c r="Q230" s="58" t="n">
        <f aca="false">TRIMMEAN(B230:P230,2/COUNT(B230:P230))</f>
        <v>0.62</v>
      </c>
    </row>
    <row r="231" customFormat="false" ht="15.75" hidden="false" customHeight="true" outlineLevel="0" collapsed="false">
      <c r="A231" s="57" t="s">
        <v>374</v>
      </c>
      <c r="B231" s="9"/>
      <c r="C231" s="9" t="n">
        <v>1.96</v>
      </c>
      <c r="D231" s="9"/>
      <c r="E231" s="9" t="n">
        <v>0</v>
      </c>
      <c r="F231" s="9" t="n">
        <v>0</v>
      </c>
      <c r="G231" s="9"/>
      <c r="H231" s="9" t="n">
        <v>0</v>
      </c>
      <c r="I231" s="9" t="n">
        <v>0</v>
      </c>
      <c r="J231" s="9"/>
      <c r="K231" s="9" t="n">
        <v>0</v>
      </c>
      <c r="L231" s="9" t="n">
        <v>1.85</v>
      </c>
      <c r="M231" s="9" t="n">
        <v>0</v>
      </c>
      <c r="N231" s="9" t="n">
        <v>0.38</v>
      </c>
      <c r="O231" s="9" t="n">
        <v>0.59</v>
      </c>
      <c r="P231" s="9" t="n">
        <v>0.79</v>
      </c>
      <c r="Q231" s="58" t="n">
        <f aca="false">TRIMMEAN(B231:P231,2/COUNT(B231:P231))</f>
        <v>0.401111111111111</v>
      </c>
    </row>
    <row r="232" customFormat="false" ht="15.75" hidden="false" customHeight="true" outlineLevel="0" collapsed="false">
      <c r="A232" s="57" t="s">
        <v>375</v>
      </c>
      <c r="B232" s="9" t="n">
        <v>0.2</v>
      </c>
      <c r="C232" s="9" t="n">
        <v>0.3</v>
      </c>
      <c r="D232" s="9"/>
      <c r="E232" s="9"/>
      <c r="F232" s="9" t="n">
        <v>0.2</v>
      </c>
      <c r="G232" s="9" t="n">
        <v>0</v>
      </c>
      <c r="H232" s="9"/>
      <c r="I232" s="9"/>
      <c r="J232" s="9" t="n">
        <v>0</v>
      </c>
      <c r="K232" s="9"/>
      <c r="L232" s="9" t="n">
        <v>0</v>
      </c>
      <c r="M232" s="9" t="n">
        <v>0</v>
      </c>
      <c r="N232" s="9"/>
      <c r="O232" s="9"/>
      <c r="P232" s="9"/>
      <c r="Q232" s="58" t="n">
        <f aca="false">TRIMMEAN(B232:P232,2/COUNT(B232:P232))</f>
        <v>0.08</v>
      </c>
    </row>
    <row r="233" customFormat="false" ht="15.75" hidden="false" customHeight="true" outlineLevel="0" collapsed="false">
      <c r="A233" s="59" t="s">
        <v>376</v>
      </c>
      <c r="B233" s="9"/>
      <c r="C233" s="9" t="n">
        <v>0</v>
      </c>
      <c r="D233" s="9"/>
      <c r="E233" s="9" t="n">
        <v>0</v>
      </c>
      <c r="F233" s="9" t="n">
        <v>0</v>
      </c>
      <c r="G233" s="9"/>
      <c r="H233" s="9" t="n">
        <v>0</v>
      </c>
      <c r="I233" s="9" t="n">
        <v>0</v>
      </c>
      <c r="J233" s="9"/>
      <c r="K233" s="9" t="n">
        <v>0</v>
      </c>
      <c r="L233" s="9" t="n">
        <v>0</v>
      </c>
      <c r="M233" s="9" t="n">
        <v>0</v>
      </c>
      <c r="N233" s="9" t="n">
        <v>0</v>
      </c>
      <c r="O233" s="9" t="n">
        <v>0</v>
      </c>
      <c r="P233" s="9" t="n">
        <v>0</v>
      </c>
      <c r="Q233" s="58" t="n">
        <f aca="false">TRIMMEAN(B233:P233,2/COUNT(B233:P233))</f>
        <v>0</v>
      </c>
    </row>
    <row r="234" customFormat="false" ht="15.75" hidden="false" customHeight="true" outlineLevel="0" collapsed="false">
      <c r="A234" s="59" t="s">
        <v>377</v>
      </c>
      <c r="B234" s="9"/>
      <c r="C234" s="9" t="n">
        <v>0.47</v>
      </c>
      <c r="D234" s="9"/>
      <c r="E234" s="9" t="n">
        <v>0.32</v>
      </c>
      <c r="F234" s="9" t="n">
        <v>0</v>
      </c>
      <c r="G234" s="9"/>
      <c r="H234" s="9" t="n">
        <v>0.27</v>
      </c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0.295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0</v>
      </c>
      <c r="E235" s="9" t="n">
        <v>0.24</v>
      </c>
      <c r="F235" s="9" t="n">
        <v>0.21</v>
      </c>
      <c r="G235" s="9"/>
      <c r="H235" s="9"/>
      <c r="I235" s="9" t="n">
        <v>0</v>
      </c>
      <c r="J235" s="9"/>
      <c r="K235" s="9"/>
      <c r="L235" s="9" t="n">
        <v>0</v>
      </c>
      <c r="M235" s="9" t="n">
        <v>0</v>
      </c>
      <c r="N235" s="9"/>
      <c r="O235" s="9" t="n">
        <v>0.31</v>
      </c>
      <c r="P235" s="9" t="n">
        <v>0</v>
      </c>
      <c r="Q235" s="58" t="n">
        <f aca="false">TRIMMEAN(B235:P235,2/COUNT(B235:P235))</f>
        <v>0.075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 t="n">
        <v>0</v>
      </c>
      <c r="D237" s="9"/>
      <c r="E237" s="9" t="n">
        <v>0</v>
      </c>
      <c r="F237" s="9"/>
      <c r="G237" s="9"/>
      <c r="H237" s="9"/>
      <c r="I237" s="9"/>
      <c r="J237" s="9"/>
      <c r="K237" s="9" t="n">
        <v>0</v>
      </c>
      <c r="L237" s="9" t="n">
        <v>0</v>
      </c>
      <c r="M237" s="9" t="n">
        <v>1.97</v>
      </c>
      <c r="N237" s="9" t="n">
        <v>0</v>
      </c>
      <c r="O237" s="9" t="n">
        <v>0.31</v>
      </c>
      <c r="P237" s="9" t="n">
        <v>0</v>
      </c>
      <c r="Q237" s="58" t="n">
        <f aca="false">TRIMMEAN(B237:P237,2/COUNT(B237:P237))</f>
        <v>0.0516666666666667</v>
      </c>
    </row>
    <row r="238" customFormat="false" ht="15.75" hidden="false" customHeight="true" outlineLevel="0" collapsed="false">
      <c r="A238" s="57" t="s">
        <v>381</v>
      </c>
      <c r="B238" s="9" t="n">
        <v>0</v>
      </c>
      <c r="C238" s="9" t="n">
        <v>0.22</v>
      </c>
      <c r="D238" s="9" t="n">
        <v>0</v>
      </c>
      <c r="E238" s="9" t="n">
        <v>0.24</v>
      </c>
      <c r="F238" s="9"/>
      <c r="G238" s="9" t="n">
        <v>0.5</v>
      </c>
      <c r="H238" s="9"/>
      <c r="I238" s="9" t="n">
        <v>0</v>
      </c>
      <c r="J238" s="9"/>
      <c r="K238" s="9" t="n">
        <v>0</v>
      </c>
      <c r="L238" s="9" t="n">
        <v>0</v>
      </c>
      <c r="M238" s="9" t="n">
        <v>0</v>
      </c>
      <c r="N238" s="9"/>
      <c r="O238" s="9"/>
      <c r="P238" s="9"/>
      <c r="Q238" s="58" t="n">
        <f aca="false">TRIMMEAN(B238:P238,2/COUNT(B238:P238))</f>
        <v>0.0657142857142857</v>
      </c>
    </row>
    <row r="239" customFormat="false" ht="15.75" hidden="false" customHeight="true" outlineLevel="0" collapsed="false">
      <c r="A239" s="57" t="s">
        <v>382</v>
      </c>
      <c r="B239" s="9"/>
      <c r="C239" s="9" t="n">
        <v>0</v>
      </c>
      <c r="D239" s="9" t="n">
        <v>4.01</v>
      </c>
      <c r="E239" s="9"/>
      <c r="F239" s="9"/>
      <c r="G239" s="9" t="n">
        <v>0.43</v>
      </c>
      <c r="H239" s="9"/>
      <c r="I239" s="9" t="n">
        <v>2.41</v>
      </c>
      <c r="J239" s="9" t="n">
        <v>0</v>
      </c>
      <c r="K239" s="9"/>
      <c r="L239" s="9" t="n">
        <v>0</v>
      </c>
      <c r="M239" s="9" t="n">
        <v>1.41</v>
      </c>
      <c r="N239" s="9"/>
      <c r="O239" s="9" t="n">
        <v>6.61</v>
      </c>
      <c r="P239" s="9"/>
      <c r="Q239" s="58" t="n">
        <f aca="false">TRIMMEAN(B239:P239,2/COUNT(B239:P239))</f>
        <v>1.37666666666667</v>
      </c>
    </row>
    <row r="240" customFormat="false" ht="15.75" hidden="false" customHeight="true" outlineLevel="0" collapsed="false">
      <c r="A240" s="57" t="s">
        <v>383</v>
      </c>
      <c r="B240" s="9" t="n">
        <v>7.72</v>
      </c>
      <c r="C240" s="9"/>
      <c r="D240" s="9" t="n">
        <v>2.08</v>
      </c>
      <c r="E240" s="9" t="n">
        <v>3.12</v>
      </c>
      <c r="F240" s="9"/>
      <c r="G240" s="9" t="n">
        <v>1.3</v>
      </c>
      <c r="H240" s="9"/>
      <c r="I240" s="9" t="n">
        <v>6.41</v>
      </c>
      <c r="J240" s="9" t="n">
        <v>9.07</v>
      </c>
      <c r="K240" s="9"/>
      <c r="L240" s="9" t="n">
        <v>0</v>
      </c>
      <c r="M240" s="9" t="n">
        <v>6.99</v>
      </c>
      <c r="N240" s="9" t="n">
        <v>4.85</v>
      </c>
      <c r="O240" s="9"/>
      <c r="P240" s="9"/>
      <c r="Q240" s="58" t="n">
        <f aca="false">TRIMMEAN(B240:P240,2/COUNT(B240:P240))</f>
        <v>4.63857142857143</v>
      </c>
    </row>
    <row r="241" customFormat="false" ht="15.75" hidden="false" customHeight="true" outlineLevel="0" collapsed="false">
      <c r="A241" s="59" t="s">
        <v>384</v>
      </c>
      <c r="B241" s="9"/>
      <c r="C241" s="9" t="n">
        <v>0</v>
      </c>
      <c r="D241" s="9" t="n">
        <v>0</v>
      </c>
      <c r="E241" s="9" t="n">
        <v>0</v>
      </c>
      <c r="F241" s="9" t="n">
        <v>0</v>
      </c>
      <c r="G241" s="9"/>
      <c r="H241" s="9" t="n">
        <v>0</v>
      </c>
      <c r="I241" s="9"/>
      <c r="J241" s="9"/>
      <c r="K241" s="9" t="n">
        <v>0</v>
      </c>
      <c r="L241" s="9" t="n">
        <v>0</v>
      </c>
      <c r="M241" s="9"/>
      <c r="N241" s="9" t="n">
        <v>0</v>
      </c>
      <c r="O241" s="9" t="n">
        <v>0.03</v>
      </c>
      <c r="P241" s="9" t="n">
        <v>0</v>
      </c>
      <c r="Q241" s="58" t="n">
        <f aca="false">TRIMMEAN(B241:P241,2/COUNT(B241:P241))</f>
        <v>0</v>
      </c>
    </row>
    <row r="242" customFormat="false" ht="15.75" hidden="false" customHeight="true" outlineLevel="0" collapsed="false">
      <c r="A242" s="57" t="s">
        <v>385</v>
      </c>
      <c r="B242" s="9"/>
      <c r="C242" s="9" t="n">
        <v>0</v>
      </c>
      <c r="D242" s="9" t="n">
        <v>6.41</v>
      </c>
      <c r="E242" s="9" t="n">
        <v>0</v>
      </c>
      <c r="F242" s="9"/>
      <c r="G242" s="9"/>
      <c r="H242" s="9" t="n">
        <v>0</v>
      </c>
      <c r="I242" s="9" t="n">
        <v>0</v>
      </c>
      <c r="J242" s="9"/>
      <c r="K242" s="9"/>
      <c r="L242" s="9" t="n">
        <v>0.9</v>
      </c>
      <c r="M242" s="9"/>
      <c r="N242" s="9" t="n">
        <v>0.24</v>
      </c>
      <c r="O242" s="9" t="n">
        <v>0</v>
      </c>
      <c r="P242" s="9" t="n">
        <v>0</v>
      </c>
      <c r="Q242" s="58" t="n">
        <f aca="false">TRIMMEAN(B242:P242,2/COUNT(B242:P242))</f>
        <v>0.162857142857143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0</v>
      </c>
      <c r="C244" s="9" t="n">
        <v>0</v>
      </c>
      <c r="D244" s="9"/>
      <c r="E244" s="9" t="n">
        <v>0</v>
      </c>
      <c r="F244" s="9" t="n">
        <v>0</v>
      </c>
      <c r="G244" s="9"/>
      <c r="H244" s="9"/>
      <c r="I244" s="9"/>
      <c r="J244" s="9" t="n">
        <v>0</v>
      </c>
      <c r="K244" s="9" t="n">
        <v>0.41</v>
      </c>
      <c r="L244" s="9" t="n">
        <v>0</v>
      </c>
      <c r="M244" s="9" t="n">
        <v>0.17</v>
      </c>
      <c r="N244" s="9"/>
      <c r="O244" s="9"/>
      <c r="P244" s="9"/>
      <c r="Q244" s="58" t="n">
        <f aca="false">TRIMMEAN(B244:P244,2/COUNT(B244:P244))</f>
        <v>0.0283333333333333</v>
      </c>
    </row>
    <row r="245" customFormat="false" ht="15.75" hidden="false" customHeight="true" outlineLevel="0" collapsed="false">
      <c r="A245" s="57" t="s">
        <v>388</v>
      </c>
      <c r="B245" s="9" t="n">
        <v>3.37</v>
      </c>
      <c r="C245" s="9" t="n">
        <v>0.47</v>
      </c>
      <c r="D245" s="9" t="n">
        <v>0</v>
      </c>
      <c r="E245" s="9"/>
      <c r="F245" s="9"/>
      <c r="G245" s="9" t="n">
        <v>1.3</v>
      </c>
      <c r="H245" s="9"/>
      <c r="I245" s="9" t="n">
        <v>0</v>
      </c>
      <c r="J245" s="9" t="n">
        <v>0</v>
      </c>
      <c r="K245" s="9"/>
      <c r="L245" s="9" t="n">
        <v>0</v>
      </c>
      <c r="M245" s="9" t="n">
        <v>2.96</v>
      </c>
      <c r="N245" s="9"/>
      <c r="O245" s="9"/>
      <c r="P245" s="9"/>
      <c r="Q245" s="58" t="n">
        <f aca="false">TRIMMEAN(B245:P245,2/COUNT(B245:P245))</f>
        <v>0.788333333333333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0.17</v>
      </c>
      <c r="D247" s="9"/>
      <c r="E247" s="9" t="n">
        <v>0.24</v>
      </c>
      <c r="F247" s="9" t="n">
        <v>0</v>
      </c>
      <c r="G247" s="9"/>
      <c r="H247" s="9" t="n">
        <v>0</v>
      </c>
      <c r="I247" s="9" t="n">
        <v>0</v>
      </c>
      <c r="J247" s="9"/>
      <c r="K247" s="9" t="n">
        <v>0</v>
      </c>
      <c r="L247" s="9"/>
      <c r="M247" s="9"/>
      <c r="N247" s="9"/>
      <c r="O247" s="9"/>
      <c r="P247" s="9"/>
      <c r="Q247" s="58" t="n">
        <f aca="false">TRIMMEAN(B247:P247,2/COUNT(B247:P247))</f>
        <v>0.0425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 t="n">
        <v>0</v>
      </c>
      <c r="F248" s="9" t="n">
        <v>0</v>
      </c>
      <c r="G248" s="9" t="n">
        <v>0.17</v>
      </c>
      <c r="H248" s="9"/>
      <c r="I248" s="9"/>
      <c r="J248" s="9" t="n">
        <v>0</v>
      </c>
      <c r="K248" s="9" t="n">
        <v>0</v>
      </c>
      <c r="L248" s="9" t="n">
        <v>0</v>
      </c>
      <c r="M248" s="9"/>
      <c r="N248" s="9"/>
      <c r="O248" s="9"/>
      <c r="P248" s="9"/>
      <c r="Q248" s="58" t="n">
        <f aca="false">TRIMMEAN(B248:P248,2/COUNT(B248:P248))</f>
        <v>0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0</v>
      </c>
      <c r="D250" s="9"/>
      <c r="E250" s="9" t="n">
        <v>0.67</v>
      </c>
      <c r="F250" s="9"/>
      <c r="G250" s="9"/>
      <c r="H250" s="9" t="n">
        <v>0</v>
      </c>
      <c r="I250" s="9" t="n">
        <v>0</v>
      </c>
      <c r="J250" s="9"/>
      <c r="K250" s="9" t="n">
        <v>0</v>
      </c>
      <c r="L250" s="9" t="n">
        <v>1.69</v>
      </c>
      <c r="M250" s="9" t="n">
        <v>0</v>
      </c>
      <c r="N250" s="9" t="n">
        <v>0</v>
      </c>
      <c r="O250" s="9" t="n">
        <v>0</v>
      </c>
      <c r="P250" s="9" t="n">
        <v>0</v>
      </c>
      <c r="Q250" s="58" t="n">
        <f aca="false">TRIMMEAN(B250:P250,2/COUNT(B250:P250))</f>
        <v>0.08375</v>
      </c>
    </row>
    <row r="251" customFormat="false" ht="15.75" hidden="false" customHeight="true" outlineLevel="0" collapsed="false">
      <c r="A251" s="59" t="s">
        <v>394</v>
      </c>
      <c r="B251" s="9"/>
      <c r="C251" s="9" t="n">
        <v>0.08</v>
      </c>
      <c r="D251" s="9"/>
      <c r="E251" s="9"/>
      <c r="F251" s="9" t="n">
        <v>0</v>
      </c>
      <c r="G251" s="9"/>
      <c r="H251" s="9"/>
      <c r="I251" s="9"/>
      <c r="J251" s="9"/>
      <c r="K251" s="9" t="n">
        <v>0</v>
      </c>
      <c r="L251" s="9"/>
      <c r="M251" s="9"/>
      <c r="N251" s="9"/>
      <c r="O251" s="9" t="n">
        <v>0</v>
      </c>
      <c r="P251" s="9" t="n">
        <v>0.34</v>
      </c>
      <c r="Q251" s="58" t="n">
        <f aca="false">TRIMMEAN(B251:P251,2/COUNT(B251:P251))</f>
        <v>0.0266666666666667</v>
      </c>
    </row>
    <row r="252" customFormat="false" ht="15.75" hidden="false" customHeight="true" outlineLevel="0" collapsed="false">
      <c r="A252" s="59" t="s">
        <v>395</v>
      </c>
      <c r="B252" s="9"/>
      <c r="C252" s="9" t="n">
        <v>0.29</v>
      </c>
      <c r="D252" s="9"/>
      <c r="E252" s="9" t="n">
        <v>0</v>
      </c>
      <c r="F252" s="9" t="n">
        <v>0</v>
      </c>
      <c r="G252" s="9"/>
      <c r="H252" s="9" t="n">
        <v>0.62</v>
      </c>
      <c r="I252" s="9"/>
      <c r="J252" s="9"/>
      <c r="K252" s="9" t="n">
        <v>0.33</v>
      </c>
      <c r="L252" s="9" t="n">
        <v>0</v>
      </c>
      <c r="M252" s="9" t="n">
        <v>0.2</v>
      </c>
      <c r="N252" s="9" t="n">
        <v>0</v>
      </c>
      <c r="O252" s="9"/>
      <c r="P252" s="9" t="n">
        <v>0.69</v>
      </c>
      <c r="Q252" s="58" t="n">
        <f aca="false">TRIMMEAN(B252:P252,2/COUNT(B252:P252))</f>
        <v>0.205714285714286</v>
      </c>
    </row>
    <row r="253" customFormat="false" ht="15.75" hidden="false" customHeight="true" outlineLevel="0" collapsed="false">
      <c r="A253" s="57" t="s">
        <v>396</v>
      </c>
      <c r="B253" s="9" t="n">
        <v>2.22</v>
      </c>
      <c r="C253" s="9" t="n">
        <v>0.88</v>
      </c>
      <c r="D253" s="9" t="n">
        <v>12.4</v>
      </c>
      <c r="E253" s="9"/>
      <c r="F253" s="9" t="n">
        <v>3.27</v>
      </c>
      <c r="G253" s="9" t="n">
        <v>0</v>
      </c>
      <c r="H253" s="9"/>
      <c r="I253" s="9" t="n">
        <v>0</v>
      </c>
      <c r="J253" s="9" t="n">
        <v>0.13</v>
      </c>
      <c r="K253" s="9"/>
      <c r="L253" s="9" t="n">
        <v>0</v>
      </c>
      <c r="M253" s="9" t="n">
        <v>0</v>
      </c>
      <c r="N253" s="9"/>
      <c r="O253" s="9"/>
      <c r="P253" s="9" t="n">
        <v>1.71</v>
      </c>
      <c r="Q253" s="58" t="n">
        <f aca="false">TRIMMEAN(B253:P253,2/COUNT(B253:P253))</f>
        <v>1.02625</v>
      </c>
    </row>
    <row r="254" customFormat="false" ht="15.75" hidden="false" customHeight="true" outlineLevel="0" collapsed="false">
      <c r="A254" s="59" t="s">
        <v>397</v>
      </c>
      <c r="B254" s="9"/>
      <c r="C254" s="9" t="n">
        <v>0.09</v>
      </c>
      <c r="D254" s="9" t="n">
        <v>4.01</v>
      </c>
      <c r="E254" s="9"/>
      <c r="F254" s="9" t="n">
        <v>0.22</v>
      </c>
      <c r="G254" s="9" t="n">
        <v>0.81</v>
      </c>
      <c r="H254" s="9"/>
      <c r="I254" s="9" t="n">
        <v>0</v>
      </c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0.373333333333333</v>
      </c>
    </row>
    <row r="255" customFormat="false" ht="15.75" hidden="false" customHeight="true" outlineLevel="0" collapsed="false">
      <c r="A255" s="57" t="s">
        <v>398</v>
      </c>
      <c r="B255" s="9" t="n">
        <v>0</v>
      </c>
      <c r="C255" s="9"/>
      <c r="D255" s="9" t="n">
        <v>0</v>
      </c>
      <c r="E255" s="9" t="n">
        <v>0</v>
      </c>
      <c r="F255" s="9" t="n">
        <v>1.06</v>
      </c>
      <c r="G255" s="9"/>
      <c r="H255" s="9" t="n">
        <v>0</v>
      </c>
      <c r="I255" s="9"/>
      <c r="J255" s="9"/>
      <c r="K255" s="9"/>
      <c r="L255" s="9" t="n">
        <v>0.9</v>
      </c>
      <c r="M255" s="9" t="n">
        <v>1.41</v>
      </c>
      <c r="N255" s="9" t="n">
        <v>0.28</v>
      </c>
      <c r="O255" s="9" t="n">
        <v>0.47</v>
      </c>
      <c r="P255" s="9" t="n">
        <v>0.99</v>
      </c>
      <c r="Q255" s="58" t="n">
        <f aca="false">TRIMMEAN(B255:P255,2/COUNT(B255:P255))</f>
        <v>0.4625</v>
      </c>
    </row>
    <row r="256" customFormat="false" ht="15.75" hidden="false" customHeight="true" outlineLevel="0" collapsed="false">
      <c r="A256" s="57" t="s">
        <v>399</v>
      </c>
      <c r="B256" s="9" t="n">
        <v>0</v>
      </c>
      <c r="C256" s="9"/>
      <c r="D256" s="9" t="n">
        <v>0</v>
      </c>
      <c r="E256" s="9"/>
      <c r="F256" s="9" t="n">
        <v>0.21</v>
      </c>
      <c r="G256" s="9"/>
      <c r="H256" s="9" t="n">
        <v>0</v>
      </c>
      <c r="I256" s="9"/>
      <c r="J256" s="9"/>
      <c r="K256" s="9" t="n">
        <v>0</v>
      </c>
      <c r="L256" s="9" t="n">
        <v>0</v>
      </c>
      <c r="M256" s="9"/>
      <c r="N256" s="9" t="n">
        <v>0.46</v>
      </c>
      <c r="O256" s="9" t="n">
        <v>0</v>
      </c>
      <c r="P256" s="9" t="n">
        <v>0</v>
      </c>
      <c r="Q256" s="58" t="n">
        <f aca="false">TRIMMEAN(B256:P256,2/COUNT(B256:P256))</f>
        <v>0.03</v>
      </c>
    </row>
    <row r="257" customFormat="false" ht="15.75" hidden="false" customHeight="true" outlineLevel="0" collapsed="false">
      <c r="A257" s="57" t="s">
        <v>400</v>
      </c>
      <c r="B257" s="9"/>
      <c r="C257" s="9" t="n">
        <v>5.06</v>
      </c>
      <c r="D257" s="9" t="n">
        <v>0</v>
      </c>
      <c r="E257" s="9"/>
      <c r="F257" s="9" t="n">
        <v>0.48</v>
      </c>
      <c r="G257" s="9" t="n">
        <v>0.28</v>
      </c>
      <c r="H257" s="9"/>
      <c r="I257" s="9"/>
      <c r="J257" s="9" t="n">
        <v>0.22</v>
      </c>
      <c r="K257" s="9"/>
      <c r="L257" s="9" t="n">
        <v>0</v>
      </c>
      <c r="M257" s="9" t="n">
        <v>0.03</v>
      </c>
      <c r="N257" s="9" t="n">
        <v>0</v>
      </c>
      <c r="O257" s="9" t="n">
        <v>0.47</v>
      </c>
      <c r="P257" s="9" t="n">
        <v>0</v>
      </c>
      <c r="Q257" s="58" t="n">
        <f aca="false">TRIMMEAN(B257:P257,2/COUNT(B257:P257))</f>
        <v>0.185</v>
      </c>
    </row>
    <row r="258" customFormat="false" ht="15.75" hidden="false" customHeight="true" outlineLevel="0" collapsed="false">
      <c r="A258" s="57" t="s">
        <v>401</v>
      </c>
      <c r="B258" s="9" t="n">
        <v>1</v>
      </c>
      <c r="C258" s="9" t="n">
        <v>2.88</v>
      </c>
      <c r="D258" s="9" t="n">
        <v>0</v>
      </c>
      <c r="E258" s="9"/>
      <c r="F258" s="9" t="n">
        <v>1.91</v>
      </c>
      <c r="G258" s="9" t="n">
        <v>1.3</v>
      </c>
      <c r="H258" s="9"/>
      <c r="I258" s="9" t="n">
        <v>0</v>
      </c>
      <c r="J258" s="9" t="n">
        <v>2.38</v>
      </c>
      <c r="K258" s="9"/>
      <c r="L258" s="9" t="n">
        <v>0.39</v>
      </c>
      <c r="M258" s="9" t="n">
        <v>0.67</v>
      </c>
      <c r="N258" s="9"/>
      <c r="O258" s="9" t="n">
        <v>0.03</v>
      </c>
      <c r="P258" s="9"/>
      <c r="Q258" s="58" t="n">
        <f aca="false">TRIMMEAN(B258:P258,2/COUNT(B258:P258))</f>
        <v>0.96</v>
      </c>
    </row>
    <row r="259" customFormat="false" ht="15.75" hidden="false" customHeight="true" outlineLevel="0" collapsed="false">
      <c r="A259" s="59" t="s">
        <v>402</v>
      </c>
      <c r="B259" s="9" t="n">
        <v>0.71</v>
      </c>
      <c r="C259" s="9" t="n">
        <v>0</v>
      </c>
      <c r="D259" s="9" t="n">
        <v>1.48</v>
      </c>
      <c r="E259" s="9" t="n">
        <v>0.47</v>
      </c>
      <c r="F259" s="9"/>
      <c r="G259" s="9" t="n">
        <v>0</v>
      </c>
      <c r="H259" s="9"/>
      <c r="I259" s="9" t="n">
        <v>0</v>
      </c>
      <c r="J259" s="9" t="n">
        <v>0</v>
      </c>
      <c r="K259" s="9" t="n">
        <v>0</v>
      </c>
      <c r="L259" s="9"/>
      <c r="M259" s="9" t="n">
        <v>0</v>
      </c>
      <c r="N259" s="9"/>
      <c r="O259" s="9" t="n">
        <v>0.47</v>
      </c>
      <c r="P259" s="9" t="n">
        <v>0.79</v>
      </c>
      <c r="Q259" s="58" t="n">
        <f aca="false">TRIMMEAN(B259:P259,2/COUNT(B259:P259))</f>
        <v>0.271111111111111</v>
      </c>
    </row>
    <row r="260" customFormat="false" ht="15.75" hidden="false" customHeight="true" outlineLevel="0" collapsed="false">
      <c r="A260" s="59" t="s">
        <v>403</v>
      </c>
      <c r="B260" s="9"/>
      <c r="C260" s="9" t="n">
        <v>0.17</v>
      </c>
      <c r="D260" s="9"/>
      <c r="E260" s="9" t="n">
        <v>0</v>
      </c>
      <c r="F260" s="9" t="n">
        <v>0</v>
      </c>
      <c r="G260" s="9"/>
      <c r="H260" s="9" t="n">
        <v>2.56</v>
      </c>
      <c r="I260" s="9" t="n">
        <v>0</v>
      </c>
      <c r="J260" s="9"/>
      <c r="K260" s="9" t="n">
        <v>0</v>
      </c>
      <c r="L260" s="9" t="n">
        <v>0</v>
      </c>
      <c r="M260" s="9" t="n">
        <v>0</v>
      </c>
      <c r="N260" s="9" t="n">
        <v>0</v>
      </c>
      <c r="O260" s="9" t="n">
        <v>0</v>
      </c>
      <c r="P260" s="9" t="n">
        <v>0</v>
      </c>
      <c r="Q260" s="58" t="n">
        <f aca="false">TRIMMEAN(B260:P260,2/COUNT(B260:P260))</f>
        <v>0.0188888888888889</v>
      </c>
    </row>
    <row r="261" customFormat="false" ht="15.75" hidden="false" customHeight="true" outlineLevel="0" collapsed="false">
      <c r="A261" s="57" t="s">
        <v>404</v>
      </c>
      <c r="B261" s="9" t="n">
        <v>0</v>
      </c>
      <c r="C261" s="9" t="n">
        <v>0</v>
      </c>
      <c r="D261" s="9"/>
      <c r="E261" s="9" t="n">
        <v>3.79</v>
      </c>
      <c r="F261" s="9" t="n">
        <v>0.07</v>
      </c>
      <c r="G261" s="9" t="n">
        <v>0.5</v>
      </c>
      <c r="H261" s="9"/>
      <c r="I261" s="9"/>
      <c r="J261" s="9"/>
      <c r="K261" s="9"/>
      <c r="L261" s="9" t="n">
        <v>0</v>
      </c>
      <c r="M261" s="9"/>
      <c r="N261" s="9"/>
      <c r="O261" s="9"/>
      <c r="P261" s="9"/>
      <c r="Q261" s="58" t="n">
        <f aca="false">TRIMMEAN(B261:P261,2/COUNT(B261:P261))</f>
        <v>0.1425</v>
      </c>
    </row>
    <row r="262" customFormat="false" ht="15.75" hidden="false" customHeight="true" outlineLevel="0" collapsed="false">
      <c r="A262" s="57" t="s">
        <v>405</v>
      </c>
      <c r="B262" s="9" t="n">
        <v>0.71</v>
      </c>
      <c r="C262" s="9" t="n">
        <v>0</v>
      </c>
      <c r="D262" s="9" t="n">
        <v>0</v>
      </c>
      <c r="E262" s="9"/>
      <c r="F262" s="9" t="n">
        <v>0.21</v>
      </c>
      <c r="G262" s="9" t="n">
        <v>0</v>
      </c>
      <c r="H262" s="9"/>
      <c r="I262" s="9" t="n">
        <v>3.81</v>
      </c>
      <c r="J262" s="9" t="n">
        <v>0</v>
      </c>
      <c r="K262" s="9"/>
      <c r="L262" s="9" t="n">
        <v>0</v>
      </c>
      <c r="M262" s="9" t="n">
        <v>0</v>
      </c>
      <c r="N262" s="9" t="n">
        <v>0</v>
      </c>
      <c r="O262" s="9" t="n">
        <v>0</v>
      </c>
      <c r="P262" s="9" t="n">
        <v>0</v>
      </c>
      <c r="Q262" s="58" t="n">
        <f aca="false">TRIMMEAN(B262:P262,2/COUNT(B262:P262))</f>
        <v>0.092</v>
      </c>
    </row>
    <row r="263" customFormat="false" ht="15.75" hidden="false" customHeight="true" outlineLevel="0" collapsed="false">
      <c r="A263" s="57" t="s">
        <v>406</v>
      </c>
      <c r="B263" s="9" t="n">
        <v>3.37</v>
      </c>
      <c r="C263" s="9" t="n">
        <v>0</v>
      </c>
      <c r="D263" s="9" t="n">
        <v>0</v>
      </c>
      <c r="E263" s="9"/>
      <c r="F263" s="9"/>
      <c r="G263" s="9" t="n">
        <v>0.22</v>
      </c>
      <c r="H263" s="9"/>
      <c r="I263" s="9" t="n">
        <v>0</v>
      </c>
      <c r="J263" s="9" t="n">
        <v>0</v>
      </c>
      <c r="K263" s="9"/>
      <c r="L263" s="9" t="n">
        <v>0</v>
      </c>
      <c r="M263" s="9" t="n">
        <v>0</v>
      </c>
      <c r="N263" s="9"/>
      <c r="O263" s="9"/>
      <c r="P263" s="9" t="n">
        <v>0</v>
      </c>
      <c r="Q263" s="58" t="n">
        <f aca="false">TRIMMEAN(B263:P263,2/COUNT(B263:P263))</f>
        <v>0.0314285714285714</v>
      </c>
    </row>
    <row r="264" customFormat="false" ht="15.75" hidden="false" customHeight="true" outlineLevel="0" collapsed="false">
      <c r="A264" s="59" t="s">
        <v>407</v>
      </c>
      <c r="B264" s="9"/>
      <c r="C264" s="9" t="n">
        <v>0</v>
      </c>
      <c r="D264" s="9"/>
      <c r="E264" s="9" t="n">
        <v>0</v>
      </c>
      <c r="F264" s="9" t="n">
        <v>0.21</v>
      </c>
      <c r="G264" s="9"/>
      <c r="H264" s="9"/>
      <c r="I264" s="9"/>
      <c r="J264" s="9"/>
      <c r="K264" s="9" t="n">
        <v>0</v>
      </c>
      <c r="L264" s="9" t="n">
        <v>0.16</v>
      </c>
      <c r="M264" s="9"/>
      <c r="N264" s="9" t="n">
        <v>0.46</v>
      </c>
      <c r="O264" s="9" t="n">
        <v>0</v>
      </c>
      <c r="P264" s="9" t="n">
        <v>0.34</v>
      </c>
      <c r="Q264" s="58" t="n">
        <f aca="false">TRIMMEAN(B264:P264,2/COUNT(B264:P264))</f>
        <v>0.118333333333333</v>
      </c>
    </row>
    <row r="265" customFormat="false" ht="15.75" hidden="false" customHeight="true" outlineLevel="0" collapsed="false">
      <c r="A265" s="57" t="s">
        <v>408</v>
      </c>
      <c r="B265" s="9"/>
      <c r="C265" s="9" t="n">
        <v>0</v>
      </c>
      <c r="D265" s="9"/>
      <c r="E265" s="9"/>
      <c r="F265" s="9"/>
      <c r="G265" s="9"/>
      <c r="H265" s="9"/>
      <c r="I265" s="9"/>
      <c r="J265" s="9" t="n">
        <v>0</v>
      </c>
      <c r="K265" s="9" t="n">
        <v>0</v>
      </c>
      <c r="L265" s="9" t="n">
        <v>0</v>
      </c>
      <c r="M265" s="9"/>
      <c r="N265" s="9"/>
      <c r="O265" s="9"/>
      <c r="P265" s="9"/>
      <c r="Q265" s="58" t="n">
        <f aca="false">TRIMMEAN(B265:P265,2/COUNT(B265:P265))</f>
        <v>0</v>
      </c>
    </row>
    <row r="266" customFormat="false" ht="15.75" hidden="false" customHeight="true" outlineLevel="0" collapsed="false">
      <c r="A266" s="59" t="s">
        <v>409</v>
      </c>
      <c r="B266" s="9"/>
      <c r="C266" s="9" t="n">
        <v>0.39</v>
      </c>
      <c r="D266" s="9"/>
      <c r="E266" s="9" t="n">
        <v>2.46</v>
      </c>
      <c r="F266" s="9" t="n">
        <v>0</v>
      </c>
      <c r="G266" s="9"/>
      <c r="H266" s="9" t="n">
        <v>2.56</v>
      </c>
      <c r="I266" s="9" t="n">
        <v>0</v>
      </c>
      <c r="J266" s="9" t="n">
        <v>0.35</v>
      </c>
      <c r="K266" s="9" t="n">
        <v>1.61</v>
      </c>
      <c r="L266" s="9"/>
      <c r="M266" s="9" t="n">
        <v>0.89</v>
      </c>
      <c r="N266" s="9" t="n">
        <v>0</v>
      </c>
      <c r="O266" s="9" t="n">
        <v>0.03</v>
      </c>
      <c r="P266" s="9" t="n">
        <v>0.69</v>
      </c>
      <c r="Q266" s="58" t="n">
        <f aca="false">TRIMMEAN(B266:P266,2/COUNT(B266:P266))</f>
        <v>0.713333333333333</v>
      </c>
    </row>
    <row r="267" customFormat="false" ht="15.75" hidden="false" customHeight="true" outlineLevel="0" collapsed="false">
      <c r="A267" s="57" t="s">
        <v>410</v>
      </c>
      <c r="B267" s="9" t="n">
        <v>0</v>
      </c>
      <c r="C267" s="9"/>
      <c r="D267" s="9" t="n">
        <v>0</v>
      </c>
      <c r="E267" s="9" t="n">
        <v>0.08</v>
      </c>
      <c r="F267" s="9"/>
      <c r="G267" s="9" t="n">
        <v>0</v>
      </c>
      <c r="H267" s="9"/>
      <c r="I267" s="9"/>
      <c r="J267" s="9" t="n">
        <v>0.24</v>
      </c>
      <c r="K267" s="9" t="n">
        <v>0.16</v>
      </c>
      <c r="L267" s="9" t="n">
        <v>0.6</v>
      </c>
      <c r="M267" s="9" t="n">
        <v>0</v>
      </c>
      <c r="N267" s="9"/>
      <c r="O267" s="9"/>
      <c r="P267" s="9"/>
      <c r="Q267" s="58" t="n">
        <f aca="false">TRIMMEAN(B267:P267,2/COUNT(B267:P267))</f>
        <v>0.08</v>
      </c>
    </row>
    <row r="268" customFormat="false" ht="15.75" hidden="false" customHeight="true" outlineLevel="0" collapsed="false">
      <c r="A268" s="59" t="s">
        <v>411</v>
      </c>
      <c r="B268" s="9"/>
      <c r="C268" s="9" t="n">
        <v>0.1</v>
      </c>
      <c r="D268" s="9"/>
      <c r="E268" s="9" t="n">
        <v>0</v>
      </c>
      <c r="F268" s="9" t="n">
        <v>0</v>
      </c>
      <c r="G268" s="9"/>
      <c r="H268" s="9" t="n">
        <v>0</v>
      </c>
      <c r="I268" s="9"/>
      <c r="J268" s="9"/>
      <c r="K268" s="9" t="n">
        <v>0</v>
      </c>
      <c r="L268" s="9" t="n">
        <v>0</v>
      </c>
      <c r="M268" s="9" t="n">
        <v>0</v>
      </c>
      <c r="N268" s="9" t="n">
        <v>0</v>
      </c>
      <c r="O268" s="9" t="n">
        <v>0</v>
      </c>
      <c r="P268" s="9" t="n">
        <v>0</v>
      </c>
      <c r="Q268" s="58" t="n">
        <f aca="false">TRIMMEAN(B268:P268,2/COUNT(B268:P268))</f>
        <v>0</v>
      </c>
    </row>
    <row r="269" customFormat="false" ht="15.75" hidden="false" customHeight="true" outlineLevel="0" collapsed="false">
      <c r="A269" s="57" t="s">
        <v>412</v>
      </c>
      <c r="B269" s="9"/>
      <c r="C269" s="9" t="n">
        <v>0</v>
      </c>
      <c r="D269" s="9"/>
      <c r="E269" s="9" t="n">
        <v>1.02</v>
      </c>
      <c r="F269" s="9"/>
      <c r="G269" s="9"/>
      <c r="H269" s="9" t="n">
        <v>2.56</v>
      </c>
      <c r="I269" s="9"/>
      <c r="J269" s="9"/>
      <c r="K269" s="9"/>
      <c r="L269" s="9" t="n">
        <v>0</v>
      </c>
      <c r="M269" s="9" t="n">
        <v>0</v>
      </c>
      <c r="N269" s="9" t="n">
        <v>0.24</v>
      </c>
      <c r="O269" s="9" t="n">
        <v>0</v>
      </c>
      <c r="P269" s="9" t="n">
        <v>0</v>
      </c>
      <c r="Q269" s="58" t="n">
        <f aca="false">TRIMMEAN(B269:P269,2/COUNT(B269:P269))</f>
        <v>0.21</v>
      </c>
    </row>
    <row r="270" customFormat="false" ht="15.75" hidden="false" customHeight="true" outlineLevel="0" collapsed="false">
      <c r="A270" s="57" t="s">
        <v>413</v>
      </c>
      <c r="B270" s="9" t="n">
        <v>0</v>
      </c>
      <c r="C270" s="9"/>
      <c r="D270" s="9"/>
      <c r="E270" s="9" t="n">
        <v>0</v>
      </c>
      <c r="F270" s="9" t="n">
        <v>0</v>
      </c>
      <c r="G270" s="9" t="n">
        <v>0</v>
      </c>
      <c r="H270" s="9"/>
      <c r="I270" s="9"/>
      <c r="J270" s="9" t="n">
        <v>0</v>
      </c>
      <c r="K270" s="9" t="n">
        <v>0</v>
      </c>
      <c r="L270" s="9" t="n">
        <v>0</v>
      </c>
      <c r="M270" s="9"/>
      <c r="N270" s="9"/>
      <c r="O270" s="9"/>
      <c r="P270" s="9"/>
      <c r="Q270" s="58" t="n">
        <f aca="false">TRIMMEAN(B270:P270,2/COUNT(B270:P270))</f>
        <v>0</v>
      </c>
    </row>
    <row r="271" customFormat="false" ht="15.75" hidden="false" customHeight="true" outlineLevel="0" collapsed="false">
      <c r="A271" s="57" t="s">
        <v>414</v>
      </c>
      <c r="B271" s="9" t="n">
        <v>1.51</v>
      </c>
      <c r="C271" s="9" t="n">
        <v>1.07</v>
      </c>
      <c r="D271" s="9" t="n">
        <v>1.01</v>
      </c>
      <c r="E271" s="9"/>
      <c r="F271" s="9"/>
      <c r="G271" s="9" t="n">
        <v>0.18</v>
      </c>
      <c r="H271" s="9" t="n">
        <v>0</v>
      </c>
      <c r="I271" s="9" t="n">
        <v>0</v>
      </c>
      <c r="J271" s="9" t="n">
        <v>0.52</v>
      </c>
      <c r="K271" s="9"/>
      <c r="L271" s="9" t="n">
        <v>0.73</v>
      </c>
      <c r="M271" s="9" t="n">
        <v>0</v>
      </c>
      <c r="N271" s="9"/>
      <c r="O271" s="9" t="n">
        <v>0</v>
      </c>
      <c r="P271" s="9" t="n">
        <v>0</v>
      </c>
      <c r="Q271" s="58" t="n">
        <f aca="false">TRIMMEAN(B271:P271,2/COUNT(B271:P271))</f>
        <v>0.39</v>
      </c>
    </row>
    <row r="272" customFormat="false" ht="15.75" hidden="false" customHeight="true" outlineLevel="0" collapsed="false">
      <c r="A272" s="57" t="s">
        <v>415</v>
      </c>
      <c r="B272" s="9" t="n">
        <v>0.3</v>
      </c>
      <c r="C272" s="9" t="n">
        <v>0</v>
      </c>
      <c r="D272" s="9" t="n">
        <v>0</v>
      </c>
      <c r="E272" s="9"/>
      <c r="F272" s="9" t="n">
        <v>0</v>
      </c>
      <c r="G272" s="9" t="n">
        <v>0.37</v>
      </c>
      <c r="H272" s="9" t="n">
        <v>0.27</v>
      </c>
      <c r="I272" s="9" t="n">
        <v>2.41</v>
      </c>
      <c r="J272" s="9" t="n">
        <v>0</v>
      </c>
      <c r="K272" s="9"/>
      <c r="L272" s="9" t="n">
        <v>0</v>
      </c>
      <c r="M272" s="9" t="n">
        <v>0</v>
      </c>
      <c r="N272" s="9"/>
      <c r="O272" s="9"/>
      <c r="P272" s="9" t="n">
        <v>0.11</v>
      </c>
      <c r="Q272" s="58" t="n">
        <f aca="false">TRIMMEAN(B272:P272,2/COUNT(B272:P272))</f>
        <v>0.116666666666667</v>
      </c>
    </row>
    <row r="273" customFormat="false" ht="15.75" hidden="false" customHeight="true" outlineLevel="0" collapsed="false">
      <c r="A273" s="57" t="s">
        <v>416</v>
      </c>
      <c r="B273" s="9" t="n">
        <v>0.48</v>
      </c>
      <c r="C273" s="9" t="n">
        <v>1.26</v>
      </c>
      <c r="D273" s="9" t="n">
        <v>6.41</v>
      </c>
      <c r="E273" s="9"/>
      <c r="F273" s="9" t="n">
        <v>1.06</v>
      </c>
      <c r="G273" s="9" t="n">
        <v>0.82</v>
      </c>
      <c r="H273" s="9"/>
      <c r="I273" s="9" t="n">
        <v>1.68</v>
      </c>
      <c r="J273" s="9" t="n">
        <v>0.98</v>
      </c>
      <c r="K273" s="9"/>
      <c r="L273" s="9" t="n">
        <v>0.18</v>
      </c>
      <c r="M273" s="9" t="n">
        <v>0</v>
      </c>
      <c r="N273" s="9"/>
      <c r="O273" s="9"/>
      <c r="P273" s="9" t="n">
        <v>0.99</v>
      </c>
      <c r="Q273" s="58" t="n">
        <f aca="false">TRIMMEAN(B273:P273,2/COUNT(B273:P273))</f>
        <v>0.93125</v>
      </c>
    </row>
    <row r="274" customFormat="false" ht="15.75" hidden="false" customHeight="true" outlineLevel="0" collapsed="false">
      <c r="A274" s="59" t="s">
        <v>417</v>
      </c>
      <c r="B274" s="9"/>
      <c r="C274" s="9" t="n">
        <v>0.57</v>
      </c>
      <c r="D274" s="9"/>
      <c r="E274" s="9" t="n">
        <v>0</v>
      </c>
      <c r="F274" s="9" t="n">
        <v>0.35</v>
      </c>
      <c r="G274" s="9"/>
      <c r="H274" s="9" t="n">
        <v>0.27</v>
      </c>
      <c r="I274" s="9" t="n">
        <v>0</v>
      </c>
      <c r="J274" s="9"/>
      <c r="K274" s="9" t="n">
        <v>0.42</v>
      </c>
      <c r="L274" s="9" t="n">
        <v>0</v>
      </c>
      <c r="M274" s="9"/>
      <c r="N274" s="9" t="n">
        <v>1.6</v>
      </c>
      <c r="O274" s="9" t="n">
        <v>1.56</v>
      </c>
      <c r="P274" s="9" t="n">
        <v>0.99</v>
      </c>
      <c r="Q274" s="58" t="n">
        <f aca="false">TRIMMEAN(B274:P274,2/COUNT(B274:P274))</f>
        <v>0.52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 t="n">
        <v>0</v>
      </c>
      <c r="E275" s="9" t="n">
        <v>0</v>
      </c>
      <c r="F275" s="9" t="n">
        <v>0.92</v>
      </c>
      <c r="G275" s="9"/>
      <c r="H275" s="9" t="n">
        <v>0</v>
      </c>
      <c r="I275" s="9"/>
      <c r="J275" s="9"/>
      <c r="K275" s="9" t="n">
        <v>0</v>
      </c>
      <c r="L275" s="9" t="n">
        <v>2.77</v>
      </c>
      <c r="M275" s="9" t="n">
        <v>0.67</v>
      </c>
      <c r="N275" s="9"/>
      <c r="O275" s="9" t="n">
        <v>11.92</v>
      </c>
      <c r="P275" s="9"/>
      <c r="Q275" s="58" t="n">
        <f aca="false">TRIMMEAN(B275:P275,2/COUNT(B275:P275))</f>
        <v>0.726666666666667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 t="n">
        <v>0</v>
      </c>
      <c r="D277" s="9"/>
      <c r="E277" s="9"/>
      <c r="F277" s="9"/>
      <c r="G277" s="9"/>
      <c r="H277" s="9"/>
      <c r="I277" s="9"/>
      <c r="J277" s="9"/>
      <c r="K277" s="9" t="n">
        <v>0</v>
      </c>
      <c r="L277" s="9" t="n">
        <v>0</v>
      </c>
      <c r="M277" s="9"/>
      <c r="N277" s="9"/>
      <c r="O277" s="9" t="n">
        <v>0</v>
      </c>
      <c r="P277" s="9"/>
      <c r="Q277" s="58" t="n">
        <f aca="false">TRIMMEAN(B277:P277,2/COUNT(B277:P277))</f>
        <v>0</v>
      </c>
    </row>
    <row r="278" customFormat="false" ht="15.75" hidden="false" customHeight="true" outlineLevel="0" collapsed="false">
      <c r="A278" s="59" t="s">
        <v>421</v>
      </c>
      <c r="B278" s="9"/>
      <c r="C278" s="9" t="n">
        <v>0</v>
      </c>
      <c r="D278" s="9"/>
      <c r="E278" s="9" t="n">
        <v>0</v>
      </c>
      <c r="F278" s="9" t="n">
        <v>0</v>
      </c>
      <c r="G278" s="9"/>
      <c r="H278" s="9" t="n">
        <v>0.32</v>
      </c>
      <c r="I278" s="9" t="n">
        <v>0</v>
      </c>
      <c r="J278" s="9"/>
      <c r="K278" s="9" t="n">
        <v>0</v>
      </c>
      <c r="L278" s="9" t="n">
        <v>0.23</v>
      </c>
      <c r="M278" s="9" t="n">
        <v>0</v>
      </c>
      <c r="N278" s="9" t="n">
        <v>0</v>
      </c>
      <c r="O278" s="9" t="n">
        <v>0</v>
      </c>
      <c r="P278" s="9" t="n">
        <v>0</v>
      </c>
      <c r="Q278" s="58" t="n">
        <f aca="false">TRIMMEAN(B278:P278,2/COUNT(B278:P278))</f>
        <v>0.0255555555555556</v>
      </c>
    </row>
    <row r="279" customFormat="false" ht="15.75" hidden="false" customHeight="true" outlineLevel="0" collapsed="false">
      <c r="A279" s="59" t="s">
        <v>422</v>
      </c>
      <c r="B279" s="9"/>
      <c r="C279" s="9" t="n">
        <v>0</v>
      </c>
      <c r="D279" s="9" t="n">
        <v>0</v>
      </c>
      <c r="E279" s="9"/>
      <c r="F279" s="9"/>
      <c r="G279" s="9"/>
      <c r="H279" s="9"/>
      <c r="I279" s="9"/>
      <c r="J279" s="9"/>
      <c r="K279" s="9"/>
      <c r="L279" s="9"/>
      <c r="M279" s="9" t="n">
        <v>0</v>
      </c>
      <c r="N279" s="9"/>
      <c r="O279" s="9"/>
      <c r="P279" s="9"/>
      <c r="Q279" s="58" t="n">
        <f aca="false">TRIMMEAN(B279:P279,2/COUNT(B279:P279))</f>
        <v>0</v>
      </c>
    </row>
    <row r="280" customFormat="false" ht="15.75" hidden="false" customHeight="true" outlineLevel="0" collapsed="false">
      <c r="A280" s="57" t="s">
        <v>423</v>
      </c>
      <c r="B280" s="9" t="n">
        <v>1.19</v>
      </c>
      <c r="C280" s="9" t="n">
        <v>0</v>
      </c>
      <c r="D280" s="9"/>
      <c r="E280" s="9" t="n">
        <v>0.44</v>
      </c>
      <c r="F280" s="9" t="n">
        <v>0.13</v>
      </c>
      <c r="G280" s="9" t="n">
        <v>0</v>
      </c>
      <c r="H280" s="9"/>
      <c r="I280" s="9"/>
      <c r="J280" s="9" t="n">
        <v>0</v>
      </c>
      <c r="K280" s="9" t="n">
        <v>0</v>
      </c>
      <c r="L280" s="9" t="n">
        <v>0.39</v>
      </c>
      <c r="M280" s="9"/>
      <c r="N280" s="9"/>
      <c r="O280" s="9"/>
      <c r="P280" s="9"/>
      <c r="Q280" s="58" t="n">
        <f aca="false">TRIMMEAN(B280:P280,2/COUNT(B280:P280))</f>
        <v>0.16</v>
      </c>
    </row>
    <row r="281" customFormat="false" ht="15.75" hidden="false" customHeight="true" outlineLevel="0" collapsed="false">
      <c r="A281" s="57" t="s">
        <v>424</v>
      </c>
      <c r="B281" s="9"/>
      <c r="C281" s="9" t="n">
        <v>0.17</v>
      </c>
      <c r="D281" s="9"/>
      <c r="E281" s="9" t="n">
        <v>0.47</v>
      </c>
      <c r="F281" s="9" t="n">
        <v>0</v>
      </c>
      <c r="G281" s="9"/>
      <c r="H281" s="9" t="n">
        <v>0.62</v>
      </c>
      <c r="I281" s="9"/>
      <c r="J281" s="9"/>
      <c r="K281" s="9" t="n">
        <v>0.42</v>
      </c>
      <c r="L281" s="9" t="n">
        <v>0</v>
      </c>
      <c r="M281" s="9"/>
      <c r="N281" s="9" t="n">
        <v>0</v>
      </c>
      <c r="O281" s="9" t="n">
        <v>0</v>
      </c>
      <c r="P281" s="9" t="n">
        <v>0</v>
      </c>
      <c r="Q281" s="58" t="n">
        <f aca="false">TRIMMEAN(B281:P281,2/COUNT(B281:P281))</f>
        <v>0.151428571428571</v>
      </c>
    </row>
    <row r="282" customFormat="false" ht="15.75" hidden="false" customHeight="true" outlineLevel="0" collapsed="false">
      <c r="A282" s="59" t="s">
        <v>425</v>
      </c>
      <c r="B282" s="9"/>
      <c r="C282" s="9" t="n">
        <v>0</v>
      </c>
      <c r="D282" s="9"/>
      <c r="E282" s="9" t="n">
        <v>0</v>
      </c>
      <c r="F282" s="9" t="n">
        <v>0</v>
      </c>
      <c r="G282" s="9"/>
      <c r="H282" s="9" t="n">
        <v>0</v>
      </c>
      <c r="I282" s="9"/>
      <c r="J282" s="9"/>
      <c r="K282" s="9" t="n">
        <v>0</v>
      </c>
      <c r="L282" s="9" t="n">
        <v>0</v>
      </c>
      <c r="M282" s="9" t="n">
        <v>0.2</v>
      </c>
      <c r="N282" s="9" t="n">
        <v>0.28</v>
      </c>
      <c r="O282" s="9" t="n">
        <v>0</v>
      </c>
      <c r="P282" s="9" t="n">
        <v>0</v>
      </c>
      <c r="Q282" s="58" t="n">
        <f aca="false">TRIMMEAN(B282:P282,2/COUNT(B282:P282))</f>
        <v>0.025</v>
      </c>
    </row>
    <row r="283" customFormat="false" ht="15.75" hidden="false" customHeight="true" outlineLevel="0" collapsed="false">
      <c r="A283" s="57" t="s">
        <v>426</v>
      </c>
      <c r="B283" s="9" t="n">
        <v>0</v>
      </c>
      <c r="C283" s="9" t="n">
        <v>0</v>
      </c>
      <c r="D283" s="9"/>
      <c r="E283" s="9"/>
      <c r="F283" s="9" t="n">
        <v>0</v>
      </c>
      <c r="G283" s="9" t="n">
        <v>0</v>
      </c>
      <c r="H283" s="9"/>
      <c r="I283" s="9"/>
      <c r="J283" s="9" t="n">
        <v>0</v>
      </c>
      <c r="K283" s="9" t="n">
        <v>0</v>
      </c>
      <c r="L283" s="9" t="n">
        <v>0</v>
      </c>
      <c r="M283" s="9" t="n">
        <v>0.25</v>
      </c>
      <c r="N283" s="9"/>
      <c r="O283" s="9"/>
      <c r="P283" s="9"/>
      <c r="Q283" s="58" t="n">
        <f aca="false">TRIMMEAN(B283:P283,2/COUNT(B283:P283))</f>
        <v>0</v>
      </c>
    </row>
    <row r="284" customFormat="false" ht="15.75" hidden="false" customHeight="true" outlineLevel="0" collapsed="false">
      <c r="A284" s="59" t="s">
        <v>427</v>
      </c>
      <c r="B284" s="9" t="n">
        <v>0</v>
      </c>
      <c r="C284" s="9" t="n">
        <v>0</v>
      </c>
      <c r="D284" s="9" t="n">
        <v>0.38</v>
      </c>
      <c r="E284" s="9" t="n">
        <v>0</v>
      </c>
      <c r="F284" s="9"/>
      <c r="G284" s="9" t="n">
        <v>0</v>
      </c>
      <c r="H284" s="9" t="n">
        <v>0</v>
      </c>
      <c r="I284" s="9"/>
      <c r="J284" s="9" t="n">
        <v>0</v>
      </c>
      <c r="K284" s="9" t="n">
        <v>0</v>
      </c>
      <c r="L284" s="9"/>
      <c r="M284" s="9"/>
      <c r="N284" s="9"/>
      <c r="O284" s="9"/>
      <c r="P284" s="9"/>
      <c r="Q284" s="58" t="n">
        <f aca="false">TRIMMEAN(B284:P284,2/COUNT(B284:P284))</f>
        <v>0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0</v>
      </c>
      <c r="D286" s="9"/>
      <c r="E286" s="9" t="n">
        <v>0</v>
      </c>
      <c r="F286" s="9" t="n">
        <v>0</v>
      </c>
      <c r="G286" s="9"/>
      <c r="H286" s="9" t="n">
        <v>0</v>
      </c>
      <c r="I286" s="9"/>
      <c r="J286" s="9"/>
      <c r="K286" s="9" t="n">
        <v>0</v>
      </c>
      <c r="L286" s="9"/>
      <c r="M286" s="9"/>
      <c r="N286" s="9"/>
      <c r="O286" s="9"/>
      <c r="P286" s="9"/>
      <c r="Q286" s="58" t="n">
        <f aca="false">TRIMMEAN(B286:P286,2/COUNT(B286:P286))</f>
        <v>0</v>
      </c>
    </row>
    <row r="287" customFormat="false" ht="15.75" hidden="false" customHeight="true" outlineLevel="0" collapsed="false">
      <c r="A287" s="57" t="s">
        <v>430</v>
      </c>
      <c r="B287" s="9"/>
      <c r="C287" s="9" t="n">
        <v>0.29</v>
      </c>
      <c r="D287" s="9"/>
      <c r="E287" s="9" t="n">
        <v>0</v>
      </c>
      <c r="F287" s="9" t="n">
        <v>0</v>
      </c>
      <c r="G287" s="9"/>
      <c r="H287" s="9" t="n">
        <v>0</v>
      </c>
      <c r="I287" s="9"/>
      <c r="J287" s="9"/>
      <c r="K287" s="9" t="n">
        <v>0.27</v>
      </c>
      <c r="L287" s="9" t="n">
        <v>0.6</v>
      </c>
      <c r="M287" s="9"/>
      <c r="N287" s="9" t="n">
        <v>0</v>
      </c>
      <c r="O287" s="9" t="n">
        <v>0</v>
      </c>
      <c r="P287" s="9" t="n">
        <v>0</v>
      </c>
      <c r="Q287" s="58" t="n">
        <f aca="false">TRIMMEAN(B287:P287,2/COUNT(B287:P287))</f>
        <v>0.08</v>
      </c>
    </row>
    <row r="288" customFormat="false" ht="15.75" hidden="false" customHeight="true" outlineLevel="0" collapsed="false">
      <c r="A288" s="59" t="s">
        <v>431</v>
      </c>
      <c r="B288" s="9"/>
      <c r="C288" s="9" t="n">
        <v>0.1</v>
      </c>
      <c r="D288" s="9"/>
      <c r="E288" s="9" t="n">
        <v>0.24</v>
      </c>
      <c r="F288" s="9" t="n">
        <v>0</v>
      </c>
      <c r="G288" s="9"/>
      <c r="H288" s="9" t="n">
        <v>0</v>
      </c>
      <c r="I288" s="9"/>
      <c r="J288" s="9"/>
      <c r="K288" s="9" t="n">
        <v>0</v>
      </c>
      <c r="L288" s="9" t="n">
        <v>0</v>
      </c>
      <c r="M288" s="9" t="n">
        <v>0.03</v>
      </c>
      <c r="N288" s="9" t="n">
        <v>0</v>
      </c>
      <c r="O288" s="9"/>
      <c r="P288" s="9" t="n">
        <v>0</v>
      </c>
      <c r="Q288" s="58" t="n">
        <f aca="false">TRIMMEAN(B288:P288,2/COUNT(B288:P288))</f>
        <v>0.0185714285714286</v>
      </c>
    </row>
    <row r="289" customFormat="false" ht="15.75" hidden="false" customHeight="true" outlineLevel="0" collapsed="false">
      <c r="A289" s="57" t="s">
        <v>432</v>
      </c>
      <c r="B289" s="9" t="n">
        <v>0</v>
      </c>
      <c r="C289" s="9" t="n">
        <v>0</v>
      </c>
      <c r="D289" s="9"/>
      <c r="E289" s="9" t="n">
        <v>0</v>
      </c>
      <c r="F289" s="9" t="n">
        <v>0</v>
      </c>
      <c r="G289" s="9" t="n">
        <v>0</v>
      </c>
      <c r="H289" s="9"/>
      <c r="I289" s="9"/>
      <c r="J289" s="9" t="n">
        <v>0.7</v>
      </c>
      <c r="K289" s="9" t="n">
        <v>0.29</v>
      </c>
      <c r="L289" s="9" t="n">
        <v>0</v>
      </c>
      <c r="M289" s="9" t="n">
        <v>0.17</v>
      </c>
      <c r="N289" s="9"/>
      <c r="O289" s="9"/>
      <c r="P289" s="9"/>
      <c r="Q289" s="58" t="n">
        <f aca="false">TRIMMEAN(B289:P289,2/COUNT(B289:P289))</f>
        <v>0.0657142857142857</v>
      </c>
    </row>
    <row r="290" customFormat="false" ht="15.75" hidden="false" customHeight="true" outlineLevel="0" collapsed="false">
      <c r="A290" s="59" t="s">
        <v>433</v>
      </c>
      <c r="B290" s="9"/>
      <c r="C290" s="9" t="n">
        <v>0.17</v>
      </c>
      <c r="D290" s="9"/>
      <c r="E290" s="9" t="n">
        <v>0</v>
      </c>
      <c r="F290" s="9" t="n">
        <v>0</v>
      </c>
      <c r="G290" s="9"/>
      <c r="H290" s="9" t="n">
        <v>0</v>
      </c>
      <c r="I290" s="9"/>
      <c r="J290" s="9"/>
      <c r="K290" s="9" t="n">
        <v>0</v>
      </c>
      <c r="L290" s="9" t="n">
        <v>0.16</v>
      </c>
      <c r="M290" s="9" t="n">
        <v>0</v>
      </c>
      <c r="N290" s="9" t="n">
        <v>0</v>
      </c>
      <c r="O290" s="9" t="n">
        <v>0</v>
      </c>
      <c r="P290" s="9" t="n">
        <v>0</v>
      </c>
      <c r="Q290" s="58" t="n">
        <f aca="false">TRIMMEAN(B290:P290,2/COUNT(B290:P290))</f>
        <v>0.02</v>
      </c>
    </row>
    <row r="291" customFormat="false" ht="15.75" hidden="false" customHeight="true" outlineLevel="0" collapsed="false">
      <c r="A291" s="57" t="s">
        <v>434</v>
      </c>
      <c r="B291" s="9" t="n">
        <v>0.48</v>
      </c>
      <c r="C291" s="9" t="n">
        <v>0.2</v>
      </c>
      <c r="D291" s="9" t="n">
        <v>0.38</v>
      </c>
      <c r="E291" s="9"/>
      <c r="F291" s="9"/>
      <c r="G291" s="9"/>
      <c r="H291" s="9" t="n">
        <v>0</v>
      </c>
      <c r="I291" s="9"/>
      <c r="J291" s="9"/>
      <c r="K291" s="9" t="n">
        <v>0.33</v>
      </c>
      <c r="L291" s="9" t="n">
        <v>0</v>
      </c>
      <c r="M291" s="9" t="n">
        <v>0.67</v>
      </c>
      <c r="N291" s="9"/>
      <c r="O291" s="9" t="n">
        <v>2.65</v>
      </c>
      <c r="P291" s="9" t="n">
        <v>1.71</v>
      </c>
      <c r="Q291" s="58" t="n">
        <f aca="false">TRIMMEAN(B291:P291,2/COUNT(B291:P291))</f>
        <v>0.538571428571429</v>
      </c>
    </row>
    <row r="292" customFormat="false" ht="15.75" hidden="false" customHeight="true" outlineLevel="0" collapsed="false">
      <c r="A292" s="57" t="s">
        <v>435</v>
      </c>
      <c r="B292" s="9" t="n">
        <v>0</v>
      </c>
      <c r="C292" s="9" t="n">
        <v>0.42</v>
      </c>
      <c r="D292" s="9"/>
      <c r="E292" s="9" t="n">
        <v>0.18</v>
      </c>
      <c r="F292" s="9"/>
      <c r="G292" s="9" t="n">
        <v>0.05</v>
      </c>
      <c r="H292" s="9"/>
      <c r="I292" s="9"/>
      <c r="J292" s="9"/>
      <c r="K292" s="9" t="n">
        <v>0.18</v>
      </c>
      <c r="L292" s="9" t="n">
        <v>0</v>
      </c>
      <c r="M292" s="9" t="n">
        <v>0</v>
      </c>
      <c r="N292" s="9"/>
      <c r="O292" s="9"/>
      <c r="P292" s="9"/>
      <c r="Q292" s="58" t="n">
        <f aca="false">TRIMMEAN(B292:P292,2/COUNT(B292:P292))</f>
        <v>0.082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0</v>
      </c>
      <c r="D294" s="9"/>
      <c r="E294" s="9" t="n">
        <v>0</v>
      </c>
      <c r="F294" s="9" t="n">
        <v>0</v>
      </c>
      <c r="G294" s="9"/>
      <c r="H294" s="9" t="n">
        <v>0</v>
      </c>
      <c r="I294" s="9"/>
      <c r="J294" s="9"/>
      <c r="K294" s="9" t="n">
        <v>0</v>
      </c>
      <c r="L294" s="9" t="n">
        <v>0</v>
      </c>
      <c r="M294" s="9" t="n">
        <v>0</v>
      </c>
      <c r="N294" s="9" t="n">
        <v>0.33</v>
      </c>
      <c r="O294" s="9" t="n">
        <v>0</v>
      </c>
      <c r="P294" s="9" t="n">
        <v>0</v>
      </c>
      <c r="Q294" s="58" t="n">
        <f aca="false">TRIMMEAN(B294:P294,2/COUNT(B294:P294))</f>
        <v>0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0.45</v>
      </c>
      <c r="C297" s="9" t="n">
        <v>0.42</v>
      </c>
      <c r="D297" s="9" t="n">
        <v>0</v>
      </c>
      <c r="E297" s="9"/>
      <c r="F297" s="9" t="n">
        <v>1.04</v>
      </c>
      <c r="G297" s="9" t="n">
        <v>0.25</v>
      </c>
      <c r="H297" s="9"/>
      <c r="I297" s="9"/>
      <c r="J297" s="9" t="n">
        <v>0</v>
      </c>
      <c r="K297" s="9" t="n">
        <v>1.93</v>
      </c>
      <c r="L297" s="9" t="n">
        <v>0</v>
      </c>
      <c r="M297" s="9" t="n">
        <v>0</v>
      </c>
      <c r="N297" s="9"/>
      <c r="O297" s="9"/>
      <c r="P297" s="9"/>
      <c r="Q297" s="58" t="n">
        <f aca="false">TRIMMEAN(B297:P297,2/COUNT(B297:P297))</f>
        <v>0.308571428571429</v>
      </c>
    </row>
    <row r="298" customFormat="false" ht="15.75" hidden="false" customHeight="true" outlineLevel="0" collapsed="false">
      <c r="A298" s="57" t="s">
        <v>441</v>
      </c>
      <c r="B298" s="9"/>
      <c r="C298" s="9" t="n">
        <v>0.1</v>
      </c>
      <c r="D298" s="9"/>
      <c r="E298" s="9" t="n">
        <v>0</v>
      </c>
      <c r="F298" s="9"/>
      <c r="G298" s="9" t="n">
        <v>0.74</v>
      </c>
      <c r="H298" s="9" t="n">
        <v>0</v>
      </c>
      <c r="I298" s="9"/>
      <c r="J298" s="9" t="n">
        <v>0</v>
      </c>
      <c r="K298" s="9" t="n">
        <v>0</v>
      </c>
      <c r="L298" s="9" t="n">
        <v>0.9</v>
      </c>
      <c r="M298" s="9" t="n">
        <v>0</v>
      </c>
      <c r="N298" s="9"/>
      <c r="O298" s="9"/>
      <c r="P298" s="9"/>
      <c r="Q298" s="58" t="n">
        <f aca="false">TRIMMEAN(B298:P298,2/COUNT(B298:P298))</f>
        <v>0.14</v>
      </c>
    </row>
    <row r="299" customFormat="false" ht="15.75" hidden="false" customHeight="true" outlineLevel="0" collapsed="false">
      <c r="A299" s="59" t="s">
        <v>442</v>
      </c>
      <c r="B299" s="9"/>
      <c r="C299" s="9" t="n">
        <v>0</v>
      </c>
      <c r="D299" s="9"/>
      <c r="E299" s="9" t="n">
        <v>0</v>
      </c>
      <c r="F299" s="9"/>
      <c r="G299" s="9"/>
      <c r="H299" s="9"/>
      <c r="I299" s="9"/>
      <c r="J299" s="9"/>
      <c r="K299" s="9" t="n">
        <v>0.27</v>
      </c>
      <c r="L299" s="9" t="n">
        <v>1.69</v>
      </c>
      <c r="M299" s="9" t="n">
        <v>0.4</v>
      </c>
      <c r="N299" s="9" t="n">
        <v>0</v>
      </c>
      <c r="O299" s="9" t="n">
        <v>0</v>
      </c>
      <c r="P299" s="9" t="n">
        <v>0</v>
      </c>
      <c r="Q299" s="58" t="n">
        <f aca="false">TRIMMEAN(B299:P299,2/COUNT(B299:P299))</f>
        <v>0.111666666666667</v>
      </c>
    </row>
    <row r="300" customFormat="false" ht="15.75" hidden="false" customHeight="true" outlineLevel="0" collapsed="false">
      <c r="A300" s="59" t="s">
        <v>443</v>
      </c>
      <c r="B300" s="9" t="n">
        <v>0.17</v>
      </c>
      <c r="C300" s="9" t="n">
        <v>0.88</v>
      </c>
      <c r="D300" s="9" t="n">
        <v>0</v>
      </c>
      <c r="E300" s="9"/>
      <c r="F300" s="9" t="n">
        <v>1.91</v>
      </c>
      <c r="G300" s="9" t="n">
        <v>0.28</v>
      </c>
      <c r="H300" s="9"/>
      <c r="I300" s="9" t="n">
        <v>3.81</v>
      </c>
      <c r="J300" s="9" t="n">
        <v>0</v>
      </c>
      <c r="K300" s="9"/>
      <c r="L300" s="9"/>
      <c r="M300" s="9" t="n">
        <v>0</v>
      </c>
      <c r="N300" s="9" t="n">
        <v>1.14</v>
      </c>
      <c r="O300" s="9"/>
      <c r="P300" s="9"/>
      <c r="Q300" s="58" t="n">
        <f aca="false">TRIMMEAN(B300:P300,2/COUNT(B300:P300))</f>
        <v>0.625714285714286</v>
      </c>
    </row>
    <row r="301" customFormat="false" ht="15.75" hidden="false" customHeight="true" outlineLevel="0" collapsed="false">
      <c r="A301" s="57" t="s">
        <v>444</v>
      </c>
      <c r="B301" s="9" t="n">
        <v>0.2</v>
      </c>
      <c r="C301" s="9"/>
      <c r="D301" s="9"/>
      <c r="E301" s="9"/>
      <c r="F301" s="9" t="n">
        <v>0</v>
      </c>
      <c r="G301" s="9" t="n">
        <v>0.05</v>
      </c>
      <c r="H301" s="9"/>
      <c r="I301" s="9"/>
      <c r="J301" s="9" t="n">
        <v>0</v>
      </c>
      <c r="K301" s="9" t="n">
        <v>0.94</v>
      </c>
      <c r="L301" s="9" t="n">
        <v>0</v>
      </c>
      <c r="M301" s="9"/>
      <c r="N301" s="9"/>
      <c r="O301" s="9"/>
      <c r="P301" s="9"/>
      <c r="Q301" s="58" t="n">
        <f aca="false">TRIMMEAN(B301:P301,2/COUNT(B301:P301))</f>
        <v>0.0625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 t="n">
        <v>0</v>
      </c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0</v>
      </c>
      <c r="D303" s="9"/>
      <c r="E303" s="9" t="n">
        <v>0</v>
      </c>
      <c r="F303" s="9" t="n">
        <v>0</v>
      </c>
      <c r="G303" s="9"/>
      <c r="H303" s="9" t="n">
        <v>0.27</v>
      </c>
      <c r="I303" s="9" t="n">
        <v>0</v>
      </c>
      <c r="J303" s="9"/>
      <c r="K303" s="9" t="n">
        <v>0</v>
      </c>
      <c r="L303" s="9" t="n">
        <v>0.19</v>
      </c>
      <c r="M303" s="9" t="n">
        <v>0</v>
      </c>
      <c r="N303" s="9" t="n">
        <v>0</v>
      </c>
      <c r="O303" s="9" t="n">
        <v>0</v>
      </c>
      <c r="P303" s="9" t="n">
        <v>0</v>
      </c>
      <c r="Q303" s="58" t="n">
        <f aca="false">TRIMMEAN(B303:P303,2/COUNT(B303:P303))</f>
        <v>0.0211111111111111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0.3</v>
      </c>
      <c r="C305" s="9" t="n">
        <v>0.69</v>
      </c>
      <c r="D305" s="9" t="n">
        <v>0</v>
      </c>
      <c r="E305" s="9"/>
      <c r="F305" s="9" t="n">
        <v>0</v>
      </c>
      <c r="G305" s="9" t="n">
        <v>0.22</v>
      </c>
      <c r="H305" s="9" t="n">
        <v>1.63</v>
      </c>
      <c r="I305" s="9" t="n">
        <v>0</v>
      </c>
      <c r="J305" s="9"/>
      <c r="K305" s="9" t="n">
        <v>0</v>
      </c>
      <c r="L305" s="9" t="n">
        <v>0</v>
      </c>
      <c r="M305" s="9"/>
      <c r="N305" s="9" t="n">
        <v>0</v>
      </c>
      <c r="O305" s="9" t="n">
        <v>0</v>
      </c>
      <c r="P305" s="9"/>
      <c r="Q305" s="58" t="n">
        <f aca="false">TRIMMEAN(B305:P305,2/COUNT(B305:P305))</f>
        <v>0.134444444444444</v>
      </c>
    </row>
    <row r="306" customFormat="false" ht="15.75" hidden="false" customHeight="true" outlineLevel="0" collapsed="false">
      <c r="A306" s="59" t="s">
        <v>449</v>
      </c>
      <c r="B306" s="9" t="n">
        <v>14.4</v>
      </c>
      <c r="C306" s="9" t="n">
        <v>1.54</v>
      </c>
      <c r="D306" s="9" t="n">
        <v>1.01</v>
      </c>
      <c r="E306" s="9"/>
      <c r="F306" s="9"/>
      <c r="G306" s="9" t="n">
        <v>0.15</v>
      </c>
      <c r="H306" s="9"/>
      <c r="I306" s="9" t="n">
        <v>0.48</v>
      </c>
      <c r="J306" s="9" t="n">
        <v>0.13</v>
      </c>
      <c r="K306" s="9"/>
      <c r="L306" s="9"/>
      <c r="M306" s="9" t="n">
        <v>14.75</v>
      </c>
      <c r="N306" s="9"/>
      <c r="O306" s="9" t="n">
        <v>1.56</v>
      </c>
      <c r="P306" s="9" t="n">
        <v>0</v>
      </c>
      <c r="Q306" s="58" t="n">
        <f aca="false">TRIMMEAN(B306:P306,2/COUNT(B306:P306))</f>
        <v>2.75285714285714</v>
      </c>
    </row>
    <row r="307" customFormat="false" ht="15.75" hidden="false" customHeight="true" outlineLevel="0" collapsed="false">
      <c r="A307" s="59" t="s">
        <v>450</v>
      </c>
      <c r="B307" s="9"/>
      <c r="C307" s="9" t="n">
        <v>0</v>
      </c>
      <c r="D307" s="9"/>
      <c r="E307" s="9" t="n">
        <v>0</v>
      </c>
      <c r="F307" s="9"/>
      <c r="G307" s="9"/>
      <c r="H307" s="9"/>
      <c r="I307" s="9"/>
      <c r="J307" s="9"/>
      <c r="K307" s="9" t="n">
        <v>0</v>
      </c>
      <c r="L307" s="9"/>
      <c r="M307" s="9" t="n">
        <v>0.17</v>
      </c>
      <c r="N307" s="9"/>
      <c r="O307" s="9"/>
      <c r="P307" s="9"/>
      <c r="Q307" s="58" t="n">
        <f aca="false">TRIMMEAN(B307:P307,2/COUNT(B307:P307))</f>
        <v>0</v>
      </c>
    </row>
    <row r="308" customFormat="false" ht="15.75" hidden="false" customHeight="true" outlineLevel="0" collapsed="false">
      <c r="A308" s="60" t="s">
        <v>451</v>
      </c>
      <c r="B308" s="61"/>
      <c r="C308" s="61" t="n">
        <v>0</v>
      </c>
      <c r="D308" s="61"/>
      <c r="E308" s="61" t="n">
        <v>0</v>
      </c>
      <c r="F308" s="61" t="n">
        <v>0.35</v>
      </c>
      <c r="G308" s="61"/>
      <c r="H308" s="61" t="n">
        <v>0.42</v>
      </c>
      <c r="I308" s="61"/>
      <c r="J308" s="61"/>
      <c r="K308" s="61" t="n">
        <v>0.7</v>
      </c>
      <c r="L308" s="61" t="n">
        <v>0</v>
      </c>
      <c r="M308" s="61" t="n">
        <v>0.25</v>
      </c>
      <c r="N308" s="61" t="n">
        <v>0.73</v>
      </c>
      <c r="O308" s="61" t="n">
        <v>0.47</v>
      </c>
      <c r="P308" s="61" t="n">
        <v>3.29</v>
      </c>
      <c r="Q308" s="58" t="n">
        <f aca="false">TRIMMEAN(B308:P308,2/COUNT(B308:P308))</f>
        <v>0.365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9" activeCellId="0" sqref="F39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72"/>
    <col collapsed="false" customWidth="true" hidden="false" outlineLevel="0" max="10" min="10" style="51" width="12.43"/>
    <col collapsed="false" customWidth="true" hidden="false" outlineLevel="0" max="11" min="11" style="1" width="11.43"/>
    <col collapsed="false" customWidth="true" hidden="false" outlineLevel="0" max="12" min="12" style="1" width="10.57"/>
    <col collapsed="false" customWidth="true" hidden="false" outlineLevel="0" max="13" min="13" style="1" width="10.86"/>
    <col collapsed="false" customWidth="true" hidden="false" outlineLevel="0" max="14" min="14" style="51" width="11.28"/>
    <col collapsed="false" customWidth="true" hidden="false" outlineLevel="0" max="15" min="15" style="51" width="11.15"/>
    <col collapsed="false" customWidth="true" hidden="false" outlineLevel="0" max="16" min="16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46145</v>
      </c>
      <c r="C1" s="54" t="n">
        <v>46152</v>
      </c>
      <c r="D1" s="54" t="n">
        <v>46159</v>
      </c>
      <c r="E1" s="54" t="n">
        <v>46166</v>
      </c>
      <c r="F1" s="54" t="n">
        <v>46173</v>
      </c>
      <c r="G1" s="54" t="n">
        <v>46180</v>
      </c>
      <c r="H1" s="54" t="n">
        <v>46187</v>
      </c>
      <c r="I1" s="54" t="n">
        <v>46194</v>
      </c>
      <c r="J1" s="54" t="n">
        <v>46201</v>
      </c>
      <c r="K1" s="54" t="n">
        <v>46208</v>
      </c>
      <c r="L1" s="54" t="n">
        <v>46215</v>
      </c>
      <c r="M1" s="54" t="n">
        <v>46222</v>
      </c>
      <c r="N1" s="54" t="n">
        <v>46229</v>
      </c>
      <c r="O1" s="54" t="n">
        <v>46236</v>
      </c>
      <c r="P1" s="54" t="n">
        <v>46243</v>
      </c>
      <c r="Q1" s="53" t="s">
        <v>453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/>
      <c r="C2" s="9" t="n">
        <v>-0.38</v>
      </c>
      <c r="D2" s="9" t="n">
        <v>-0.2</v>
      </c>
      <c r="E2" s="9"/>
      <c r="F2" s="9" t="n">
        <v>0.69</v>
      </c>
      <c r="G2" s="9" t="n">
        <v>0.79</v>
      </c>
      <c r="H2" s="9"/>
      <c r="I2" s="9" t="n">
        <v>0.39</v>
      </c>
      <c r="J2" s="9" t="n">
        <v>-1</v>
      </c>
      <c r="K2" s="9"/>
      <c r="L2" s="9" t="n">
        <v>-0.5</v>
      </c>
      <c r="M2" s="9" t="n">
        <v>0.05</v>
      </c>
      <c r="N2" s="9"/>
      <c r="O2" s="9"/>
      <c r="P2" s="9"/>
      <c r="Q2" s="58" t="n">
        <f aca="false">TRIMMEAN(B2:P2,2/COUNT(B2:P2))</f>
        <v>0.00833333333333333</v>
      </c>
    </row>
    <row r="3" customFormat="false" ht="15.75" hidden="false" customHeight="true" outlineLevel="0" collapsed="false">
      <c r="A3" s="57" t="s">
        <v>147</v>
      </c>
      <c r="B3" s="9" t="n">
        <v>1.06</v>
      </c>
      <c r="C3" s="9" t="n">
        <v>-0.02</v>
      </c>
      <c r="D3" s="9"/>
      <c r="E3" s="9" t="n">
        <v>1.24</v>
      </c>
      <c r="F3" s="9" t="n">
        <v>1.66</v>
      </c>
      <c r="G3" s="9" t="n">
        <v>1.29</v>
      </c>
      <c r="H3" s="9"/>
      <c r="I3" s="9"/>
      <c r="J3" s="9" t="n">
        <v>-0.63</v>
      </c>
      <c r="K3" s="9" t="n">
        <v>-0.42</v>
      </c>
      <c r="L3" s="9" t="n">
        <v>1.32</v>
      </c>
      <c r="M3" s="9"/>
      <c r="N3" s="9"/>
      <c r="O3" s="9"/>
      <c r="P3" s="9"/>
      <c r="Q3" s="58" t="n">
        <f aca="false">TRIMMEAN(B3:P3,2/COUNT(B3:P3))</f>
        <v>0.745</v>
      </c>
    </row>
    <row r="4" customFormat="false" ht="15.75" hidden="false" customHeight="true" outlineLevel="0" collapsed="false">
      <c r="A4" s="57" t="s">
        <v>148</v>
      </c>
      <c r="B4" s="9" t="n">
        <v>0.19</v>
      </c>
      <c r="C4" s="9" t="n">
        <v>-1.03</v>
      </c>
      <c r="D4" s="9" t="n">
        <v>-1.62</v>
      </c>
      <c r="E4" s="9"/>
      <c r="F4" s="9"/>
      <c r="G4" s="9" t="n">
        <v>1.52</v>
      </c>
      <c r="H4" s="9"/>
      <c r="I4" s="9"/>
      <c r="J4" s="9" t="n">
        <v>0.53</v>
      </c>
      <c r="K4" s="9" t="n">
        <v>-1.7</v>
      </c>
      <c r="L4" s="9" t="n">
        <v>-1.23</v>
      </c>
      <c r="M4" s="9" t="n">
        <v>-1.38</v>
      </c>
      <c r="N4" s="9"/>
      <c r="O4" s="9"/>
      <c r="P4" s="9"/>
      <c r="Q4" s="58" t="n">
        <f aca="false">TRIMMEAN(B4:P4,2/COUNT(B4:P4))</f>
        <v>-0.756666666666667</v>
      </c>
    </row>
    <row r="5" customFormat="false" ht="15.75" hidden="false" customHeight="true" outlineLevel="0" collapsed="false">
      <c r="A5" s="57" t="s">
        <v>149</v>
      </c>
      <c r="B5" s="9"/>
      <c r="C5" s="9" t="n">
        <v>-0.42</v>
      </c>
      <c r="D5" s="9"/>
      <c r="E5" s="9" t="n">
        <v>0.52</v>
      </c>
      <c r="F5" s="9" t="n">
        <v>-0.55</v>
      </c>
      <c r="G5" s="9"/>
      <c r="H5" s="9" t="n">
        <v>-0.17</v>
      </c>
      <c r="I5" s="9"/>
      <c r="J5" s="9"/>
      <c r="K5" s="9" t="n">
        <v>-1.23</v>
      </c>
      <c r="L5" s="9" t="n">
        <v>0.25</v>
      </c>
      <c r="M5" s="9" t="n">
        <v>1.17</v>
      </c>
      <c r="N5" s="9" t="n">
        <v>1.47</v>
      </c>
      <c r="O5" s="9" t="n">
        <v>-0.86</v>
      </c>
      <c r="P5" s="9" t="n">
        <v>1.91</v>
      </c>
      <c r="Q5" s="58" t="n">
        <f aca="false">TRIMMEAN(B5:P5,2/COUNT(B5:P5))</f>
        <v>0.17625</v>
      </c>
    </row>
    <row r="6" customFormat="false" ht="15.75" hidden="false" customHeight="true" outlineLevel="0" collapsed="false">
      <c r="A6" s="59" t="s">
        <v>150</v>
      </c>
      <c r="B6" s="9"/>
      <c r="C6" s="9" t="n">
        <v>0.95</v>
      </c>
      <c r="D6" s="9" t="n">
        <v>1.48</v>
      </c>
      <c r="E6" s="9" t="n">
        <v>0.88</v>
      </c>
      <c r="F6" s="9" t="n">
        <v>-0.55</v>
      </c>
      <c r="G6" s="9"/>
      <c r="H6" s="9" t="n">
        <v>-0.98</v>
      </c>
      <c r="I6" s="9"/>
      <c r="J6" s="9"/>
      <c r="K6" s="9" t="n">
        <v>1.01</v>
      </c>
      <c r="L6" s="9" t="n">
        <v>-0.4</v>
      </c>
      <c r="M6" s="9" t="n">
        <v>0.6</v>
      </c>
      <c r="N6" s="9" t="n">
        <v>0.95</v>
      </c>
      <c r="O6" s="9" t="n">
        <v>0.24</v>
      </c>
      <c r="P6" s="9" t="n">
        <v>0.71</v>
      </c>
      <c r="Q6" s="58" t="n">
        <f aca="false">TRIMMEAN(B6:P6,2/COUNT(B6:P6))</f>
        <v>0.487777777777778</v>
      </c>
    </row>
    <row r="7" customFormat="false" ht="15.75" hidden="false" customHeight="true" outlineLevel="0" collapsed="false">
      <c r="A7" s="59" t="s">
        <v>151</v>
      </c>
      <c r="B7" s="9" t="n">
        <v>0.52</v>
      </c>
      <c r="C7" s="9" t="n">
        <v>0.24</v>
      </c>
      <c r="D7" s="9" t="n">
        <v>0.72</v>
      </c>
      <c r="E7" s="9"/>
      <c r="F7" s="9"/>
      <c r="G7" s="9" t="n">
        <v>-1.2</v>
      </c>
      <c r="H7" s="9"/>
      <c r="I7" s="9" t="n">
        <v>-2.09</v>
      </c>
      <c r="J7" s="9" t="n">
        <v>-0.71</v>
      </c>
      <c r="K7" s="9" t="n">
        <v>-0.86</v>
      </c>
      <c r="L7" s="9"/>
      <c r="M7" s="9" t="n">
        <v>-1.55</v>
      </c>
      <c r="N7" s="9"/>
      <c r="O7" s="9"/>
      <c r="P7" s="9"/>
      <c r="Q7" s="58" t="n">
        <f aca="false">TRIMMEAN(B7:P7,2/COUNT(B7:P7))</f>
        <v>-0.593333333333333</v>
      </c>
    </row>
    <row r="8" customFormat="false" ht="15.75" hidden="false" customHeight="true" outlineLevel="0" collapsed="false">
      <c r="A8" s="59" t="s">
        <v>152</v>
      </c>
      <c r="B8" s="9" t="n">
        <v>1.33</v>
      </c>
      <c r="C8" s="9" t="n">
        <v>-0.25</v>
      </c>
      <c r="D8" s="9" t="n">
        <v>0.49</v>
      </c>
      <c r="E8" s="9"/>
      <c r="F8" s="9" t="n">
        <v>0.96</v>
      </c>
      <c r="G8" s="9" t="n">
        <v>-0.76</v>
      </c>
      <c r="H8" s="9"/>
      <c r="I8" s="9" t="n">
        <v>0.52</v>
      </c>
      <c r="J8" s="9" t="n">
        <v>1.43</v>
      </c>
      <c r="K8" s="9"/>
      <c r="L8" s="9"/>
      <c r="M8" s="9" t="n">
        <v>-0.25</v>
      </c>
      <c r="N8" s="9"/>
      <c r="O8" s="9" t="n">
        <v>0.23</v>
      </c>
      <c r="P8" s="9"/>
      <c r="Q8" s="58" t="n">
        <f aca="false">TRIMMEAN(B8:P8,2/COUNT(B8:P8))</f>
        <v>0.432857142857143</v>
      </c>
    </row>
    <row r="9" customFormat="false" ht="15.75" hidden="false" customHeight="true" outlineLevel="0" collapsed="false">
      <c r="A9" s="59" t="s">
        <v>153</v>
      </c>
      <c r="B9" s="9"/>
      <c r="C9" s="9" t="n">
        <v>-0.74</v>
      </c>
      <c r="D9" s="9"/>
      <c r="E9" s="9" t="n">
        <v>-0.8</v>
      </c>
      <c r="F9" s="9" t="n">
        <v>-0.57</v>
      </c>
      <c r="G9" s="9"/>
      <c r="H9" s="9"/>
      <c r="I9" s="9" t="n">
        <v>1.06</v>
      </c>
      <c r="J9" s="9"/>
      <c r="K9" s="9" t="n">
        <v>1.26</v>
      </c>
      <c r="L9" s="9" t="n">
        <v>0.54</v>
      </c>
      <c r="M9" s="9"/>
      <c r="N9" s="9" t="n">
        <v>1.8</v>
      </c>
      <c r="O9" s="9" t="n">
        <v>-0.1</v>
      </c>
      <c r="P9" s="9" t="n">
        <v>0.24</v>
      </c>
      <c r="Q9" s="58" t="n">
        <f aca="false">TRIMMEAN(B9:P9,2/COUNT(B9:P9))</f>
        <v>0.241428571428571</v>
      </c>
    </row>
    <row r="10" customFormat="false" ht="15.75" hidden="false" customHeight="true" outlineLevel="0" collapsed="false">
      <c r="A10" s="59" t="s">
        <v>154</v>
      </c>
      <c r="B10" s="9" t="n">
        <v>-1.45</v>
      </c>
      <c r="C10" s="9" t="n">
        <v>0.27</v>
      </c>
      <c r="D10" s="9" t="n">
        <v>0.47</v>
      </c>
      <c r="E10" s="9" t="n">
        <v>-1.43</v>
      </c>
      <c r="F10" s="9" t="n">
        <v>-0.18</v>
      </c>
      <c r="G10" s="9"/>
      <c r="H10" s="9" t="n">
        <v>-0.18</v>
      </c>
      <c r="I10" s="9"/>
      <c r="J10" s="9"/>
      <c r="K10" s="9" t="n">
        <v>-1.76</v>
      </c>
      <c r="L10" s="9" t="n">
        <v>-2.05</v>
      </c>
      <c r="M10" s="9" t="n">
        <v>0.63</v>
      </c>
      <c r="N10" s="9" t="n">
        <v>-0.05</v>
      </c>
      <c r="O10" s="9" t="n">
        <v>0.92</v>
      </c>
      <c r="P10" s="9" t="n">
        <v>-1.79</v>
      </c>
      <c r="Q10" s="58" t="n">
        <f aca="false">TRIMMEAN(B10:P10,2/COUNT(B10:P10))</f>
        <v>-0.547</v>
      </c>
    </row>
    <row r="11" customFormat="false" ht="15.75" hidden="false" customHeight="true" outlineLevel="0" collapsed="false">
      <c r="A11" s="57" t="s">
        <v>155</v>
      </c>
      <c r="B11" s="9" t="n">
        <v>0.47</v>
      </c>
      <c r="C11" s="9" t="n">
        <v>0.35</v>
      </c>
      <c r="D11" s="9"/>
      <c r="E11" s="9"/>
      <c r="F11" s="9"/>
      <c r="G11" s="9" t="n">
        <v>-1.68</v>
      </c>
      <c r="H11" s="9"/>
      <c r="I11" s="9"/>
      <c r="J11" s="9" t="n">
        <v>-0.8</v>
      </c>
      <c r="K11" s="9" t="n">
        <v>-1.18</v>
      </c>
      <c r="L11" s="9" t="n">
        <v>-0.5</v>
      </c>
      <c r="M11" s="9" t="n">
        <v>-1.78</v>
      </c>
      <c r="N11" s="9"/>
      <c r="O11" s="9"/>
      <c r="P11" s="9"/>
      <c r="Q11" s="58" t="n">
        <f aca="false">TRIMMEAN(B11:P11,2/COUNT(B11:P11))</f>
        <v>-0.762</v>
      </c>
    </row>
    <row r="12" customFormat="false" ht="15.75" hidden="false" customHeight="true" outlineLevel="0" collapsed="false">
      <c r="A12" s="59" t="s">
        <v>156</v>
      </c>
      <c r="B12" s="9" t="n">
        <v>-0.35</v>
      </c>
      <c r="C12" s="9" t="n">
        <v>0.98</v>
      </c>
      <c r="D12" s="9" t="n">
        <v>-0.74</v>
      </c>
      <c r="E12" s="9"/>
      <c r="F12" s="9" t="n">
        <v>0.49</v>
      </c>
      <c r="G12" s="9" t="n">
        <v>0.27</v>
      </c>
      <c r="H12" s="9"/>
      <c r="I12" s="9" t="n">
        <v>-0.66</v>
      </c>
      <c r="J12" s="9" t="n">
        <v>-0.38</v>
      </c>
      <c r="K12" s="9" t="n">
        <v>0.35</v>
      </c>
      <c r="L12" s="9"/>
      <c r="M12" s="9" t="n">
        <v>-1.05</v>
      </c>
      <c r="N12" s="9"/>
      <c r="O12" s="9" t="n">
        <v>0.19</v>
      </c>
      <c r="P12" s="9" t="n">
        <v>-0.82</v>
      </c>
      <c r="Q12" s="58" t="n">
        <f aca="false">TRIMMEAN(B12:P12,2/COUNT(B12:P12))</f>
        <v>-0.183333333333333</v>
      </c>
    </row>
    <row r="13" customFormat="false" ht="15.75" hidden="false" customHeight="true" outlineLevel="0" collapsed="false">
      <c r="A13" s="57" t="s">
        <v>157</v>
      </c>
      <c r="B13" s="9"/>
      <c r="C13" s="9"/>
      <c r="D13" s="9" t="n">
        <v>-1.2</v>
      </c>
      <c r="E13" s="9" t="n">
        <v>-0.43</v>
      </c>
      <c r="F13" s="9" t="n">
        <v>1.4</v>
      </c>
      <c r="G13" s="9"/>
      <c r="H13" s="9" t="n">
        <v>-0.67</v>
      </c>
      <c r="I13" s="9" t="n">
        <v>-0.62</v>
      </c>
      <c r="J13" s="9"/>
      <c r="K13" s="9" t="n">
        <v>-0.22</v>
      </c>
      <c r="L13" s="9" t="n">
        <v>-1.18</v>
      </c>
      <c r="M13" s="9" t="n">
        <v>-0.49</v>
      </c>
      <c r="N13" s="9" t="n">
        <v>0.59</v>
      </c>
      <c r="O13" s="9" t="n">
        <v>1.87</v>
      </c>
      <c r="P13" s="9" t="n">
        <v>2.24</v>
      </c>
      <c r="Q13" s="58" t="n">
        <f aca="false">TRIMMEAN(B13:P13,2/COUNT(B13:P13))</f>
        <v>0.0277777777777778</v>
      </c>
    </row>
    <row r="14" customFormat="false" ht="15.75" hidden="false" customHeight="true" outlineLevel="0" collapsed="false">
      <c r="A14" s="59" t="s">
        <v>158</v>
      </c>
      <c r="B14" s="9" t="n">
        <v>0.41</v>
      </c>
      <c r="C14" s="9" t="n">
        <v>-0.51</v>
      </c>
      <c r="D14" s="9" t="n">
        <v>-1.3</v>
      </c>
      <c r="E14" s="9"/>
      <c r="F14" s="9"/>
      <c r="G14" s="9" t="n">
        <v>-0.37</v>
      </c>
      <c r="H14" s="9" t="n">
        <v>0.84</v>
      </c>
      <c r="I14" s="9" t="n">
        <v>1.15</v>
      </c>
      <c r="J14" s="9" t="n">
        <v>-0.38</v>
      </c>
      <c r="K14" s="9" t="n">
        <v>0.63</v>
      </c>
      <c r="L14" s="9"/>
      <c r="M14" s="9" t="n">
        <v>0.52</v>
      </c>
      <c r="N14" s="9"/>
      <c r="O14" s="9" t="n">
        <v>0.82</v>
      </c>
      <c r="P14" s="9"/>
      <c r="Q14" s="58" t="n">
        <f aca="false">TRIMMEAN(B14:P14,2/COUNT(B14:P14))</f>
        <v>0.245</v>
      </c>
    </row>
    <row r="15" customFormat="false" ht="15.75" hidden="false" customHeight="true" outlineLevel="0" collapsed="false">
      <c r="A15" s="59" t="s">
        <v>159</v>
      </c>
      <c r="B15" s="9"/>
      <c r="C15" s="9" t="n">
        <v>0.78</v>
      </c>
      <c r="D15" s="9"/>
      <c r="E15" s="9" t="n">
        <v>0.27</v>
      </c>
      <c r="F15" s="9"/>
      <c r="G15" s="9"/>
      <c r="H15" s="9"/>
      <c r="I15" s="9"/>
      <c r="J15" s="9"/>
      <c r="K15" s="9" t="n">
        <v>0.58</v>
      </c>
      <c r="L15" s="9"/>
      <c r="M15" s="9" t="n">
        <v>0.22</v>
      </c>
      <c r="N15" s="9"/>
      <c r="O15" s="9"/>
      <c r="P15" s="9" t="n">
        <v>-2.73</v>
      </c>
      <c r="Q15" s="58" t="n">
        <f aca="false">TRIMMEAN(B15:P15,2/COUNT(B15:P15))</f>
        <v>0.356666666666667</v>
      </c>
    </row>
    <row r="16" customFormat="false" ht="15.75" hidden="false" customHeight="true" outlineLevel="0" collapsed="false">
      <c r="A16" s="57" t="s">
        <v>160</v>
      </c>
      <c r="B16" s="9"/>
      <c r="C16" s="9" t="n">
        <v>0.59</v>
      </c>
      <c r="D16" s="9" t="n">
        <v>0.09</v>
      </c>
      <c r="E16" s="9" t="n">
        <v>-0.61</v>
      </c>
      <c r="F16" s="9" t="n">
        <v>-1.77</v>
      </c>
      <c r="G16" s="9"/>
      <c r="H16" s="9" t="n">
        <v>-1.35</v>
      </c>
      <c r="I16" s="9"/>
      <c r="J16" s="9"/>
      <c r="K16" s="9"/>
      <c r="L16" s="9" t="n">
        <v>-2.91</v>
      </c>
      <c r="M16" s="9" t="n">
        <v>0.57</v>
      </c>
      <c r="N16" s="9"/>
      <c r="O16" s="9"/>
      <c r="P16" s="9"/>
      <c r="Q16" s="58" t="n">
        <f aca="false">TRIMMEAN(B16:P16,2/COUNT(B16:P16))</f>
        <v>-0.614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0.09</v>
      </c>
      <c r="C19" s="9" t="n">
        <v>0.78</v>
      </c>
      <c r="D19" s="9" t="n">
        <v>1.04</v>
      </c>
      <c r="E19" s="9"/>
      <c r="F19" s="9"/>
      <c r="G19" s="9" t="n">
        <v>1.28</v>
      </c>
      <c r="H19" s="9" t="n">
        <v>0.01</v>
      </c>
      <c r="I19" s="9" t="n">
        <v>1.1</v>
      </c>
      <c r="J19" s="9" t="n">
        <v>0.51</v>
      </c>
      <c r="K19" s="9"/>
      <c r="L19" s="9"/>
      <c r="M19" s="9" t="n">
        <v>0.69</v>
      </c>
      <c r="N19" s="9"/>
      <c r="O19" s="9"/>
      <c r="P19" s="9"/>
      <c r="Q19" s="58" t="n">
        <f aca="false">TRIMMEAN(B19:P19,2/COUNT(B19:P19))</f>
        <v>0.701666666666667</v>
      </c>
    </row>
    <row r="20" customFormat="false" ht="15.75" hidden="false" customHeight="true" outlineLevel="0" collapsed="false">
      <c r="A20" s="57" t="s">
        <v>164</v>
      </c>
      <c r="B20" s="9" t="n">
        <v>0.6</v>
      </c>
      <c r="C20" s="9" t="n">
        <v>0.26</v>
      </c>
      <c r="D20" s="9" t="n">
        <v>-0.11</v>
      </c>
      <c r="E20" s="9"/>
      <c r="F20" s="9" t="n">
        <v>-2.01</v>
      </c>
      <c r="G20" s="9" t="n">
        <v>-0.11</v>
      </c>
      <c r="H20" s="9" t="n">
        <v>-0.71</v>
      </c>
      <c r="I20" s="9"/>
      <c r="J20" s="9" t="n">
        <v>0.63</v>
      </c>
      <c r="K20" s="9" t="n">
        <v>-0.17</v>
      </c>
      <c r="L20" s="9" t="n">
        <v>-1.87</v>
      </c>
      <c r="M20" s="9"/>
      <c r="N20" s="9" t="n">
        <v>-0.59</v>
      </c>
      <c r="O20" s="9" t="n">
        <v>-0.98</v>
      </c>
      <c r="P20" s="9" t="n">
        <v>-1.34</v>
      </c>
      <c r="Q20" s="58" t="n">
        <f aca="false">TRIMMEAN(B20:P20,2/COUNT(B20:P20))</f>
        <v>-0.502</v>
      </c>
    </row>
    <row r="21" customFormat="false" ht="15.75" hidden="false" customHeight="true" outlineLevel="0" collapsed="false">
      <c r="A21" s="59" t="s">
        <v>165</v>
      </c>
      <c r="B21" s="9"/>
      <c r="C21" s="9" t="n">
        <v>-1.41</v>
      </c>
      <c r="D21" s="9"/>
      <c r="E21" s="9" t="n">
        <v>-0.09</v>
      </c>
      <c r="F21" s="9"/>
      <c r="G21" s="9"/>
      <c r="H21" s="9" t="n">
        <v>-1.84</v>
      </c>
      <c r="I21" s="9"/>
      <c r="J21" s="9"/>
      <c r="K21" s="9" t="n">
        <v>-0.91</v>
      </c>
      <c r="L21" s="9" t="n">
        <v>1.5</v>
      </c>
      <c r="M21" s="9" t="n">
        <v>0.09</v>
      </c>
      <c r="N21" s="9" t="n">
        <v>-1.09</v>
      </c>
      <c r="O21" s="9" t="n">
        <v>-2.87</v>
      </c>
      <c r="P21" s="9" t="n">
        <v>0.62</v>
      </c>
      <c r="Q21" s="58" t="n">
        <f aca="false">TRIMMEAN(B21:P21,2/COUNT(B21:P21))</f>
        <v>-0.661428571428571</v>
      </c>
    </row>
    <row r="22" customFormat="false" ht="15.75" hidden="false" customHeight="true" outlineLevel="0" collapsed="false">
      <c r="A22" s="57" t="s">
        <v>166</v>
      </c>
      <c r="B22" s="9"/>
      <c r="C22" s="9" t="n">
        <v>-1.5</v>
      </c>
      <c r="D22" s="9"/>
      <c r="E22" s="9"/>
      <c r="F22" s="9" t="n">
        <v>-0.73</v>
      </c>
      <c r="G22" s="9" t="n">
        <v>-0.46</v>
      </c>
      <c r="H22" s="9"/>
      <c r="I22" s="9" t="n">
        <v>0.29</v>
      </c>
      <c r="J22" s="9"/>
      <c r="K22" s="9"/>
      <c r="L22" s="9" t="n">
        <v>-0.78</v>
      </c>
      <c r="M22" s="9" t="n">
        <v>0.32</v>
      </c>
      <c r="N22" s="9"/>
      <c r="O22" s="9"/>
      <c r="P22" s="9"/>
      <c r="Q22" s="58" t="n">
        <f aca="false">TRIMMEAN(B22:P22,2/COUNT(B22:P22))</f>
        <v>-0.42</v>
      </c>
    </row>
    <row r="23" customFormat="false" ht="15.75" hidden="false" customHeight="true" outlineLevel="0" collapsed="false">
      <c r="A23" s="57" t="s">
        <v>167</v>
      </c>
      <c r="B23" s="9"/>
      <c r="C23" s="9" t="n">
        <v>1.1</v>
      </c>
      <c r="D23" s="9" t="n">
        <v>-0.27</v>
      </c>
      <c r="E23" s="9"/>
      <c r="F23" s="9"/>
      <c r="G23" s="9" t="n">
        <v>0.41</v>
      </c>
      <c r="H23" s="9"/>
      <c r="I23" s="9" t="n">
        <v>-1.07</v>
      </c>
      <c r="J23" s="9" t="n">
        <v>0.41</v>
      </c>
      <c r="K23" s="9"/>
      <c r="L23" s="9" t="n">
        <v>0.43</v>
      </c>
      <c r="M23" s="9" t="n">
        <v>0.61</v>
      </c>
      <c r="N23" s="9"/>
      <c r="O23" s="9" t="n">
        <v>0.47</v>
      </c>
      <c r="P23" s="9"/>
      <c r="Q23" s="58" t="n">
        <f aca="false">TRIMMEAN(B23:P23,2/COUNT(B23:P23))</f>
        <v>0.343333333333333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-1.48</v>
      </c>
      <c r="C25" s="9" t="n">
        <v>0.99</v>
      </c>
      <c r="D25" s="9" t="n">
        <v>0.02</v>
      </c>
      <c r="E25" s="9"/>
      <c r="F25" s="9" t="n">
        <v>-0.75</v>
      </c>
      <c r="G25" s="9"/>
      <c r="H25" s="9" t="n">
        <v>-0.05</v>
      </c>
      <c r="I25" s="9"/>
      <c r="J25" s="9"/>
      <c r="K25" s="9"/>
      <c r="L25" s="9" t="n">
        <v>0.41</v>
      </c>
      <c r="M25" s="9"/>
      <c r="N25" s="9" t="n">
        <v>1</v>
      </c>
      <c r="O25" s="9" t="n">
        <v>0.77</v>
      </c>
      <c r="P25" s="9" t="n">
        <v>-1.12</v>
      </c>
      <c r="Q25" s="58" t="n">
        <f aca="false">TRIMMEAN(B25:P25,2/COUNT(B25:P25))</f>
        <v>0.0385714285714286</v>
      </c>
    </row>
    <row r="26" customFormat="false" ht="15.75" hidden="false" customHeight="true" outlineLevel="0" collapsed="false">
      <c r="A26" s="57" t="s">
        <v>170</v>
      </c>
      <c r="B26" s="9" t="n">
        <v>-2.59</v>
      </c>
      <c r="C26" s="9" t="n">
        <v>0.1</v>
      </c>
      <c r="D26" s="9" t="n">
        <v>0.96</v>
      </c>
      <c r="E26" s="9"/>
      <c r="F26" s="9"/>
      <c r="G26" s="9" t="n">
        <v>0.41</v>
      </c>
      <c r="H26" s="9" t="n">
        <v>1.69</v>
      </c>
      <c r="I26" s="9" t="n">
        <v>-1.03</v>
      </c>
      <c r="J26" s="9" t="n">
        <v>-0.65</v>
      </c>
      <c r="K26" s="9"/>
      <c r="L26" s="9" t="n">
        <v>-2.69</v>
      </c>
      <c r="M26" s="9" t="n">
        <v>1.57</v>
      </c>
      <c r="N26" s="9"/>
      <c r="O26" s="9"/>
      <c r="P26" s="9" t="n">
        <v>-0.4</v>
      </c>
      <c r="Q26" s="58" t="n">
        <f aca="false">TRIMMEAN(B26:P26,2/COUNT(B26:P26))</f>
        <v>-0.20375</v>
      </c>
    </row>
    <row r="27" customFormat="false" ht="15.75" hidden="false" customHeight="true" outlineLevel="0" collapsed="false">
      <c r="A27" s="57" t="s">
        <v>171</v>
      </c>
      <c r="B27" s="9" t="n">
        <v>1</v>
      </c>
      <c r="C27" s="9" t="n">
        <v>-0.03</v>
      </c>
      <c r="D27" s="9"/>
      <c r="E27" s="9" t="n">
        <v>0.84</v>
      </c>
      <c r="F27" s="9" t="n">
        <v>-0.19</v>
      </c>
      <c r="G27" s="9" t="n">
        <v>-0.07</v>
      </c>
      <c r="H27" s="9"/>
      <c r="I27" s="9"/>
      <c r="J27" s="9" t="n">
        <v>1.64</v>
      </c>
      <c r="K27" s="9" t="n">
        <v>0.38</v>
      </c>
      <c r="L27" s="9" t="n">
        <v>-1.05</v>
      </c>
      <c r="M27" s="9" t="n">
        <v>0.71</v>
      </c>
      <c r="N27" s="9"/>
      <c r="O27" s="9"/>
      <c r="P27" s="9"/>
      <c r="Q27" s="58" t="n">
        <f aca="false">TRIMMEAN(B27:P27,2/COUNT(B27:P27))</f>
        <v>0.377142857142857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 t="n">
        <v>-0.19</v>
      </c>
      <c r="F28" s="9"/>
      <c r="G28" s="9"/>
      <c r="H28" s="9"/>
      <c r="I28" s="9"/>
      <c r="J28" s="9"/>
      <c r="K28" s="9" t="n">
        <v>-0.29</v>
      </c>
      <c r="L28" s="9" t="n">
        <v>0.25</v>
      </c>
      <c r="M28" s="9" t="n">
        <v>0.7</v>
      </c>
      <c r="N28" s="9" t="n">
        <v>-0.59</v>
      </c>
      <c r="O28" s="9"/>
      <c r="P28" s="9"/>
      <c r="Q28" s="58" t="n">
        <f aca="false">TRIMMEAN(B28:P28,2/COUNT(B28:P28))</f>
        <v>-0.0766666666666667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-0.35</v>
      </c>
      <c r="D30" s="9"/>
      <c r="E30" s="9" t="n">
        <v>-0.17</v>
      </c>
      <c r="F30" s="9" t="n">
        <v>1.35</v>
      </c>
      <c r="G30" s="9"/>
      <c r="H30" s="9" t="n">
        <v>-0.25</v>
      </c>
      <c r="I30" s="9"/>
      <c r="J30" s="9"/>
      <c r="K30" s="9" t="n">
        <v>-0.28</v>
      </c>
      <c r="L30" s="9" t="n">
        <v>1.55</v>
      </c>
      <c r="M30" s="9" t="n">
        <v>0.87</v>
      </c>
      <c r="N30" s="9" t="n">
        <v>0.98</v>
      </c>
      <c r="O30" s="9" t="n">
        <v>-0.57</v>
      </c>
      <c r="P30" s="9" t="n">
        <v>-0.15</v>
      </c>
      <c r="Q30" s="58" t="n">
        <f aca="false">TRIMMEAN(B30:P30,2/COUNT(B30:P30))</f>
        <v>0.25</v>
      </c>
    </row>
    <row r="31" customFormat="false" ht="15.75" hidden="false" customHeight="true" outlineLevel="0" collapsed="false">
      <c r="A31" s="59" t="s">
        <v>175</v>
      </c>
      <c r="B31" s="9"/>
      <c r="C31" s="9" t="n">
        <v>-0.59</v>
      </c>
      <c r="D31" s="9"/>
      <c r="E31" s="9" t="n">
        <v>0.13</v>
      </c>
      <c r="F31" s="9" t="n">
        <v>0.65</v>
      </c>
      <c r="G31" s="9"/>
      <c r="H31" s="9" t="n">
        <v>0.34</v>
      </c>
      <c r="I31" s="9"/>
      <c r="J31" s="9"/>
      <c r="K31" s="9" t="n">
        <v>0.6</v>
      </c>
      <c r="L31" s="9" t="n">
        <v>-1.63</v>
      </c>
      <c r="M31" s="9" t="n">
        <v>-1.04</v>
      </c>
      <c r="N31" s="9" t="n">
        <v>-0.46</v>
      </c>
      <c r="O31" s="9" t="n">
        <v>0.88</v>
      </c>
      <c r="P31" s="9" t="n">
        <v>-1.39</v>
      </c>
      <c r="Q31" s="58" t="n">
        <f aca="false">TRIMMEAN(B31:P31,2/COUNT(B31:P31))</f>
        <v>-0.22</v>
      </c>
    </row>
    <row r="32" customFormat="false" ht="15.75" hidden="false" customHeight="true" outlineLevel="0" collapsed="false">
      <c r="A32" s="57" t="s">
        <v>176</v>
      </c>
      <c r="B32" s="9"/>
      <c r="C32" s="9"/>
      <c r="D32" s="9" t="n">
        <v>0.42</v>
      </c>
      <c r="E32" s="9" t="n">
        <v>3.08</v>
      </c>
      <c r="F32" s="9"/>
      <c r="G32" s="9" t="n">
        <v>0.52</v>
      </c>
      <c r="H32" s="9" t="n">
        <v>0.83</v>
      </c>
      <c r="I32" s="9" t="n">
        <v>1.52</v>
      </c>
      <c r="J32" s="9" t="n">
        <v>2.33</v>
      </c>
      <c r="K32" s="9"/>
      <c r="L32" s="9" t="n">
        <v>0.87</v>
      </c>
      <c r="M32" s="9" t="n">
        <v>-0.31</v>
      </c>
      <c r="N32" s="9"/>
      <c r="O32" s="9" t="n">
        <v>-0.33</v>
      </c>
      <c r="P32" s="9"/>
      <c r="Q32" s="58" t="n">
        <f aca="false">TRIMMEAN(B32:P32,2/COUNT(B32:P32))</f>
        <v>0.882857142857143</v>
      </c>
    </row>
    <row r="33" customFormat="false" ht="15.75" hidden="false" customHeight="true" outlineLevel="0" collapsed="false">
      <c r="A33" s="57" t="s">
        <v>177</v>
      </c>
      <c r="B33" s="9"/>
      <c r="C33" s="9" t="n">
        <v>1.49</v>
      </c>
      <c r="D33" s="9"/>
      <c r="E33" s="9" t="n">
        <v>0.53</v>
      </c>
      <c r="F33" s="9" t="n">
        <v>1.28</v>
      </c>
      <c r="G33" s="9" t="n">
        <v>0.94</v>
      </c>
      <c r="H33" s="9" t="n">
        <v>2.04</v>
      </c>
      <c r="I33" s="9"/>
      <c r="J33" s="9" t="n">
        <v>-0.15</v>
      </c>
      <c r="K33" s="9" t="n">
        <v>0.33</v>
      </c>
      <c r="L33" s="9" t="n">
        <v>0.18</v>
      </c>
      <c r="M33" s="9" t="n">
        <v>-0.01</v>
      </c>
      <c r="N33" s="9"/>
      <c r="O33" s="9" t="n">
        <v>2.25</v>
      </c>
      <c r="P33" s="9" t="n">
        <v>-0.31</v>
      </c>
      <c r="Q33" s="58" t="n">
        <f aca="false">TRIMMEAN(B33:P33,2/COUNT(B33:P33))</f>
        <v>0.736666666666667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0.78</v>
      </c>
      <c r="C35" s="9" t="n">
        <v>-0.05</v>
      </c>
      <c r="D35" s="9" t="n">
        <v>-0.7</v>
      </c>
      <c r="E35" s="9"/>
      <c r="F35" s="9"/>
      <c r="G35" s="9" t="n">
        <v>-0.5</v>
      </c>
      <c r="H35" s="9" t="n">
        <v>-1.33</v>
      </c>
      <c r="I35" s="9" t="n">
        <v>-0.72</v>
      </c>
      <c r="J35" s="9" t="n">
        <v>0.13</v>
      </c>
      <c r="K35" s="9"/>
      <c r="L35" s="9" t="n">
        <v>0.05</v>
      </c>
      <c r="M35" s="9" t="n">
        <v>0.67</v>
      </c>
      <c r="N35" s="9" t="n">
        <v>0.22</v>
      </c>
      <c r="O35" s="9" t="n">
        <v>0.55</v>
      </c>
      <c r="P35" s="9"/>
      <c r="Q35" s="58" t="n">
        <f aca="false">TRIMMEAN(B35:P35,2/COUNT(B35:P35))</f>
        <v>-0.0388888888888889</v>
      </c>
    </row>
    <row r="36" customFormat="false" ht="15.75" hidden="false" customHeight="true" outlineLevel="0" collapsed="false">
      <c r="A36" s="57" t="s">
        <v>180</v>
      </c>
      <c r="B36" s="9" t="n">
        <v>-0.09</v>
      </c>
      <c r="C36" s="9" t="n">
        <v>0.18</v>
      </c>
      <c r="D36" s="9" t="n">
        <v>1.32</v>
      </c>
      <c r="E36" s="9" t="n">
        <v>2.1</v>
      </c>
      <c r="F36" s="9" t="n">
        <v>1.12</v>
      </c>
      <c r="G36" s="9" t="n">
        <v>0.08</v>
      </c>
      <c r="H36" s="9"/>
      <c r="I36" s="9" t="n">
        <v>0.76</v>
      </c>
      <c r="J36" s="9"/>
      <c r="K36" s="9" t="n">
        <v>-0.81</v>
      </c>
      <c r="L36" s="9" t="n">
        <v>-1.6</v>
      </c>
      <c r="M36" s="9" t="n">
        <v>1.07</v>
      </c>
      <c r="N36" s="9" t="n">
        <v>-0.27</v>
      </c>
      <c r="O36" s="9" t="n">
        <v>-0.2</v>
      </c>
      <c r="P36" s="9" t="n">
        <v>-4.32</v>
      </c>
      <c r="Q36" s="58" t="n">
        <f aca="false">TRIMMEAN(B36:P36,2/COUNT(B36:P36))</f>
        <v>0.141818181818182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 t="n">
        <v>-2.68</v>
      </c>
      <c r="F37" s="9"/>
      <c r="G37" s="9"/>
      <c r="H37" s="9"/>
      <c r="I37" s="9"/>
      <c r="J37" s="9"/>
      <c r="K37" s="9"/>
      <c r="L37" s="9" t="n">
        <v>0.51</v>
      </c>
      <c r="M37" s="9" t="n">
        <v>-0.06</v>
      </c>
      <c r="N37" s="9"/>
      <c r="O37" s="9"/>
      <c r="P37" s="9"/>
      <c r="Q37" s="58" t="n">
        <f aca="false">TRIMMEAN(B37:P37,2/COUNT(B37:P37))</f>
        <v>-0.06</v>
      </c>
    </row>
    <row r="38" customFormat="false" ht="15.75" hidden="false" customHeight="true" outlineLevel="0" collapsed="false">
      <c r="A38" s="57" t="s">
        <v>182</v>
      </c>
      <c r="B38" s="9" t="n">
        <v>0.29</v>
      </c>
      <c r="C38" s="9" t="n">
        <v>0.56</v>
      </c>
      <c r="D38" s="9"/>
      <c r="E38" s="9" t="n">
        <v>-1.06</v>
      </c>
      <c r="F38" s="9" t="n">
        <v>-0.68</v>
      </c>
      <c r="G38" s="9" t="n">
        <v>-1.44</v>
      </c>
      <c r="H38" s="9"/>
      <c r="I38" s="9"/>
      <c r="J38" s="9" t="n">
        <v>-1.07</v>
      </c>
      <c r="K38" s="9" t="n">
        <v>-0.06</v>
      </c>
      <c r="L38" s="9" t="n">
        <v>0.66</v>
      </c>
      <c r="M38" s="9" t="n">
        <v>-0.61</v>
      </c>
      <c r="N38" s="9"/>
      <c r="O38" s="9"/>
      <c r="P38" s="9"/>
      <c r="Q38" s="58" t="n">
        <f aca="false">TRIMMEAN(B38:P38,2/COUNT(B38:P38))</f>
        <v>-0.375714285714286</v>
      </c>
    </row>
    <row r="39" customFormat="false" ht="15.75" hidden="false" customHeight="true" outlineLevel="0" collapsed="false">
      <c r="A39" s="59" t="s">
        <v>183</v>
      </c>
      <c r="B39" s="9" t="n">
        <v>0.29</v>
      </c>
      <c r="C39" s="9" t="n">
        <v>0.56</v>
      </c>
      <c r="D39" s="9"/>
      <c r="E39" s="9" t="n">
        <v>-1.06</v>
      </c>
      <c r="F39" s="9" t="n">
        <v>-0.68</v>
      </c>
      <c r="G39" s="9" t="n">
        <v>-1.44</v>
      </c>
      <c r="H39" s="9"/>
      <c r="I39" s="9"/>
      <c r="J39" s="9" t="n">
        <v>-1.07</v>
      </c>
      <c r="K39" s="9" t="n">
        <v>-0.06</v>
      </c>
      <c r="L39" s="9"/>
      <c r="M39" s="9"/>
      <c r="N39" s="9"/>
      <c r="O39" s="9"/>
      <c r="P39" s="9"/>
      <c r="Q39" s="58" t="n">
        <f aca="false">TRIMMEAN(B39:P39,2/COUNT(B39:P39))</f>
        <v>-0.516</v>
      </c>
    </row>
    <row r="40" customFormat="false" ht="15.75" hidden="false" customHeight="true" outlineLevel="0" collapsed="false">
      <c r="A40" s="59" t="s">
        <v>184</v>
      </c>
      <c r="B40" s="9" t="n">
        <v>1.06</v>
      </c>
      <c r="C40" s="9" t="n">
        <v>-2.31</v>
      </c>
      <c r="D40" s="9"/>
      <c r="E40" s="9" t="n">
        <v>-0.34</v>
      </c>
      <c r="F40" s="9" t="n">
        <v>-0.85</v>
      </c>
      <c r="G40" s="9"/>
      <c r="H40" s="9" t="n">
        <v>-2.14</v>
      </c>
      <c r="I40" s="9"/>
      <c r="J40" s="9"/>
      <c r="K40" s="9" t="n">
        <v>0.36</v>
      </c>
      <c r="L40" s="9" t="n">
        <v>-0.8</v>
      </c>
      <c r="M40" s="9" t="n">
        <v>-1.83</v>
      </c>
      <c r="N40" s="9" t="n">
        <v>-0.32</v>
      </c>
      <c r="O40" s="9" t="n">
        <v>-0.77</v>
      </c>
      <c r="P40" s="9" t="n">
        <v>1.54</v>
      </c>
      <c r="Q40" s="58" t="n">
        <f aca="false">TRIMMEAN(B40:P40,2/COUNT(B40:P40))</f>
        <v>-0.625555555555556</v>
      </c>
    </row>
    <row r="41" customFormat="false" ht="15.75" hidden="false" customHeight="true" outlineLevel="0" collapsed="false">
      <c r="A41" s="57" t="s">
        <v>185</v>
      </c>
      <c r="B41" s="9"/>
      <c r="C41" s="9" t="n">
        <v>1.18</v>
      </c>
      <c r="D41" s="9"/>
      <c r="E41" s="9" t="n">
        <v>-0.41</v>
      </c>
      <c r="F41" s="9" t="n">
        <v>-0.13</v>
      </c>
      <c r="G41" s="9"/>
      <c r="H41" s="9" t="n">
        <v>-0.69</v>
      </c>
      <c r="I41" s="9"/>
      <c r="J41" s="9"/>
      <c r="K41" s="9"/>
      <c r="L41" s="9" t="n">
        <v>0.54</v>
      </c>
      <c r="M41" s="9"/>
      <c r="N41" s="9" t="n">
        <v>-1.88</v>
      </c>
      <c r="O41" s="9" t="n">
        <v>0.69</v>
      </c>
      <c r="P41" s="9" t="n">
        <v>-1.26</v>
      </c>
      <c r="Q41" s="58" t="n">
        <f aca="false">TRIMMEAN(B41:P41,2/COUNT(B41:P41))</f>
        <v>-0.21</v>
      </c>
    </row>
    <row r="42" customFormat="false" ht="15.75" hidden="false" customHeight="true" outlineLevel="0" collapsed="false">
      <c r="A42" s="59" t="s">
        <v>186</v>
      </c>
      <c r="B42" s="9" t="n">
        <v>0.51</v>
      </c>
      <c r="C42" s="9" t="n">
        <v>-1.18</v>
      </c>
      <c r="D42" s="9" t="n">
        <v>0.02</v>
      </c>
      <c r="E42" s="9"/>
      <c r="F42" s="9"/>
      <c r="G42" s="9" t="n">
        <v>-0.37</v>
      </c>
      <c r="H42" s="9"/>
      <c r="I42" s="9" t="n">
        <v>-0.38</v>
      </c>
      <c r="J42" s="9" t="n">
        <v>-0.22</v>
      </c>
      <c r="K42" s="9"/>
      <c r="L42" s="9"/>
      <c r="M42" s="9" t="n">
        <v>-1.8</v>
      </c>
      <c r="N42" s="9"/>
      <c r="O42" s="9"/>
      <c r="P42" s="9" t="n">
        <v>-1.08</v>
      </c>
      <c r="Q42" s="58" t="n">
        <f aca="false">TRIMMEAN(B42:P42,2/COUNT(B42:P42))</f>
        <v>-0.535</v>
      </c>
    </row>
    <row r="43" customFormat="false" ht="15.75" hidden="false" customHeight="true" outlineLevel="0" collapsed="false">
      <c r="A43" s="59" t="s">
        <v>187</v>
      </c>
      <c r="B43" s="9"/>
      <c r="C43" s="9" t="n">
        <v>0.08</v>
      </c>
      <c r="D43" s="9" t="n">
        <v>0.2</v>
      </c>
      <c r="E43" s="9"/>
      <c r="F43" s="9" t="n">
        <v>0.94</v>
      </c>
      <c r="G43" s="9" t="n">
        <v>0.17</v>
      </c>
      <c r="H43" s="9"/>
      <c r="I43" s="9" t="n">
        <v>0.21</v>
      </c>
      <c r="J43" s="9"/>
      <c r="K43" s="9"/>
      <c r="L43" s="9"/>
      <c r="M43" s="9" t="n">
        <v>0.74</v>
      </c>
      <c r="N43" s="9"/>
      <c r="O43" s="9"/>
      <c r="P43" s="9"/>
      <c r="Q43" s="58" t="n">
        <f aca="false">TRIMMEAN(B43:P43,2/COUNT(B43:P43))</f>
        <v>0.33</v>
      </c>
    </row>
    <row r="44" customFormat="false" ht="15.75" hidden="false" customHeight="true" outlineLevel="0" collapsed="false">
      <c r="A44" s="57" t="s">
        <v>188</v>
      </c>
      <c r="B44" s="9" t="n">
        <v>0.6</v>
      </c>
      <c r="C44" s="9" t="n">
        <v>0.62</v>
      </c>
      <c r="D44" s="9"/>
      <c r="E44" s="9"/>
      <c r="F44" s="9" t="n">
        <v>0</v>
      </c>
      <c r="G44" s="9" t="n">
        <v>0.17</v>
      </c>
      <c r="H44" s="9"/>
      <c r="I44" s="9"/>
      <c r="J44" s="9" t="n">
        <v>-0.33</v>
      </c>
      <c r="K44" s="9" t="n">
        <v>0.28</v>
      </c>
      <c r="L44" s="9" t="n">
        <v>0.92</v>
      </c>
      <c r="M44" s="9" t="n">
        <v>-1.56</v>
      </c>
      <c r="N44" s="9"/>
      <c r="O44" s="9"/>
      <c r="P44" s="9"/>
      <c r="Q44" s="58" t="n">
        <f aca="false">TRIMMEAN(B44:P44,2/COUNT(B44:P44))</f>
        <v>0.223333333333333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 t="n">
        <v>1.51</v>
      </c>
      <c r="D46" s="9" t="n">
        <v>-0.96</v>
      </c>
      <c r="E46" s="9"/>
      <c r="F46" s="9"/>
      <c r="G46" s="9"/>
      <c r="H46" s="9"/>
      <c r="I46" s="9"/>
      <c r="J46" s="9"/>
      <c r="K46" s="9"/>
      <c r="L46" s="9"/>
      <c r="M46" s="9" t="n">
        <v>1.47</v>
      </c>
      <c r="N46" s="9"/>
      <c r="O46" s="9"/>
      <c r="P46" s="9"/>
      <c r="Q46" s="58" t="n">
        <f aca="false">TRIMMEAN(B46:P46,2/COUNT(B46:P46))</f>
        <v>1.47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0.72</v>
      </c>
      <c r="D48" s="9"/>
      <c r="E48" s="9" t="n">
        <v>0.56</v>
      </c>
      <c r="F48" s="9" t="n">
        <v>-0.55</v>
      </c>
      <c r="G48" s="9"/>
      <c r="H48" s="9" t="n">
        <v>-1.88</v>
      </c>
      <c r="I48" s="9"/>
      <c r="J48" s="9"/>
      <c r="K48" s="9" t="n">
        <v>0.17</v>
      </c>
      <c r="L48" s="9" t="n">
        <v>-0.08</v>
      </c>
      <c r="M48" s="9" t="n">
        <v>1.19</v>
      </c>
      <c r="N48" s="9" t="n">
        <v>0.81</v>
      </c>
      <c r="O48" s="9" t="n">
        <v>0.37</v>
      </c>
      <c r="P48" s="9" t="n">
        <v>-0.95</v>
      </c>
      <c r="Q48" s="58" t="n">
        <f aca="false">TRIMMEAN(B48:P48,2/COUNT(B48:P48))</f>
        <v>0.13125</v>
      </c>
    </row>
    <row r="49" customFormat="false" ht="15.75" hidden="false" customHeight="true" outlineLevel="0" collapsed="false">
      <c r="A49" s="59" t="s">
        <v>193</v>
      </c>
      <c r="B49" s="9"/>
      <c r="C49" s="9"/>
      <c r="D49" s="9" t="n">
        <v>0.08</v>
      </c>
      <c r="E49" s="9"/>
      <c r="F49" s="9"/>
      <c r="G49" s="9"/>
      <c r="H49" s="9"/>
      <c r="I49" s="9"/>
      <c r="J49" s="9"/>
      <c r="K49" s="9"/>
      <c r="L49" s="9"/>
      <c r="M49" s="9" t="n">
        <v>-0.5</v>
      </c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0.66</v>
      </c>
      <c r="D50" s="9"/>
      <c r="E50" s="9" t="n">
        <v>0.3</v>
      </c>
      <c r="F50" s="9" t="n">
        <v>0.87</v>
      </c>
      <c r="G50" s="9"/>
      <c r="H50" s="9" t="n">
        <v>-1.3</v>
      </c>
      <c r="I50" s="9" t="n">
        <v>1.3</v>
      </c>
      <c r="J50" s="9"/>
      <c r="K50" s="9" t="n">
        <v>0.45</v>
      </c>
      <c r="L50" s="9" t="n">
        <v>0.57</v>
      </c>
      <c r="M50" s="9"/>
      <c r="N50" s="9" t="n">
        <v>-0.41</v>
      </c>
      <c r="O50" s="9" t="n">
        <v>0.52</v>
      </c>
      <c r="P50" s="9" t="n">
        <v>0.19</v>
      </c>
      <c r="Q50" s="58" t="n">
        <f aca="false">TRIMMEAN(B50:P50,2/COUNT(B50:P50))</f>
        <v>0.39375</v>
      </c>
    </row>
    <row r="51" customFormat="false" ht="15.75" hidden="false" customHeight="true" outlineLevel="0" collapsed="false">
      <c r="A51" s="59" t="s">
        <v>195</v>
      </c>
      <c r="B51" s="9"/>
      <c r="C51" s="9" t="n">
        <v>-1.25</v>
      </c>
      <c r="D51" s="9"/>
      <c r="E51" s="9" t="n">
        <v>-0.46</v>
      </c>
      <c r="F51" s="9"/>
      <c r="G51" s="9"/>
      <c r="H51" s="9"/>
      <c r="I51" s="9"/>
      <c r="J51" s="9"/>
      <c r="K51" s="9" t="n">
        <v>0.67</v>
      </c>
      <c r="L51" s="9" t="n">
        <v>-1.46</v>
      </c>
      <c r="M51" s="9" t="n">
        <v>-3.33</v>
      </c>
      <c r="N51" s="9" t="n">
        <v>-0.76</v>
      </c>
      <c r="O51" s="9"/>
      <c r="P51" s="9"/>
      <c r="Q51" s="58" t="n">
        <f aca="false">TRIMMEAN(B51:P51,2/COUNT(B51:P51))</f>
        <v>-0.9825</v>
      </c>
    </row>
    <row r="52" customFormat="false" ht="15.75" hidden="false" customHeight="true" outlineLevel="0" collapsed="false">
      <c r="A52" s="59" t="s">
        <v>196</v>
      </c>
      <c r="B52" s="9"/>
      <c r="C52" s="9" t="n">
        <v>0.25</v>
      </c>
      <c r="D52" s="9"/>
      <c r="E52" s="9" t="n">
        <v>-1.39</v>
      </c>
      <c r="F52" s="9" t="n">
        <v>-0.74</v>
      </c>
      <c r="G52" s="9"/>
      <c r="H52" s="9" t="n">
        <v>-1.1</v>
      </c>
      <c r="I52" s="9"/>
      <c r="J52" s="9"/>
      <c r="K52" s="9" t="n">
        <v>1.11</v>
      </c>
      <c r="L52" s="9" t="n">
        <v>0.29</v>
      </c>
      <c r="M52" s="9" t="n">
        <v>0.63</v>
      </c>
      <c r="N52" s="9" t="n">
        <v>-0.35</v>
      </c>
      <c r="O52" s="9" t="n">
        <v>-1.16</v>
      </c>
      <c r="P52" s="9" t="n">
        <v>-2.63</v>
      </c>
      <c r="Q52" s="58" t="n">
        <f aca="false">TRIMMEAN(B52:P52,2/COUNT(B52:P52))</f>
        <v>-0.44625</v>
      </c>
    </row>
    <row r="53" customFormat="false" ht="15.75" hidden="false" customHeight="true" outlineLevel="0" collapsed="false">
      <c r="A53" s="57" t="s">
        <v>197</v>
      </c>
      <c r="B53" s="9" t="n">
        <v>-1.94</v>
      </c>
      <c r="C53" s="9" t="n">
        <v>-0.64</v>
      </c>
      <c r="D53" s="9"/>
      <c r="E53" s="9" t="n">
        <v>-0.49</v>
      </c>
      <c r="F53" s="9" t="n">
        <v>-0.05</v>
      </c>
      <c r="G53" s="9" t="n">
        <v>-3.12</v>
      </c>
      <c r="H53" s="9"/>
      <c r="I53" s="9" t="n">
        <v>-4.36</v>
      </c>
      <c r="J53" s="9"/>
      <c r="K53" s="9" t="n">
        <v>0.03</v>
      </c>
      <c r="L53" s="9" t="n">
        <v>-0.98</v>
      </c>
      <c r="M53" s="9" t="n">
        <v>0.09</v>
      </c>
      <c r="N53" s="9"/>
      <c r="O53" s="9"/>
      <c r="P53" s="9"/>
      <c r="Q53" s="58" t="n">
        <f aca="false">TRIMMEAN(B53:P53,2/COUNT(B53:P53))</f>
        <v>-1.02714285714286</v>
      </c>
    </row>
    <row r="54" customFormat="false" ht="15.75" hidden="false" customHeight="true" outlineLevel="0" collapsed="false">
      <c r="A54" s="57" t="s">
        <v>198</v>
      </c>
      <c r="B54" s="9" t="n">
        <v>0.59</v>
      </c>
      <c r="C54" s="9" t="n">
        <v>0.66</v>
      </c>
      <c r="D54" s="9" t="n">
        <v>-1.32</v>
      </c>
      <c r="E54" s="9"/>
      <c r="F54" s="9" t="n">
        <v>0.42</v>
      </c>
      <c r="G54" s="9" t="n">
        <v>0.67</v>
      </c>
      <c r="H54" s="9"/>
      <c r="I54" s="9" t="n">
        <v>0.74</v>
      </c>
      <c r="J54" s="9" t="n">
        <v>-0.29</v>
      </c>
      <c r="K54" s="9"/>
      <c r="L54" s="9" t="n">
        <v>0.28</v>
      </c>
      <c r="M54" s="9" t="n">
        <v>0.15</v>
      </c>
      <c r="N54" s="9"/>
      <c r="O54" s="9" t="n">
        <v>-2.2</v>
      </c>
      <c r="P54" s="9" t="n">
        <v>1.79</v>
      </c>
      <c r="Q54" s="58" t="n">
        <f aca="false">TRIMMEAN(B54:P54,2/COUNT(B54:P54))</f>
        <v>0.211111111111111</v>
      </c>
    </row>
    <row r="55" customFormat="false" ht="15.75" hidden="false" customHeight="true" outlineLevel="0" collapsed="false">
      <c r="A55" s="57" t="s">
        <v>199</v>
      </c>
      <c r="B55" s="9"/>
      <c r="C55" s="9" t="n">
        <v>-0.23</v>
      </c>
      <c r="D55" s="9"/>
      <c r="E55" s="9" t="n">
        <v>0.73</v>
      </c>
      <c r="F55" s="9" t="n">
        <v>0.33</v>
      </c>
      <c r="G55" s="9"/>
      <c r="H55" s="9" t="n">
        <v>0</v>
      </c>
      <c r="I55" s="9"/>
      <c r="J55" s="9"/>
      <c r="K55" s="9" t="n">
        <v>0.3</v>
      </c>
      <c r="L55" s="9" t="n">
        <v>0.98</v>
      </c>
      <c r="M55" s="9" t="n">
        <v>0.92</v>
      </c>
      <c r="N55" s="9" t="n">
        <v>-0.45</v>
      </c>
      <c r="O55" s="9" t="n">
        <v>1.03</v>
      </c>
      <c r="P55" s="9" t="n">
        <v>0.93</v>
      </c>
      <c r="Q55" s="58" t="n">
        <f aca="false">TRIMMEAN(B55:P55,2/COUNT(B55:P55))</f>
        <v>0.495</v>
      </c>
    </row>
    <row r="56" customFormat="false" ht="15.75" hidden="false" customHeight="true" outlineLevel="0" collapsed="false">
      <c r="A56" s="57" t="s">
        <v>200</v>
      </c>
      <c r="B56" s="9" t="n">
        <v>-0.43</v>
      </c>
      <c r="C56" s="9" t="n">
        <v>0.78</v>
      </c>
      <c r="D56" s="9"/>
      <c r="E56" s="9" t="n">
        <v>-1.82</v>
      </c>
      <c r="F56" s="9" t="n">
        <v>0.76</v>
      </c>
      <c r="G56" s="9" t="n">
        <v>0.15</v>
      </c>
      <c r="H56" s="9"/>
      <c r="I56" s="9"/>
      <c r="J56" s="9" t="n">
        <v>0.39</v>
      </c>
      <c r="K56" s="9" t="n">
        <v>-0.31</v>
      </c>
      <c r="L56" s="9" t="n">
        <v>-0.38</v>
      </c>
      <c r="M56" s="9" t="n">
        <v>-1.67</v>
      </c>
      <c r="N56" s="9"/>
      <c r="O56" s="9"/>
      <c r="P56" s="9"/>
      <c r="Q56" s="58" t="n">
        <f aca="false">TRIMMEAN(B56:P56,2/COUNT(B56:P56))</f>
        <v>-0.212857142857143</v>
      </c>
    </row>
    <row r="57" customFormat="false" ht="15.75" hidden="false" customHeight="true" outlineLevel="0" collapsed="false">
      <c r="A57" s="57" t="s">
        <v>201</v>
      </c>
      <c r="B57" s="9" t="n">
        <v>-1.13</v>
      </c>
      <c r="C57" s="9" t="n">
        <v>0.2</v>
      </c>
      <c r="D57" s="9" t="n">
        <v>0.75</v>
      </c>
      <c r="E57" s="9"/>
      <c r="F57" s="9"/>
      <c r="G57" s="9" t="n">
        <v>2.5</v>
      </c>
      <c r="H57" s="9"/>
      <c r="I57" s="9" t="n">
        <v>0.99</v>
      </c>
      <c r="J57" s="9" t="n">
        <v>-0.31</v>
      </c>
      <c r="K57" s="9"/>
      <c r="L57" s="9" t="n">
        <v>-1.46</v>
      </c>
      <c r="M57" s="9" t="n">
        <v>-0.55</v>
      </c>
      <c r="N57" s="9"/>
      <c r="O57" s="9" t="n">
        <v>-0.78</v>
      </c>
      <c r="P57" s="9" t="n">
        <v>-0.79</v>
      </c>
      <c r="Q57" s="58" t="n">
        <f aca="false">TRIMMEAN(B57:P57,2/COUNT(B57:P57))</f>
        <v>-0.2025</v>
      </c>
    </row>
    <row r="58" customFormat="false" ht="15.75" hidden="false" customHeight="true" outlineLevel="0" collapsed="false">
      <c r="A58" s="59" t="s">
        <v>202</v>
      </c>
      <c r="B58" s="9"/>
      <c r="C58" s="9" t="n">
        <v>-1.16</v>
      </c>
      <c r="D58" s="9"/>
      <c r="E58" s="9" t="n">
        <v>0.98</v>
      </c>
      <c r="F58" s="9" t="n">
        <v>1.68</v>
      </c>
      <c r="G58" s="9"/>
      <c r="H58" s="9" t="n">
        <v>0.88</v>
      </c>
      <c r="I58" s="9"/>
      <c r="J58" s="9"/>
      <c r="K58" s="9" t="n">
        <v>-1.15</v>
      </c>
      <c r="L58" s="9"/>
      <c r="M58" s="9"/>
      <c r="N58" s="9"/>
      <c r="O58" s="9"/>
      <c r="P58" s="9"/>
      <c r="Q58" s="58" t="n">
        <f aca="false">TRIMMEAN(B58:P58,2/COUNT(B58:P58))</f>
        <v>0.236666666666667</v>
      </c>
    </row>
    <row r="59" customFormat="false" ht="15.75" hidden="false" customHeight="true" outlineLevel="0" collapsed="false">
      <c r="A59" s="57" t="s">
        <v>203</v>
      </c>
      <c r="B59" s="9" t="n">
        <v>-0.62</v>
      </c>
      <c r="C59" s="9" t="n">
        <v>0.37</v>
      </c>
      <c r="D59" s="9"/>
      <c r="E59" s="9" t="n">
        <v>0.92</v>
      </c>
      <c r="F59" s="9" t="n">
        <v>0.02</v>
      </c>
      <c r="G59" s="9" t="n">
        <v>1.33</v>
      </c>
      <c r="H59" s="9"/>
      <c r="I59" s="9"/>
      <c r="J59" s="9" t="n">
        <v>-0.15</v>
      </c>
      <c r="K59" s="9" t="n">
        <v>-2.43</v>
      </c>
      <c r="L59" s="9" t="n">
        <v>-1</v>
      </c>
      <c r="M59" s="9"/>
      <c r="N59" s="9"/>
      <c r="O59" s="9"/>
      <c r="P59" s="9"/>
      <c r="Q59" s="58" t="n">
        <f aca="false">TRIMMEAN(B59:P59,2/COUNT(B59:P59))</f>
        <v>-0.0766666666666667</v>
      </c>
    </row>
    <row r="60" customFormat="false" ht="15.75" hidden="false" customHeight="true" outlineLevel="0" collapsed="false">
      <c r="A60" s="59" t="s">
        <v>204</v>
      </c>
      <c r="B60" s="9"/>
      <c r="C60" s="9" t="n">
        <v>-0.44</v>
      </c>
      <c r="D60" s="9"/>
      <c r="E60" s="9" t="n">
        <v>-0.11</v>
      </c>
      <c r="F60" s="9" t="n">
        <v>-0.38</v>
      </c>
      <c r="G60" s="9" t="n">
        <v>-0.07</v>
      </c>
      <c r="H60" s="9" t="n">
        <v>0.63</v>
      </c>
      <c r="I60" s="9"/>
      <c r="J60" s="9" t="n">
        <v>-0.67</v>
      </c>
      <c r="K60" s="9" t="n">
        <v>1.01</v>
      </c>
      <c r="L60" s="9"/>
      <c r="M60" s="9"/>
      <c r="N60" s="9" t="n">
        <v>-1.44</v>
      </c>
      <c r="O60" s="9" t="n">
        <v>-1.59</v>
      </c>
      <c r="P60" s="9" t="n">
        <v>-1.61</v>
      </c>
      <c r="Q60" s="58" t="n">
        <f aca="false">TRIMMEAN(B60:P60,2/COUNT(B60:P60))</f>
        <v>-0.50875</v>
      </c>
    </row>
    <row r="61" customFormat="false" ht="15.75" hidden="false" customHeight="true" outlineLevel="0" collapsed="false">
      <c r="A61" s="59" t="s">
        <v>205</v>
      </c>
      <c r="B61" s="9"/>
      <c r="C61" s="9" t="n">
        <v>0.72</v>
      </c>
      <c r="D61" s="9"/>
      <c r="E61" s="9" t="n">
        <v>-0.2</v>
      </c>
      <c r="F61" s="9" t="n">
        <v>-0.57</v>
      </c>
      <c r="G61" s="9"/>
      <c r="H61" s="9" t="n">
        <v>1.39</v>
      </c>
      <c r="I61" s="9"/>
      <c r="J61" s="9"/>
      <c r="K61" s="9" t="n">
        <v>-1.21</v>
      </c>
      <c r="L61" s="9" t="n">
        <v>-1.53</v>
      </c>
      <c r="M61" s="9" t="n">
        <v>-0.94</v>
      </c>
      <c r="N61" s="9" t="n">
        <v>1.57</v>
      </c>
      <c r="O61" s="9" t="n">
        <v>0.36</v>
      </c>
      <c r="P61" s="9" t="n">
        <v>-0.12</v>
      </c>
      <c r="Q61" s="58" t="n">
        <f aca="false">TRIMMEAN(B61:P61,2/COUNT(B61:P61))</f>
        <v>-0.07125</v>
      </c>
    </row>
    <row r="62" customFormat="false" ht="15.75" hidden="false" customHeight="true" outlineLevel="0" collapsed="false">
      <c r="A62" s="59" t="s">
        <v>206</v>
      </c>
      <c r="B62" s="9"/>
      <c r="C62" s="9" t="n">
        <v>0.07</v>
      </c>
      <c r="D62" s="9" t="n">
        <v>0.79</v>
      </c>
      <c r="E62" s="9" t="n">
        <v>0.8</v>
      </c>
      <c r="F62" s="9" t="n">
        <v>1.78</v>
      </c>
      <c r="G62" s="9"/>
      <c r="H62" s="9" t="n">
        <v>-1.23</v>
      </c>
      <c r="I62" s="9"/>
      <c r="J62" s="9"/>
      <c r="K62" s="9" t="n">
        <v>-0.45</v>
      </c>
      <c r="L62" s="9" t="n">
        <v>0.85</v>
      </c>
      <c r="M62" s="9"/>
      <c r="N62" s="9" t="n">
        <v>-1.09</v>
      </c>
      <c r="O62" s="9" t="n">
        <v>-2.24</v>
      </c>
      <c r="P62" s="9" t="n">
        <v>-1.7</v>
      </c>
      <c r="Q62" s="58" t="n">
        <f aca="false">TRIMMEAN(B62:P62,2/COUNT(B62:P62))</f>
        <v>-0.245</v>
      </c>
    </row>
    <row r="63" customFormat="false" ht="15.75" hidden="false" customHeight="true" outlineLevel="0" collapsed="false">
      <c r="A63" s="57" t="s">
        <v>207</v>
      </c>
      <c r="B63" s="9" t="n">
        <v>-0.73</v>
      </c>
      <c r="C63" s="9" t="n">
        <v>0.12</v>
      </c>
      <c r="D63" s="9" t="n">
        <v>-0.02</v>
      </c>
      <c r="E63" s="9"/>
      <c r="F63" s="9"/>
      <c r="G63" s="9" t="n">
        <v>0.33</v>
      </c>
      <c r="H63" s="9" t="n">
        <v>0.71</v>
      </c>
      <c r="I63" s="9" t="n">
        <v>-0.17</v>
      </c>
      <c r="J63" s="9" t="n">
        <v>0.05</v>
      </c>
      <c r="K63" s="9"/>
      <c r="L63" s="9" t="n">
        <v>-0.95</v>
      </c>
      <c r="M63" s="9" t="n">
        <v>-2.5</v>
      </c>
      <c r="N63" s="9"/>
      <c r="O63" s="9"/>
      <c r="P63" s="9" t="n">
        <v>-0.63</v>
      </c>
      <c r="Q63" s="58" t="n">
        <f aca="false">TRIMMEAN(B63:P63,2/COUNT(B63:P63))</f>
        <v>-0.25</v>
      </c>
    </row>
    <row r="64" customFormat="false" ht="15.75" hidden="false" customHeight="true" outlineLevel="0" collapsed="false">
      <c r="A64" s="57" t="s">
        <v>208</v>
      </c>
      <c r="B64" s="9"/>
      <c r="C64" s="9" t="n">
        <v>-0.91</v>
      </c>
      <c r="D64" s="9" t="n">
        <v>0.27</v>
      </c>
      <c r="E64" s="9"/>
      <c r="F64" s="9"/>
      <c r="G64" s="9" t="n">
        <v>-1.75</v>
      </c>
      <c r="H64" s="9" t="n">
        <v>1.21</v>
      </c>
      <c r="I64" s="9" t="n">
        <v>0.15</v>
      </c>
      <c r="J64" s="9" t="n">
        <v>0.07</v>
      </c>
      <c r="K64" s="9"/>
      <c r="L64" s="9" t="n">
        <v>1.15</v>
      </c>
      <c r="M64" s="9" t="n">
        <v>0.05</v>
      </c>
      <c r="N64" s="9"/>
      <c r="O64" s="9"/>
      <c r="P64" s="9"/>
      <c r="Q64" s="58" t="n">
        <f aca="false">TRIMMEAN(B64:P64,2/COUNT(B64:P64))</f>
        <v>0.13</v>
      </c>
    </row>
    <row r="65" customFormat="false" ht="15.75" hidden="false" customHeight="true" outlineLevel="0" collapsed="false">
      <c r="A65" s="57" t="s">
        <v>209</v>
      </c>
      <c r="B65" s="9" t="n">
        <v>0.36</v>
      </c>
      <c r="C65" s="9" t="n">
        <v>0.63</v>
      </c>
      <c r="D65" s="9" t="n">
        <v>-0.33</v>
      </c>
      <c r="E65" s="9"/>
      <c r="F65" s="9"/>
      <c r="G65" s="9" t="n">
        <v>1.18</v>
      </c>
      <c r="H65" s="9" t="n">
        <v>0.4</v>
      </c>
      <c r="I65" s="9" t="n">
        <v>0.66</v>
      </c>
      <c r="J65" s="9" t="n">
        <v>0.59</v>
      </c>
      <c r="K65" s="9"/>
      <c r="L65" s="9" t="n">
        <v>-0.23</v>
      </c>
      <c r="M65" s="9" t="n">
        <v>1.26</v>
      </c>
      <c r="N65" s="9"/>
      <c r="O65" s="9"/>
      <c r="P65" s="9"/>
      <c r="Q65" s="58" t="n">
        <f aca="false">TRIMMEAN(B65:P65,2/COUNT(B65:P65))</f>
        <v>0.512857142857143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0.87</v>
      </c>
      <c r="C67" s="9" t="n">
        <v>-2.07</v>
      </c>
      <c r="D67" s="9"/>
      <c r="E67" s="9" t="n">
        <v>-1.63</v>
      </c>
      <c r="F67" s="9" t="n">
        <v>0.32</v>
      </c>
      <c r="G67" s="9" t="n">
        <v>-0.37</v>
      </c>
      <c r="H67" s="9"/>
      <c r="I67" s="9"/>
      <c r="J67" s="9" t="n">
        <v>-0.05</v>
      </c>
      <c r="K67" s="9"/>
      <c r="L67" s="9" t="n">
        <v>0.16</v>
      </c>
      <c r="M67" s="9"/>
      <c r="N67" s="9"/>
      <c r="O67" s="9"/>
      <c r="P67" s="9"/>
      <c r="Q67" s="58" t="n">
        <f aca="false">TRIMMEAN(B67:P67,2/COUNT(B67:P67))</f>
        <v>-0.314</v>
      </c>
    </row>
    <row r="68" customFormat="false" ht="15.75" hidden="false" customHeight="true" outlineLevel="0" collapsed="false">
      <c r="A68" s="59" t="s">
        <v>212</v>
      </c>
      <c r="B68" s="9" t="n">
        <v>0.35</v>
      </c>
      <c r="C68" s="9" t="n">
        <v>1.41</v>
      </c>
      <c r="D68" s="9" t="n">
        <v>-0.48</v>
      </c>
      <c r="E68" s="9"/>
      <c r="F68" s="9" t="n">
        <v>-0.67</v>
      </c>
      <c r="G68" s="9" t="n">
        <v>-1.19</v>
      </c>
      <c r="H68" s="9"/>
      <c r="I68" s="9" t="n">
        <v>-0.36</v>
      </c>
      <c r="J68" s="9" t="n">
        <v>-0.22</v>
      </c>
      <c r="K68" s="9" t="n">
        <v>0.15</v>
      </c>
      <c r="L68" s="9"/>
      <c r="M68" s="9" t="n">
        <v>0.95</v>
      </c>
      <c r="N68" s="9"/>
      <c r="O68" s="9" t="n">
        <v>0.96</v>
      </c>
      <c r="P68" s="9"/>
      <c r="Q68" s="58" t="n">
        <f aca="false">TRIMMEAN(B68:P68,2/COUNT(B68:P68))</f>
        <v>0.085</v>
      </c>
    </row>
    <row r="69" customFormat="false" ht="15.75" hidden="false" customHeight="true" outlineLevel="0" collapsed="false">
      <c r="A69" s="57" t="s">
        <v>213</v>
      </c>
      <c r="B69" s="9" t="n">
        <v>-0.71</v>
      </c>
      <c r="C69" s="9" t="n">
        <v>-1.17</v>
      </c>
      <c r="D69" s="9" t="n">
        <v>-0.23</v>
      </c>
      <c r="E69" s="9"/>
      <c r="F69" s="9"/>
      <c r="G69" s="9" t="n">
        <v>1.36</v>
      </c>
      <c r="H69" s="9" t="n">
        <v>0.93</v>
      </c>
      <c r="I69" s="9" t="n">
        <v>0.24</v>
      </c>
      <c r="J69" s="9" t="n">
        <v>0.42</v>
      </c>
      <c r="K69" s="9"/>
      <c r="L69" s="9" t="n">
        <v>-0.43</v>
      </c>
      <c r="M69" s="9" t="n">
        <v>2.31</v>
      </c>
      <c r="N69" s="9"/>
      <c r="O69" s="9"/>
      <c r="P69" s="9"/>
      <c r="Q69" s="58" t="n">
        <f aca="false">TRIMMEAN(B69:P69,2/COUNT(B69:P69))</f>
        <v>0.225714285714286</v>
      </c>
    </row>
    <row r="70" customFormat="false" ht="15.75" hidden="false" customHeight="true" outlineLevel="0" collapsed="false">
      <c r="A70" s="57" t="s">
        <v>214</v>
      </c>
      <c r="B70" s="9" t="n">
        <v>-0.97</v>
      </c>
      <c r="C70" s="9" t="n">
        <v>-1.56</v>
      </c>
      <c r="D70" s="9"/>
      <c r="E70" s="9"/>
      <c r="F70" s="9" t="n">
        <v>-0.1</v>
      </c>
      <c r="G70" s="9" t="n">
        <v>-0.54</v>
      </c>
      <c r="H70" s="9"/>
      <c r="I70" s="9"/>
      <c r="J70" s="9" t="n">
        <v>-0.17</v>
      </c>
      <c r="K70" s="9" t="n">
        <v>-1.22</v>
      </c>
      <c r="L70" s="9" t="n">
        <v>0.87</v>
      </c>
      <c r="M70" s="9" t="n">
        <v>0.46</v>
      </c>
      <c r="N70" s="9"/>
      <c r="O70" s="9"/>
      <c r="P70" s="9"/>
      <c r="Q70" s="58" t="n">
        <f aca="false">TRIMMEAN(B70:P70,2/COUNT(B70:P70))</f>
        <v>-0.423333333333333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0.29</v>
      </c>
      <c r="D72" s="9"/>
      <c r="E72" s="9" t="n">
        <v>-0.73</v>
      </c>
      <c r="F72" s="9" t="n">
        <v>0.76</v>
      </c>
      <c r="G72" s="9"/>
      <c r="H72" s="9" t="n">
        <v>1.57</v>
      </c>
      <c r="I72" s="9"/>
      <c r="J72" s="9"/>
      <c r="K72" s="9" t="n">
        <v>-1.1</v>
      </c>
      <c r="L72" s="9" t="n">
        <v>-0.17</v>
      </c>
      <c r="M72" s="9" t="n">
        <v>-1.08</v>
      </c>
      <c r="N72" s="9" t="n">
        <v>-0.57</v>
      </c>
      <c r="O72" s="9" t="n">
        <v>-0.77</v>
      </c>
      <c r="P72" s="9" t="n">
        <v>0.67</v>
      </c>
      <c r="Q72" s="58" t="n">
        <f aca="false">TRIMMEAN(B72:P72,2/COUNT(B72:P72))</f>
        <v>-0.2</v>
      </c>
    </row>
    <row r="73" customFormat="false" ht="15.75" hidden="false" customHeight="true" outlineLevel="0" collapsed="false">
      <c r="A73" s="57" t="s">
        <v>217</v>
      </c>
      <c r="B73" s="9" t="n">
        <v>0.38</v>
      </c>
      <c r="C73" s="9" t="n">
        <v>-0.85</v>
      </c>
      <c r="D73" s="9" t="n">
        <v>-0.33</v>
      </c>
      <c r="E73" s="9"/>
      <c r="F73" s="9" t="n">
        <v>2.12</v>
      </c>
      <c r="G73" s="9" t="n">
        <v>2.82</v>
      </c>
      <c r="H73" s="9"/>
      <c r="I73" s="9" t="n">
        <v>-0.01</v>
      </c>
      <c r="J73" s="9" t="n">
        <v>0.23</v>
      </c>
      <c r="K73" s="9"/>
      <c r="L73" s="9" t="n">
        <v>0.37</v>
      </c>
      <c r="M73" s="9" t="n">
        <v>0.18</v>
      </c>
      <c r="N73" s="9"/>
      <c r="O73" s="9" t="n">
        <v>1.8</v>
      </c>
      <c r="P73" s="9" t="n">
        <v>-0.69</v>
      </c>
      <c r="Q73" s="58" t="n">
        <f aca="false">TRIMMEAN(B73:P73,2/COUNT(B73:P73))</f>
        <v>0.45</v>
      </c>
    </row>
    <row r="74" customFormat="false" ht="15.75" hidden="false" customHeight="true" outlineLevel="0" collapsed="false">
      <c r="A74" s="57" t="s">
        <v>218</v>
      </c>
      <c r="B74" s="9"/>
      <c r="C74" s="9" t="n">
        <v>0.44</v>
      </c>
      <c r="D74" s="9"/>
      <c r="E74" s="9" t="n">
        <v>-0.91</v>
      </c>
      <c r="F74" s="9" t="n">
        <v>-0.7</v>
      </c>
      <c r="G74" s="9"/>
      <c r="H74" s="9" t="n">
        <v>0.52</v>
      </c>
      <c r="I74" s="9"/>
      <c r="J74" s="9"/>
      <c r="K74" s="9" t="n">
        <v>0.99</v>
      </c>
      <c r="L74" s="9" t="n">
        <v>-0.47</v>
      </c>
      <c r="M74" s="9"/>
      <c r="N74" s="9" t="n">
        <v>0.83</v>
      </c>
      <c r="O74" s="9" t="n">
        <v>-0.37</v>
      </c>
      <c r="P74" s="9" t="n">
        <v>0.02</v>
      </c>
      <c r="Q74" s="58" t="n">
        <f aca="false">TRIMMEAN(B74:P74,2/COUNT(B74:P74))</f>
        <v>0.0385714285714286</v>
      </c>
    </row>
    <row r="75" customFormat="false" ht="15.75" hidden="false" customHeight="true" outlineLevel="0" collapsed="false">
      <c r="A75" s="59" t="s">
        <v>219</v>
      </c>
      <c r="B75" s="9" t="n">
        <v>-0.08</v>
      </c>
      <c r="C75" s="9" t="n">
        <v>1.35</v>
      </c>
      <c r="D75" s="9" t="n">
        <v>-0.73</v>
      </c>
      <c r="E75" s="9"/>
      <c r="F75" s="9" t="n">
        <v>-1.34</v>
      </c>
      <c r="G75" s="9" t="n">
        <v>-2.13</v>
      </c>
      <c r="H75" s="9" t="n">
        <v>-2.37</v>
      </c>
      <c r="I75" s="9"/>
      <c r="J75" s="9" t="n">
        <v>-1.32</v>
      </c>
      <c r="K75" s="9" t="n">
        <v>-0.05</v>
      </c>
      <c r="L75" s="9" t="n">
        <v>-0.4</v>
      </c>
      <c r="M75" s="9"/>
      <c r="N75" s="9" t="n">
        <v>-0.46</v>
      </c>
      <c r="O75" s="9" t="n">
        <v>-0.77</v>
      </c>
      <c r="P75" s="9" t="n">
        <v>-1.15</v>
      </c>
      <c r="Q75" s="58" t="n">
        <f aca="false">TRIMMEAN(B75:P75,2/COUNT(B75:P75))</f>
        <v>-0.843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 t="n">
        <v>-1.93</v>
      </c>
      <c r="D77" s="9"/>
      <c r="E77" s="9" t="n">
        <v>-0.62</v>
      </c>
      <c r="F77" s="9"/>
      <c r="G77" s="9"/>
      <c r="H77" s="9"/>
      <c r="I77" s="9"/>
      <c r="J77" s="9"/>
      <c r="K77" s="9" t="n">
        <v>-1.34</v>
      </c>
      <c r="L77" s="9"/>
      <c r="M77" s="9"/>
      <c r="N77" s="9"/>
      <c r="O77" s="9"/>
      <c r="P77" s="9"/>
      <c r="Q77" s="58" t="n">
        <f aca="false">TRIMMEAN(B77:P77,2/COUNT(B77:P77))</f>
        <v>-1.34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 t="n">
        <v>-0.37</v>
      </c>
      <c r="F78" s="9"/>
      <c r="G78" s="9"/>
      <c r="H78" s="9"/>
      <c r="I78" s="9"/>
      <c r="J78" s="9"/>
      <c r="K78" s="9"/>
      <c r="L78" s="9" t="n">
        <v>-0.57</v>
      </c>
      <c r="M78" s="9" t="n">
        <v>0.8</v>
      </c>
      <c r="N78" s="9" t="n">
        <v>-0.41</v>
      </c>
      <c r="O78" s="9"/>
      <c r="P78" s="9"/>
      <c r="Q78" s="58" t="n">
        <f aca="false">TRIMMEAN(B78:P78,2/COUNT(B78:P78))</f>
        <v>-0.39</v>
      </c>
    </row>
    <row r="79" customFormat="false" ht="15.75" hidden="false" customHeight="true" outlineLevel="0" collapsed="false">
      <c r="A79" s="57" t="s">
        <v>223</v>
      </c>
      <c r="B79" s="9" t="n">
        <v>1.1</v>
      </c>
      <c r="C79" s="9" t="n">
        <v>1.26</v>
      </c>
      <c r="D79" s="9" t="n">
        <v>0.76</v>
      </c>
      <c r="E79" s="9"/>
      <c r="F79" s="9"/>
      <c r="G79" s="9" t="n">
        <v>0.69</v>
      </c>
      <c r="H79" s="9"/>
      <c r="I79" s="9" t="n">
        <v>0.04</v>
      </c>
      <c r="J79" s="9" t="n">
        <v>0.6</v>
      </c>
      <c r="K79" s="9" t="n">
        <v>1.27</v>
      </c>
      <c r="L79" s="9" t="n">
        <v>0.46</v>
      </c>
      <c r="M79" s="9" t="n">
        <v>-0.45</v>
      </c>
      <c r="N79" s="9"/>
      <c r="O79" s="9" t="n">
        <v>-1.46</v>
      </c>
      <c r="P79" s="9"/>
      <c r="Q79" s="58" t="n">
        <f aca="false">TRIMMEAN(B79:P79,2/COUNT(B79:P79))</f>
        <v>0.5575</v>
      </c>
    </row>
    <row r="80" customFormat="false" ht="15.75" hidden="false" customHeight="true" outlineLevel="0" collapsed="false">
      <c r="A80" s="57" t="s">
        <v>224</v>
      </c>
      <c r="B80" s="9" t="n">
        <v>0.03</v>
      </c>
      <c r="C80" s="9" t="n">
        <v>-0.21</v>
      </c>
      <c r="D80" s="9" t="n">
        <v>0.32</v>
      </c>
      <c r="E80" s="9" t="n">
        <v>-0.7</v>
      </c>
      <c r="F80" s="9" t="n">
        <v>-0.28</v>
      </c>
      <c r="G80" s="9"/>
      <c r="H80" s="9" t="n">
        <v>0.71</v>
      </c>
      <c r="I80" s="9" t="n">
        <v>-0.38</v>
      </c>
      <c r="J80" s="9"/>
      <c r="K80" s="9" t="n">
        <v>0.93</v>
      </c>
      <c r="L80" s="9" t="n">
        <v>0.12</v>
      </c>
      <c r="M80" s="9" t="n">
        <v>0.89</v>
      </c>
      <c r="N80" s="9" t="n">
        <v>1.51</v>
      </c>
      <c r="O80" s="9" t="n">
        <v>0.54</v>
      </c>
      <c r="P80" s="9" t="n">
        <v>0.45</v>
      </c>
      <c r="Q80" s="58" t="n">
        <f aca="false">TRIMMEAN(B80:P80,2/COUNT(B80:P80))</f>
        <v>0.283636363636364</v>
      </c>
    </row>
    <row r="81" customFormat="false" ht="15.75" hidden="false" customHeight="true" outlineLevel="0" collapsed="false">
      <c r="A81" s="59" t="s">
        <v>225</v>
      </c>
      <c r="B81" s="9" t="n">
        <v>1.45</v>
      </c>
      <c r="C81" s="9" t="n">
        <v>1.4</v>
      </c>
      <c r="D81" s="9" t="n">
        <v>1.23</v>
      </c>
      <c r="E81" s="9"/>
      <c r="F81" s="9" t="n">
        <v>1</v>
      </c>
      <c r="G81" s="9" t="n">
        <v>-1.67</v>
      </c>
      <c r="H81" s="9"/>
      <c r="I81" s="9" t="n">
        <v>-0.12</v>
      </c>
      <c r="J81" s="9" t="n">
        <v>1</v>
      </c>
      <c r="K81" s="9" t="n">
        <v>0.8</v>
      </c>
      <c r="L81" s="9"/>
      <c r="M81" s="9" t="n">
        <v>-0.73</v>
      </c>
      <c r="N81" s="9"/>
      <c r="O81" s="9" t="n">
        <v>0.33</v>
      </c>
      <c r="P81" s="9" t="n">
        <v>-0.59</v>
      </c>
      <c r="Q81" s="58" t="n">
        <f aca="false">TRIMMEAN(B81:P81,2/COUNT(B81:P81))</f>
        <v>0.48</v>
      </c>
    </row>
    <row r="82" customFormat="false" ht="15.75" hidden="false" customHeight="true" outlineLevel="0" collapsed="false">
      <c r="A82" s="59" t="s">
        <v>226</v>
      </c>
      <c r="B82" s="9"/>
      <c r="C82" s="9" t="n">
        <v>1.41</v>
      </c>
      <c r="D82" s="9"/>
      <c r="E82" s="9" t="n">
        <v>-0.54</v>
      </c>
      <c r="F82" s="9" t="n">
        <v>1.38</v>
      </c>
      <c r="G82" s="9"/>
      <c r="H82" s="9" t="n">
        <v>-0.78</v>
      </c>
      <c r="I82" s="9"/>
      <c r="J82" s="9"/>
      <c r="K82" s="9" t="n">
        <v>-0.29</v>
      </c>
      <c r="L82" s="9" t="n">
        <v>-0.44</v>
      </c>
      <c r="M82" s="9" t="n">
        <v>-2.03</v>
      </c>
      <c r="N82" s="9" t="n">
        <v>-1.2</v>
      </c>
      <c r="O82" s="9" t="n">
        <v>-1.98</v>
      </c>
      <c r="P82" s="9" t="n">
        <v>-0.13</v>
      </c>
      <c r="Q82" s="58" t="n">
        <f aca="false">TRIMMEAN(B82:P82,2/COUNT(B82:P82))</f>
        <v>-0.4975</v>
      </c>
    </row>
    <row r="83" customFormat="false" ht="15.75" hidden="false" customHeight="true" outlineLevel="0" collapsed="false">
      <c r="A83" s="59" t="s">
        <v>227</v>
      </c>
      <c r="B83" s="9"/>
      <c r="C83" s="9" t="n">
        <v>-2.03</v>
      </c>
      <c r="D83" s="9" t="n">
        <v>-1.46</v>
      </c>
      <c r="E83" s="9" t="n">
        <v>0.02</v>
      </c>
      <c r="F83" s="9" t="n">
        <v>-0.53</v>
      </c>
      <c r="G83" s="9"/>
      <c r="H83" s="9" t="n">
        <v>0.44</v>
      </c>
      <c r="I83" s="9" t="n">
        <v>1.32</v>
      </c>
      <c r="J83" s="9"/>
      <c r="K83" s="9" t="n">
        <v>1.67</v>
      </c>
      <c r="L83" s="9"/>
      <c r="M83" s="9"/>
      <c r="N83" s="9" t="n">
        <v>0.18</v>
      </c>
      <c r="O83" s="9" t="n">
        <v>-0.04</v>
      </c>
      <c r="P83" s="9" t="n">
        <v>0.41</v>
      </c>
      <c r="Q83" s="58" t="n">
        <f aca="false">TRIMMEAN(B83:P83,2/COUNT(B83:P83))</f>
        <v>0.0425</v>
      </c>
    </row>
    <row r="84" customFormat="false" ht="15.75" hidden="false" customHeight="true" outlineLevel="0" collapsed="false">
      <c r="A84" s="57" t="s">
        <v>228</v>
      </c>
      <c r="B84" s="9" t="n">
        <v>-0.61</v>
      </c>
      <c r="C84" s="9" t="n">
        <v>-2.05</v>
      </c>
      <c r="D84" s="9"/>
      <c r="E84" s="9" t="n">
        <v>0.45</v>
      </c>
      <c r="F84" s="9" t="n">
        <v>-0.17</v>
      </c>
      <c r="G84" s="9" t="n">
        <v>1.63</v>
      </c>
      <c r="H84" s="9"/>
      <c r="I84" s="9"/>
      <c r="J84" s="9"/>
      <c r="K84" s="9" t="n">
        <v>-1.49</v>
      </c>
      <c r="L84" s="9" t="n">
        <v>0.69</v>
      </c>
      <c r="M84" s="9"/>
      <c r="N84" s="9"/>
      <c r="O84" s="9"/>
      <c r="P84" s="9"/>
      <c r="Q84" s="58" t="n">
        <f aca="false">TRIMMEAN(B84:P84,2/COUNT(B84:P84))</f>
        <v>-0.226</v>
      </c>
    </row>
    <row r="85" customFormat="false" ht="15.75" hidden="false" customHeight="true" outlineLevel="0" collapsed="false">
      <c r="A85" s="57" t="s">
        <v>229</v>
      </c>
      <c r="B85" s="9" t="n">
        <v>-2.56</v>
      </c>
      <c r="C85" s="9"/>
      <c r="D85" s="9" t="n">
        <v>-1.63</v>
      </c>
      <c r="E85" s="9" t="n">
        <v>-1.96</v>
      </c>
      <c r="F85" s="9" t="n">
        <v>-1.33</v>
      </c>
      <c r="G85" s="9" t="n">
        <v>-0.11</v>
      </c>
      <c r="H85" s="9"/>
      <c r="I85" s="9"/>
      <c r="J85" s="9" t="n">
        <v>-0.44</v>
      </c>
      <c r="K85" s="9"/>
      <c r="L85" s="9" t="n">
        <v>0.72</v>
      </c>
      <c r="M85" s="9" t="n">
        <v>-0.24</v>
      </c>
      <c r="N85" s="9"/>
      <c r="P85" s="9"/>
      <c r="Q85" s="58" t="n">
        <f aca="false">TRIMMEAN(B85:P85,2/COUNT(B85:P85))</f>
        <v>-0.951666666666667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 t="n">
        <v>-0.3</v>
      </c>
      <c r="L86" s="9"/>
      <c r="M86" s="9"/>
      <c r="N86" s="9"/>
      <c r="O86" s="9"/>
      <c r="P86" s="9"/>
      <c r="Q86" s="58" t="e">
        <f aca="false">TRIMMEAN(B86:P86,2/COUNT(B86:P86))</f>
        <v>#VALUE!</v>
      </c>
    </row>
    <row r="87" customFormat="false" ht="15.75" hidden="false" customHeight="true" outlineLevel="0" collapsed="false">
      <c r="A87" s="59" t="s">
        <v>231</v>
      </c>
      <c r="B87" s="9"/>
      <c r="C87" s="9" t="n">
        <v>0.69</v>
      </c>
      <c r="D87" s="9"/>
      <c r="E87" s="9" t="n">
        <v>-0.82</v>
      </c>
      <c r="F87" s="9"/>
      <c r="G87" s="9"/>
      <c r="H87" s="9" t="n">
        <v>0.51</v>
      </c>
      <c r="I87" s="9"/>
      <c r="J87" s="9"/>
      <c r="K87" s="9" t="n">
        <v>-1.47</v>
      </c>
      <c r="L87" s="9" t="n">
        <v>-1.08</v>
      </c>
      <c r="M87" s="9" t="n">
        <v>-0.32</v>
      </c>
      <c r="N87" s="9" t="n">
        <v>-0.76</v>
      </c>
      <c r="O87" s="9"/>
      <c r="P87" s="9"/>
      <c r="Q87" s="58" t="n">
        <f aca="false">TRIMMEAN(B87:P87,2/COUNT(B87:P87))</f>
        <v>-0.494</v>
      </c>
    </row>
    <row r="88" customFormat="false" ht="15.75" hidden="false" customHeight="true" outlineLevel="0" collapsed="false">
      <c r="A88" s="59" t="s">
        <v>232</v>
      </c>
      <c r="B88" s="9"/>
      <c r="C88" s="9" t="n">
        <v>-1.23</v>
      </c>
      <c r="D88" s="9"/>
      <c r="E88" s="9" t="n">
        <v>-1.55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0.2</v>
      </c>
      <c r="C89" s="9" t="n">
        <v>0.44</v>
      </c>
      <c r="D89" s="9" t="n">
        <v>-1.07</v>
      </c>
      <c r="E89" s="9"/>
      <c r="F89" s="9" t="n">
        <v>-1.57</v>
      </c>
      <c r="G89" s="9" t="n">
        <v>0.74</v>
      </c>
      <c r="H89" s="9" t="n">
        <v>0.65</v>
      </c>
      <c r="I89" s="9" t="n">
        <v>-1.19</v>
      </c>
      <c r="J89" s="9" t="n">
        <v>1.66</v>
      </c>
      <c r="K89" s="9"/>
      <c r="L89" s="9" t="n">
        <v>2.04</v>
      </c>
      <c r="M89" s="9" t="n">
        <v>-1.68</v>
      </c>
      <c r="N89" s="9"/>
      <c r="O89" s="9" t="n">
        <v>-1.49</v>
      </c>
      <c r="P89" s="9" t="n">
        <v>1.31</v>
      </c>
      <c r="Q89" s="58" t="n">
        <f aca="false">TRIMMEAN(B89:P89,2/COUNT(B89:P89))</f>
        <v>-0.032</v>
      </c>
    </row>
    <row r="90" customFormat="false" ht="15.75" hidden="false" customHeight="true" outlineLevel="0" collapsed="false">
      <c r="A90" s="59" t="s">
        <v>234</v>
      </c>
      <c r="B90" s="9"/>
      <c r="C90" s="9" t="n">
        <v>-2.62</v>
      </c>
      <c r="D90" s="9"/>
      <c r="E90" s="9" t="n">
        <v>-0.24</v>
      </c>
      <c r="F90" s="9" t="n">
        <v>-2.29</v>
      </c>
      <c r="G90" s="9"/>
      <c r="H90" s="9"/>
      <c r="I90" s="9" t="n">
        <v>0.55</v>
      </c>
      <c r="J90" s="9"/>
      <c r="K90" s="9" t="n">
        <v>-0.54</v>
      </c>
      <c r="L90" s="9" t="n">
        <v>0.02</v>
      </c>
      <c r="M90" s="9" t="n">
        <v>0.42</v>
      </c>
      <c r="N90" s="9" t="n">
        <v>-0.46</v>
      </c>
      <c r="O90" s="9"/>
      <c r="P90" s="9"/>
      <c r="Q90" s="58" t="n">
        <f aca="false">TRIMMEAN(B90:P90,2/COUNT(B90:P90))</f>
        <v>-0.515</v>
      </c>
    </row>
    <row r="91" customFormat="false" ht="15.75" hidden="false" customHeight="true" outlineLevel="0" collapsed="false">
      <c r="A91" s="57" t="s">
        <v>235</v>
      </c>
      <c r="B91" s="9" t="n">
        <v>-0.09</v>
      </c>
      <c r="C91" s="9" t="n">
        <v>0.34</v>
      </c>
      <c r="D91" s="9" t="n">
        <v>1.05</v>
      </c>
      <c r="E91" s="9"/>
      <c r="F91" s="9" t="n">
        <v>0.24</v>
      </c>
      <c r="G91" s="9" t="n">
        <v>0.07</v>
      </c>
      <c r="H91" s="9"/>
      <c r="I91" s="9" t="n">
        <v>1.1</v>
      </c>
      <c r="J91" s="9" t="n">
        <v>-0.34</v>
      </c>
      <c r="K91" s="9"/>
      <c r="L91" s="9" t="n">
        <v>0.93</v>
      </c>
      <c r="M91" s="9" t="n">
        <v>-2.34</v>
      </c>
      <c r="N91" s="9" t="n">
        <v>0.89</v>
      </c>
      <c r="O91" s="9"/>
      <c r="P91" s="9" t="n">
        <v>0.79</v>
      </c>
      <c r="Q91" s="58" t="n">
        <f aca="false">TRIMMEAN(B91:P91,2/COUNT(B91:P91))</f>
        <v>0.431111111111111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0.13</v>
      </c>
      <c r="E92" s="9"/>
      <c r="F92" s="9"/>
      <c r="G92" s="9"/>
      <c r="H92" s="9" t="n">
        <v>-0.5</v>
      </c>
      <c r="I92" s="9" t="n">
        <v>-0.58</v>
      </c>
      <c r="J92" s="9"/>
      <c r="K92" s="9"/>
      <c r="L92" s="9" t="n">
        <v>-2.35</v>
      </c>
      <c r="M92" s="9" t="n">
        <v>-2.17</v>
      </c>
      <c r="N92" s="9"/>
      <c r="O92" s="9"/>
      <c r="P92" s="9"/>
      <c r="Q92" s="58" t="n">
        <f aca="false">TRIMMEAN(B92:P92,2/COUNT(B92:P92))</f>
        <v>-1.08333333333333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-0.17</v>
      </c>
      <c r="D94" s="9" t="n">
        <v>-1.58</v>
      </c>
      <c r="E94" s="9"/>
      <c r="F94" s="9"/>
      <c r="G94" s="9" t="n">
        <v>1.49</v>
      </c>
      <c r="H94" s="9"/>
      <c r="I94" s="9" t="n">
        <v>1.18</v>
      </c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0.505</v>
      </c>
    </row>
    <row r="95" customFormat="false" ht="15.75" hidden="false" customHeight="true" outlineLevel="0" collapsed="false">
      <c r="A95" s="59" t="s">
        <v>239</v>
      </c>
      <c r="B95" s="9" t="n">
        <v>-0.45</v>
      </c>
      <c r="C95" s="9"/>
      <c r="D95" s="9" t="n">
        <v>-1.32</v>
      </c>
      <c r="E95" s="9"/>
      <c r="F95" s="9" t="n">
        <v>0.55</v>
      </c>
      <c r="G95" s="9" t="n">
        <v>0.92</v>
      </c>
      <c r="H95" s="9"/>
      <c r="I95" s="9" t="n">
        <v>-0.23</v>
      </c>
      <c r="J95" s="9" t="n">
        <v>1.16</v>
      </c>
      <c r="K95" s="9"/>
      <c r="L95" s="9"/>
      <c r="M95" s="9" t="n">
        <v>0.93</v>
      </c>
      <c r="N95" s="9"/>
      <c r="O95" s="9" t="n">
        <v>2.22</v>
      </c>
      <c r="P95" s="9"/>
      <c r="Q95" s="58" t="n">
        <f aca="false">TRIMMEAN(B95:P95,2/COUNT(B95:P95))</f>
        <v>0.48</v>
      </c>
    </row>
    <row r="96" customFormat="false" ht="15.75" hidden="false" customHeight="true" outlineLevel="0" collapsed="false">
      <c r="A96" s="57" t="s">
        <v>240</v>
      </c>
      <c r="B96" s="9" t="n">
        <v>0.34</v>
      </c>
      <c r="C96" s="9" t="n">
        <v>0.13</v>
      </c>
      <c r="D96" s="9"/>
      <c r="E96" s="9" t="n">
        <v>0.35</v>
      </c>
      <c r="F96" s="9" t="n">
        <v>-0.81</v>
      </c>
      <c r="G96" s="9" t="n">
        <v>0.42</v>
      </c>
      <c r="H96" s="9"/>
      <c r="I96" s="9" t="n">
        <v>-0.29</v>
      </c>
      <c r="J96" s="9" t="n">
        <v>0.43</v>
      </c>
      <c r="K96" s="9" t="n">
        <v>-1.72</v>
      </c>
      <c r="L96" s="9" t="n">
        <v>-1.48</v>
      </c>
      <c r="M96" s="9"/>
      <c r="N96" s="9"/>
      <c r="O96" s="9"/>
      <c r="P96" s="9"/>
      <c r="Q96" s="58" t="n">
        <f aca="false">TRIMMEAN(B96:P96,2/COUNT(B96:P96))</f>
        <v>-0.191428571428571</v>
      </c>
    </row>
    <row r="97" customFormat="false" ht="15.75" hidden="false" customHeight="true" outlineLevel="0" collapsed="false">
      <c r="A97" s="59" t="s">
        <v>241</v>
      </c>
      <c r="B97" s="9"/>
      <c r="C97" s="9" t="n">
        <v>-0.92</v>
      </c>
      <c r="D97" s="9" t="n">
        <v>0.51</v>
      </c>
      <c r="E97" s="9" t="n">
        <v>0.54</v>
      </c>
      <c r="F97" s="9" t="n">
        <v>1.26</v>
      </c>
      <c r="G97" s="9"/>
      <c r="H97" s="9" t="n">
        <v>0.13</v>
      </c>
      <c r="I97" s="9"/>
      <c r="J97" s="9"/>
      <c r="K97" s="9" t="n">
        <v>0.04</v>
      </c>
      <c r="L97" s="9"/>
      <c r="M97" s="9" t="n">
        <v>1.01</v>
      </c>
      <c r="N97" s="9" t="n">
        <v>1.78</v>
      </c>
      <c r="O97" s="9" t="n">
        <v>-0.19</v>
      </c>
      <c r="P97" s="9"/>
      <c r="Q97" s="58" t="n">
        <f aca="false">TRIMMEAN(B97:P97,2/COUNT(B97:P97))</f>
        <v>0.471428571428572</v>
      </c>
    </row>
    <row r="98" customFormat="false" ht="15.75" hidden="false" customHeight="true" outlineLevel="0" collapsed="false">
      <c r="A98" s="59" t="s">
        <v>242</v>
      </c>
      <c r="B98" s="9"/>
      <c r="C98" s="9" t="n">
        <v>0.18</v>
      </c>
      <c r="D98" s="9"/>
      <c r="E98" s="9" t="n">
        <v>-0.9</v>
      </c>
      <c r="F98" s="9"/>
      <c r="G98" s="9"/>
      <c r="H98" s="9"/>
      <c r="I98" s="9" t="n">
        <v>0.36</v>
      </c>
      <c r="J98" s="9"/>
      <c r="K98" s="9" t="n">
        <v>0.32</v>
      </c>
      <c r="L98" s="9" t="n">
        <v>-0.97</v>
      </c>
      <c r="M98" s="9" t="n">
        <v>-0.32</v>
      </c>
      <c r="N98" s="9" t="n">
        <v>-0.46</v>
      </c>
      <c r="O98" s="9"/>
      <c r="P98" s="9"/>
      <c r="Q98" s="58" t="n">
        <f aca="false">TRIMMEAN(B98:P98,2/COUNT(B98:P98))</f>
        <v>-0.236</v>
      </c>
    </row>
    <row r="99" customFormat="false" ht="15.75" hidden="false" customHeight="true" outlineLevel="0" collapsed="false">
      <c r="A99" s="57" t="s">
        <v>243</v>
      </c>
      <c r="B99" s="9"/>
      <c r="C99" s="9" t="n">
        <v>-1.31</v>
      </c>
      <c r="D99" s="9" t="n">
        <v>-0.66</v>
      </c>
      <c r="E99" s="9" t="n">
        <v>0.51</v>
      </c>
      <c r="F99" s="9" t="n">
        <v>0.33</v>
      </c>
      <c r="G99" s="9"/>
      <c r="H99" s="9" t="n">
        <v>-1.17</v>
      </c>
      <c r="I99" s="9"/>
      <c r="J99" s="9"/>
      <c r="K99" s="9" t="n">
        <v>-1.14</v>
      </c>
      <c r="L99" s="9" t="n">
        <v>-0.57</v>
      </c>
      <c r="M99" s="9" t="n">
        <v>0.09</v>
      </c>
      <c r="N99" s="9" t="n">
        <v>-0.38</v>
      </c>
      <c r="O99" s="9" t="n">
        <v>1.66</v>
      </c>
      <c r="P99" s="9" t="n">
        <v>-0.32</v>
      </c>
      <c r="Q99" s="58" t="n">
        <f aca="false">TRIMMEAN(B99:P99,2/COUNT(B99:P99))</f>
        <v>-0.367777777777778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 t="n">
        <v>1.08</v>
      </c>
      <c r="F100" s="9" t="n">
        <v>0.44</v>
      </c>
      <c r="G100" s="9" t="n">
        <v>0.73</v>
      </c>
      <c r="H100" s="9"/>
      <c r="I100" s="9"/>
      <c r="J100" s="9" t="n">
        <v>0.4</v>
      </c>
      <c r="K100" s="9" t="n">
        <v>-0.18</v>
      </c>
      <c r="L100" s="9" t="n">
        <v>0.72</v>
      </c>
      <c r="M100" s="9"/>
      <c r="N100" s="9"/>
      <c r="O100" s="9"/>
      <c r="P100" s="9"/>
      <c r="Q100" s="58" t="n">
        <f aca="false">TRIMMEAN(B100:P100,2/COUNT(B100:P100))</f>
        <v>0.5725</v>
      </c>
    </row>
    <row r="101" customFormat="false" ht="15.75" hidden="false" customHeight="true" outlineLevel="0" collapsed="false">
      <c r="A101" s="57" t="s">
        <v>245</v>
      </c>
      <c r="B101" s="9" t="n">
        <v>-1.43</v>
      </c>
      <c r="C101" s="9"/>
      <c r="D101" s="9" t="n">
        <v>0.47</v>
      </c>
      <c r="E101" s="9" t="n">
        <v>-1.47</v>
      </c>
      <c r="F101" s="9" t="n">
        <v>-0.66</v>
      </c>
      <c r="G101" s="9" t="n">
        <v>1.26</v>
      </c>
      <c r="H101" s="9"/>
      <c r="I101" s="9"/>
      <c r="J101" s="9" t="n">
        <v>-1.49</v>
      </c>
      <c r="K101" s="9" t="n">
        <v>-1.39</v>
      </c>
      <c r="L101" s="9" t="n">
        <v>-1.91</v>
      </c>
      <c r="M101" s="9" t="n">
        <v>-0.58</v>
      </c>
      <c r="N101" s="9"/>
      <c r="O101" s="9"/>
      <c r="P101" s="9"/>
      <c r="Q101" s="58" t="n">
        <f aca="false">TRIMMEAN(B101:P101,2/COUNT(B101:P101))</f>
        <v>-0.935714285714286</v>
      </c>
    </row>
    <row r="102" customFormat="false" ht="15.75" hidden="false" customHeight="true" outlineLevel="0" collapsed="false">
      <c r="A102" s="59" t="s">
        <v>246</v>
      </c>
      <c r="B102" s="9"/>
      <c r="C102" s="9" t="n">
        <v>0.54</v>
      </c>
      <c r="D102" s="9"/>
      <c r="E102" s="9" t="n">
        <v>-1.04</v>
      </c>
      <c r="F102" s="9" t="n">
        <v>0.31</v>
      </c>
      <c r="G102" s="9"/>
      <c r="H102" s="9" t="n">
        <v>-0.39</v>
      </c>
      <c r="I102" s="9"/>
      <c r="J102" s="9"/>
      <c r="K102" s="9" t="n">
        <v>-0.06</v>
      </c>
      <c r="L102" s="9" t="n">
        <v>-1.56</v>
      </c>
      <c r="M102" s="9" t="n">
        <v>-1.72</v>
      </c>
      <c r="N102" s="9" t="n">
        <v>-1.63</v>
      </c>
      <c r="O102" s="9" t="n">
        <v>0.48</v>
      </c>
      <c r="P102" s="9" t="n">
        <v>0.8</v>
      </c>
      <c r="Q102" s="58" t="n">
        <f aca="false">TRIMMEAN(B102:P102,2/COUNT(B102:P102))</f>
        <v>-0.41875</v>
      </c>
    </row>
    <row r="103" customFormat="false" ht="15.75" hidden="false" customHeight="true" outlineLevel="0" collapsed="false">
      <c r="A103" s="59" t="s">
        <v>247</v>
      </c>
      <c r="B103" s="9" t="n">
        <v>-0.07</v>
      </c>
      <c r="C103" s="9" t="n">
        <v>0.28</v>
      </c>
      <c r="D103" s="9" t="n">
        <v>0.1</v>
      </c>
      <c r="E103" s="9" t="n">
        <v>-0.23</v>
      </c>
      <c r="F103" s="9" t="n">
        <v>-0.77</v>
      </c>
      <c r="G103" s="9" t="n">
        <v>-0.24</v>
      </c>
      <c r="H103" s="9"/>
      <c r="I103" s="9" t="n">
        <v>-0.35</v>
      </c>
      <c r="J103" s="9" t="n">
        <v>-0.38</v>
      </c>
      <c r="K103" s="9" t="n">
        <v>0.72</v>
      </c>
      <c r="L103" s="9"/>
      <c r="M103" s="9" t="n">
        <v>-0.76</v>
      </c>
      <c r="N103" s="9"/>
      <c r="O103" s="9" t="n">
        <v>-0.91</v>
      </c>
      <c r="P103" s="9" t="n">
        <v>-0.37</v>
      </c>
      <c r="Q103" s="58" t="n">
        <f aca="false">TRIMMEAN(B103:P103,2/COUNT(B103:P103))</f>
        <v>-0.279</v>
      </c>
    </row>
    <row r="104" customFormat="false" ht="15.75" hidden="false" customHeight="true" outlineLevel="0" collapsed="false">
      <c r="A104" s="59" t="s">
        <v>248</v>
      </c>
      <c r="B104" s="9"/>
      <c r="C104" s="9" t="n">
        <v>-1.82</v>
      </c>
      <c r="D104" s="9"/>
      <c r="E104" s="9" t="n">
        <v>-0.34</v>
      </c>
      <c r="F104" s="9" t="n">
        <v>1.9</v>
      </c>
      <c r="G104" s="9"/>
      <c r="H104" s="9" t="n">
        <v>-0.47</v>
      </c>
      <c r="I104" s="9"/>
      <c r="J104" s="9"/>
      <c r="K104" s="9" t="n">
        <v>2.15</v>
      </c>
      <c r="L104" s="9" t="n">
        <v>-0.83</v>
      </c>
      <c r="M104" s="9"/>
      <c r="N104" s="9" t="n">
        <v>0.78</v>
      </c>
      <c r="O104" s="9" t="n">
        <v>-0.46</v>
      </c>
      <c r="P104" s="9" t="n">
        <v>-0.43</v>
      </c>
      <c r="Q104" s="58" t="n">
        <f aca="false">TRIMMEAN(B104:P104,2/COUNT(B104:P104))</f>
        <v>0.0214285714285714</v>
      </c>
    </row>
    <row r="105" customFormat="false" ht="15.75" hidden="false" customHeight="true" outlineLevel="0" collapsed="false">
      <c r="A105" s="59" t="s">
        <v>249</v>
      </c>
      <c r="B105" s="9"/>
      <c r="C105" s="9" t="n">
        <v>-0.15</v>
      </c>
      <c r="D105" s="9" t="n">
        <v>-0.97</v>
      </c>
      <c r="E105" s="9" t="n">
        <v>0.98</v>
      </c>
      <c r="F105" s="9" t="n">
        <v>0.13</v>
      </c>
      <c r="G105" s="9"/>
      <c r="H105" s="9" t="n">
        <v>-1.2</v>
      </c>
      <c r="I105" s="9"/>
      <c r="J105" s="9"/>
      <c r="K105" s="9" t="n">
        <v>-1.66</v>
      </c>
      <c r="L105" s="9" t="n">
        <v>-0.94</v>
      </c>
      <c r="M105" s="9" t="n">
        <v>-0.35</v>
      </c>
      <c r="N105" s="9" t="n">
        <v>-1.23</v>
      </c>
      <c r="O105" s="9" t="n">
        <v>0.63</v>
      </c>
      <c r="P105" s="9" t="n">
        <v>0.88</v>
      </c>
      <c r="Q105" s="58" t="n">
        <f aca="false">TRIMMEAN(B105:P105,2/COUNT(B105:P105))</f>
        <v>-0.355555555555556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 t="n">
        <v>0.26</v>
      </c>
      <c r="F106" s="9" t="n">
        <v>-1.67</v>
      </c>
      <c r="G106" s="9"/>
      <c r="H106" s="9" t="n">
        <v>-1.02</v>
      </c>
      <c r="I106" s="9"/>
      <c r="J106" s="9"/>
      <c r="K106" s="9"/>
      <c r="L106" s="9" t="n">
        <v>-2.35</v>
      </c>
      <c r="M106" s="9" t="n">
        <v>-0.11</v>
      </c>
      <c r="N106" s="9" t="n">
        <v>0.87</v>
      </c>
      <c r="O106" s="9"/>
      <c r="P106" s="9"/>
      <c r="Q106" s="58" t="n">
        <f aca="false">TRIMMEAN(B106:P106,2/COUNT(B106:P106))</f>
        <v>-0.635</v>
      </c>
    </row>
    <row r="107" customFormat="false" ht="15.75" hidden="false" customHeight="true" outlineLevel="0" collapsed="false">
      <c r="A107" s="59" t="s">
        <v>251</v>
      </c>
      <c r="B107" s="9" t="n">
        <v>0.08</v>
      </c>
      <c r="C107" s="9" t="n">
        <v>-1.36</v>
      </c>
      <c r="D107" s="9" t="n">
        <v>0.97</v>
      </c>
      <c r="E107" s="9" t="n">
        <v>0.98</v>
      </c>
      <c r="F107" s="9" t="n">
        <v>-0.36</v>
      </c>
      <c r="G107" s="9" t="n">
        <v>-1.74</v>
      </c>
      <c r="H107" s="9" t="n">
        <v>-0.61</v>
      </c>
      <c r="I107" s="9"/>
      <c r="J107" s="9" t="n">
        <v>0.86</v>
      </c>
      <c r="K107" s="9" t="n">
        <v>-0.12</v>
      </c>
      <c r="L107" s="9" t="n">
        <v>-0.22</v>
      </c>
      <c r="M107" s="9"/>
      <c r="N107" s="9" t="n">
        <v>-1.7</v>
      </c>
      <c r="O107" s="9" t="n">
        <v>-0.18</v>
      </c>
      <c r="P107" s="9" t="n">
        <v>1.08</v>
      </c>
      <c r="Q107" s="58" t="n">
        <f aca="false">TRIMMEAN(B107:P107,2/COUNT(B107:P107))</f>
        <v>-0.150909090909091</v>
      </c>
    </row>
    <row r="108" customFormat="false" ht="15.75" hidden="false" customHeight="true" outlineLevel="0" collapsed="false">
      <c r="A108" s="57" t="s">
        <v>252</v>
      </c>
      <c r="B108" s="9" t="n">
        <v>-0.23</v>
      </c>
      <c r="C108" s="9" t="n">
        <v>0.46</v>
      </c>
      <c r="D108" s="9" t="n">
        <v>0.12</v>
      </c>
      <c r="E108" s="9"/>
      <c r="F108" s="9"/>
      <c r="G108" s="9" t="n">
        <v>-1.05</v>
      </c>
      <c r="H108" s="9" t="n">
        <v>-0.1</v>
      </c>
      <c r="I108" s="9" t="n">
        <v>1.22</v>
      </c>
      <c r="J108" s="9" t="n">
        <v>0.05</v>
      </c>
      <c r="K108" s="9"/>
      <c r="L108" s="9" t="n">
        <v>-0.84</v>
      </c>
      <c r="M108" s="9" t="n">
        <v>-0.5</v>
      </c>
      <c r="N108" s="9"/>
      <c r="O108" s="9" t="n">
        <v>0.31</v>
      </c>
      <c r="P108" s="9"/>
      <c r="Q108" s="58" t="n">
        <f aca="false">TRIMMEAN(B108:P108,2/COUNT(B108:P108))</f>
        <v>-0.09125</v>
      </c>
    </row>
    <row r="109" customFormat="false" ht="15.75" hidden="false" customHeight="true" outlineLevel="0" collapsed="false">
      <c r="A109" s="57" t="s">
        <v>253</v>
      </c>
      <c r="B109" s="9"/>
      <c r="C109" s="9" t="n">
        <v>-0.18</v>
      </c>
      <c r="D109" s="9" t="n">
        <v>0.1</v>
      </c>
      <c r="E109" s="9" t="n">
        <v>-1.04</v>
      </c>
      <c r="F109" s="9" t="n">
        <v>-1.11</v>
      </c>
      <c r="G109" s="9"/>
      <c r="H109" s="9"/>
      <c r="I109" s="9"/>
      <c r="J109" s="9"/>
      <c r="K109" s="9"/>
      <c r="L109" s="9" t="n">
        <v>1.38</v>
      </c>
      <c r="M109" s="9" t="n">
        <v>-0.07</v>
      </c>
      <c r="N109" s="9" t="n">
        <v>-0.02</v>
      </c>
      <c r="O109" s="9" t="n">
        <v>1.85</v>
      </c>
      <c r="P109" s="9" t="n">
        <v>0.5</v>
      </c>
      <c r="Q109" s="58" t="n">
        <f aca="false">TRIMMEAN(B109:P109,2/COUNT(B109:P109))</f>
        <v>0.0957142857142857</v>
      </c>
    </row>
    <row r="110" customFormat="false" ht="15.75" hidden="false" customHeight="true" outlineLevel="0" collapsed="false">
      <c r="A110" s="59" t="s">
        <v>254</v>
      </c>
      <c r="B110" s="9" t="n">
        <v>0.37</v>
      </c>
      <c r="C110" s="9" t="n">
        <v>1.03</v>
      </c>
      <c r="D110" s="9" t="n">
        <v>-1.43</v>
      </c>
      <c r="E110" s="9"/>
      <c r="F110" s="9" t="n">
        <v>1.34</v>
      </c>
      <c r="G110" s="9"/>
      <c r="H110" s="9" t="n">
        <v>0.47</v>
      </c>
      <c r="I110" s="9"/>
      <c r="J110" s="9"/>
      <c r="K110" s="9" t="n">
        <v>0.69</v>
      </c>
      <c r="L110" s="9" t="n">
        <v>0.68</v>
      </c>
      <c r="M110" s="9" t="n">
        <v>0.33</v>
      </c>
      <c r="N110" s="9" t="n">
        <v>-0.47</v>
      </c>
      <c r="O110" s="9"/>
      <c r="P110" s="9"/>
      <c r="Q110" s="58" t="n">
        <f aca="false">TRIMMEAN(B110:P110,2/COUNT(B110:P110))</f>
        <v>0.442857142857143</v>
      </c>
    </row>
    <row r="111" customFormat="false" ht="15.75" hidden="false" customHeight="true" outlineLevel="0" collapsed="false">
      <c r="A111" s="57" t="s">
        <v>255</v>
      </c>
      <c r="B111" s="9"/>
      <c r="C111" s="9" t="n">
        <v>0.35</v>
      </c>
      <c r="D111" s="9" t="n">
        <v>-0.46</v>
      </c>
      <c r="E111" s="9" t="n">
        <v>-0.22</v>
      </c>
      <c r="F111" s="9" t="n">
        <v>-0.62</v>
      </c>
      <c r="G111" s="9" t="n">
        <v>0.91</v>
      </c>
      <c r="H111" s="9" t="n">
        <v>0.65</v>
      </c>
      <c r="I111" s="9" t="n">
        <v>-0.47</v>
      </c>
      <c r="J111" s="9"/>
      <c r="K111" s="9"/>
      <c r="L111" s="9" t="n">
        <v>-1.5</v>
      </c>
      <c r="M111" s="9" t="n">
        <v>-0.49</v>
      </c>
      <c r="N111" s="9" t="n">
        <v>-0.66</v>
      </c>
      <c r="O111" s="9" t="n">
        <v>1.51</v>
      </c>
      <c r="P111" s="9" t="n">
        <v>0.69</v>
      </c>
      <c r="Q111" s="58" t="n">
        <f aca="false">TRIMMEAN(B111:P111,2/COUNT(B111:P111))</f>
        <v>-0.032</v>
      </c>
    </row>
    <row r="112" customFormat="false" ht="15.75" hidden="false" customHeight="true" outlineLevel="0" collapsed="false">
      <c r="A112" s="57" t="s">
        <v>256</v>
      </c>
      <c r="B112" s="9" t="n">
        <v>-0.71</v>
      </c>
      <c r="C112" s="9" t="n">
        <v>1.63</v>
      </c>
      <c r="D112" s="9"/>
      <c r="E112" s="9" t="n">
        <v>0.42</v>
      </c>
      <c r="F112" s="9" t="n">
        <v>0.55</v>
      </c>
      <c r="G112" s="9" t="n">
        <v>1.14</v>
      </c>
      <c r="H112" s="9"/>
      <c r="I112" s="9"/>
      <c r="J112" s="9" t="n">
        <v>1.39</v>
      </c>
      <c r="K112" s="9" t="n">
        <v>-1.94</v>
      </c>
      <c r="L112" s="9" t="n">
        <v>-0.85</v>
      </c>
      <c r="M112" s="9" t="n">
        <v>0.14</v>
      </c>
      <c r="N112" s="9"/>
      <c r="O112" s="9"/>
      <c r="P112" s="9"/>
      <c r="Q112" s="58" t="n">
        <f aca="false">TRIMMEAN(B112:P112,2/COUNT(B112:P112))</f>
        <v>0.297142857142857</v>
      </c>
    </row>
    <row r="113" customFormat="false" ht="15.75" hidden="false" customHeight="true" outlineLevel="0" collapsed="false">
      <c r="A113" s="59" t="s">
        <v>257</v>
      </c>
      <c r="B113" s="9"/>
      <c r="C113" s="9" t="n">
        <v>0.73</v>
      </c>
      <c r="D113" s="9"/>
      <c r="E113" s="9" t="n">
        <v>1.06</v>
      </c>
      <c r="F113" s="9" t="n">
        <v>-0.08</v>
      </c>
      <c r="G113" s="9"/>
      <c r="H113" s="9" t="n">
        <v>0.21</v>
      </c>
      <c r="I113" s="9"/>
      <c r="J113" s="9"/>
      <c r="K113" s="9" t="n">
        <v>0</v>
      </c>
      <c r="L113" s="9" t="n">
        <v>0.52</v>
      </c>
      <c r="M113" s="9" t="n">
        <v>0.59</v>
      </c>
      <c r="N113" s="9" t="n">
        <v>-0.64</v>
      </c>
      <c r="O113" s="9" t="n">
        <v>-0.18</v>
      </c>
      <c r="P113" s="9" t="n">
        <v>2.6</v>
      </c>
      <c r="Q113" s="58" t="n">
        <f aca="false">TRIMMEAN(B113:P113,2/COUNT(B113:P113))</f>
        <v>0.35625</v>
      </c>
    </row>
    <row r="114" customFormat="false" ht="15.75" hidden="false" customHeight="true" outlineLevel="0" collapsed="false">
      <c r="A114" s="57" t="s">
        <v>258</v>
      </c>
      <c r="B114" s="9" t="n">
        <v>0.48</v>
      </c>
      <c r="C114" s="9" t="n">
        <v>0.29</v>
      </c>
      <c r="D114" s="9" t="n">
        <v>-2.41</v>
      </c>
      <c r="E114" s="9"/>
      <c r="F114" s="9"/>
      <c r="G114" s="9"/>
      <c r="H114" s="9" t="n">
        <v>1.22</v>
      </c>
      <c r="I114" s="9" t="n">
        <v>-0.97</v>
      </c>
      <c r="J114" s="9" t="n">
        <v>1.23</v>
      </c>
      <c r="K114" s="9"/>
      <c r="L114" s="9" t="n">
        <v>-0.54</v>
      </c>
      <c r="M114" s="9" t="n">
        <v>-0.64</v>
      </c>
      <c r="N114" s="9"/>
      <c r="O114" s="9"/>
      <c r="P114" s="9"/>
      <c r="Q114" s="58" t="n">
        <f aca="false">TRIMMEAN(B114:P114,2/COUNT(B114:P114))</f>
        <v>-0.0266666666666667</v>
      </c>
    </row>
    <row r="115" customFormat="false" ht="15.75" hidden="false" customHeight="true" outlineLevel="0" collapsed="false">
      <c r="A115" s="57" t="s">
        <v>259</v>
      </c>
      <c r="B115" s="9"/>
      <c r="C115" s="9" t="n">
        <v>1.36</v>
      </c>
      <c r="D115" s="9"/>
      <c r="E115" s="9" t="n">
        <v>-1.1</v>
      </c>
      <c r="F115" s="9" t="n">
        <v>-0.16</v>
      </c>
      <c r="G115" s="9" t="n">
        <v>-1.76</v>
      </c>
      <c r="H115" s="9"/>
      <c r="I115" s="9"/>
      <c r="J115" s="9" t="n">
        <v>-2.42</v>
      </c>
      <c r="K115" s="9" t="n">
        <v>0.2</v>
      </c>
      <c r="L115" s="9" t="n">
        <v>-1.34</v>
      </c>
      <c r="M115" s="9"/>
      <c r="N115" s="9" t="n">
        <v>0.46</v>
      </c>
      <c r="O115" s="9" t="n">
        <v>-1.73</v>
      </c>
      <c r="P115" s="9" t="n">
        <v>-0.57</v>
      </c>
      <c r="Q115" s="58" t="n">
        <f aca="false">TRIMMEAN(B115:P115,2/COUNT(B115:P115))</f>
        <v>-0.75</v>
      </c>
    </row>
    <row r="116" customFormat="false" ht="15.75" hidden="false" customHeight="true" outlineLevel="0" collapsed="false">
      <c r="A116" s="59" t="s">
        <v>260</v>
      </c>
      <c r="B116" s="9"/>
      <c r="C116" s="9" t="n">
        <v>-0.54</v>
      </c>
      <c r="D116" s="9"/>
      <c r="E116" s="9" t="n">
        <v>0.05</v>
      </c>
      <c r="F116" s="9" t="n">
        <v>1.43</v>
      </c>
      <c r="G116" s="9"/>
      <c r="H116" s="9" t="n">
        <v>-0.62</v>
      </c>
      <c r="I116" s="9"/>
      <c r="J116" s="9"/>
      <c r="K116" s="9" t="n">
        <v>1.12</v>
      </c>
      <c r="L116" s="9" t="n">
        <v>-0.08</v>
      </c>
      <c r="M116" s="9" t="n">
        <v>1.34</v>
      </c>
      <c r="N116" s="9" t="n">
        <v>0.06</v>
      </c>
      <c r="O116" s="9" t="n">
        <v>0.79</v>
      </c>
      <c r="P116" s="9" t="n">
        <v>1.19</v>
      </c>
      <c r="Q116" s="58" t="n">
        <f aca="false">TRIMMEAN(B116:P116,2/COUNT(B116:P116))</f>
        <v>0.49125</v>
      </c>
    </row>
    <row r="117" customFormat="false" ht="15.75" hidden="false" customHeight="true" outlineLevel="0" collapsed="false">
      <c r="A117" s="57" t="s">
        <v>261</v>
      </c>
      <c r="B117" s="9" t="n">
        <v>-0.12</v>
      </c>
      <c r="C117" s="9" t="n">
        <v>0.87</v>
      </c>
      <c r="D117" s="9" t="n">
        <v>0.28</v>
      </c>
      <c r="E117" s="9" t="n">
        <v>1.27</v>
      </c>
      <c r="F117" s="9" t="n">
        <v>-0.88</v>
      </c>
      <c r="G117" s="9" t="n">
        <v>0.5</v>
      </c>
      <c r="H117" s="9"/>
      <c r="I117" s="9" t="n">
        <v>0.64</v>
      </c>
      <c r="J117" s="9" t="n">
        <v>1.2</v>
      </c>
      <c r="K117" s="9" t="n">
        <v>-0.86</v>
      </c>
      <c r="L117" s="9" t="n">
        <v>-1.32</v>
      </c>
      <c r="M117" s="9" t="n">
        <v>0.41</v>
      </c>
      <c r="N117" s="9" t="n">
        <v>-1.07</v>
      </c>
      <c r="O117" s="9" t="n">
        <v>1.04</v>
      </c>
      <c r="P117" s="9" t="n">
        <v>1.42</v>
      </c>
      <c r="Q117" s="58" t="n">
        <f aca="false">TRIMMEAN(B117:P117,2/COUNT(B117:P117))</f>
        <v>0.273333333333333</v>
      </c>
    </row>
    <row r="118" customFormat="false" ht="15.75" hidden="false" customHeight="true" outlineLevel="0" collapsed="false">
      <c r="A118" s="59" t="s">
        <v>262</v>
      </c>
      <c r="B118" s="9"/>
      <c r="C118" s="9" t="n">
        <v>-2.74</v>
      </c>
      <c r="D118" s="9" t="n">
        <v>1.35</v>
      </c>
      <c r="E118" s="9" t="n">
        <v>0.33</v>
      </c>
      <c r="F118" s="9" t="n">
        <v>-3.69</v>
      </c>
      <c r="G118" s="9"/>
      <c r="H118" s="9" t="n">
        <v>-0.55</v>
      </c>
      <c r="I118" s="9"/>
      <c r="J118" s="9"/>
      <c r="K118" s="9" t="n">
        <v>0.37</v>
      </c>
      <c r="L118" s="9" t="n">
        <v>-0.19</v>
      </c>
      <c r="M118" s="9" t="n">
        <v>-0.14</v>
      </c>
      <c r="N118" s="9" t="n">
        <v>-1.1</v>
      </c>
      <c r="O118" s="9" t="n">
        <v>1.8</v>
      </c>
      <c r="P118" s="9" t="n">
        <v>1.78</v>
      </c>
      <c r="Q118" s="58" t="n">
        <f aca="false">TRIMMEAN(B118:P118,2/COUNT(B118:P118))</f>
        <v>-0.0988888888888889</v>
      </c>
    </row>
    <row r="119" customFormat="false" ht="15.75" hidden="false" customHeight="true" outlineLevel="0" collapsed="false">
      <c r="A119" s="57" t="s">
        <v>263</v>
      </c>
      <c r="B119" s="9" t="n">
        <v>-3.8</v>
      </c>
      <c r="C119" s="9" t="n">
        <v>-1.13</v>
      </c>
      <c r="D119" s="9"/>
      <c r="E119" s="9" t="n">
        <v>-0.09</v>
      </c>
      <c r="F119" s="9" t="n">
        <v>-1.36</v>
      </c>
      <c r="G119" s="9" t="n">
        <v>1.69</v>
      </c>
      <c r="H119" s="9"/>
      <c r="I119" s="9"/>
      <c r="J119" s="9" t="n">
        <v>-0.35</v>
      </c>
      <c r="K119" s="9" t="n">
        <v>0.21</v>
      </c>
      <c r="L119" s="9" t="n">
        <v>-0.24</v>
      </c>
      <c r="M119" s="9" t="n">
        <v>1.96</v>
      </c>
      <c r="N119" s="9"/>
      <c r="O119" s="9"/>
      <c r="P119" s="9"/>
      <c r="Q119" s="58" t="n">
        <f aca="false">TRIMMEAN(B119:P119,2/COUNT(B119:P119))</f>
        <v>-0.181428571428571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 t="n">
        <v>-0.19</v>
      </c>
      <c r="I120" s="9" t="n">
        <v>-0.18</v>
      </c>
      <c r="J120" s="9" t="n">
        <v>0.33</v>
      </c>
      <c r="K120" s="9"/>
      <c r="L120" s="9" t="n">
        <v>0.74</v>
      </c>
      <c r="M120" s="9" t="n">
        <v>0.39</v>
      </c>
      <c r="N120" s="9" t="n">
        <v>0.81</v>
      </c>
      <c r="O120" s="9" t="n">
        <v>0.54</v>
      </c>
      <c r="P120" s="9" t="n">
        <v>0.93</v>
      </c>
      <c r="Q120" s="58" t="n">
        <f aca="false">TRIMMEAN(B120:P120,2/COUNT(B120:P120))</f>
        <v>0.438333333333333</v>
      </c>
    </row>
    <row r="121" customFormat="false" ht="15.75" hidden="false" customHeight="true" outlineLevel="0" collapsed="false">
      <c r="A121" s="57" t="s">
        <v>265</v>
      </c>
      <c r="B121" s="9"/>
      <c r="C121" s="9" t="n">
        <v>0.04</v>
      </c>
      <c r="D121" s="9" t="n">
        <v>0</v>
      </c>
      <c r="E121" s="9" t="n">
        <v>-0.58</v>
      </c>
      <c r="F121" s="9" t="n">
        <v>-0.5</v>
      </c>
      <c r="G121" s="9" t="n">
        <v>-1.61</v>
      </c>
      <c r="H121" s="9"/>
      <c r="I121" s="9"/>
      <c r="J121" s="9" t="n">
        <v>-2.25</v>
      </c>
      <c r="K121" s="9" t="n">
        <v>-0.49</v>
      </c>
      <c r="L121" s="9" t="n">
        <v>1.74</v>
      </c>
      <c r="M121" s="9" t="n">
        <v>0.54</v>
      </c>
      <c r="N121" s="9" t="n">
        <v>-0.99</v>
      </c>
      <c r="O121" s="9"/>
      <c r="P121" s="9"/>
      <c r="Q121" s="58" t="n">
        <f aca="false">TRIMMEAN(B121:P121,2/COUNT(B121:P121))</f>
        <v>-0.44875</v>
      </c>
    </row>
    <row r="122" customFormat="false" ht="15.75" hidden="false" customHeight="true" outlineLevel="0" collapsed="false">
      <c r="A122" s="59" t="s">
        <v>266</v>
      </c>
      <c r="B122" s="9"/>
      <c r="C122" s="9" t="n">
        <v>2.16</v>
      </c>
      <c r="D122" s="9" t="n">
        <v>0.29</v>
      </c>
      <c r="E122" s="9"/>
      <c r="F122" s="9" t="n">
        <v>1.13</v>
      </c>
      <c r="G122" s="9" t="n">
        <v>1.43</v>
      </c>
      <c r="H122" s="9"/>
      <c r="I122" s="9" t="n">
        <v>0.2</v>
      </c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0.95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 t="n">
        <v>0.98</v>
      </c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-0.23</v>
      </c>
      <c r="C124" s="9" t="n">
        <v>0.01</v>
      </c>
      <c r="D124" s="9"/>
      <c r="E124" s="9" t="n">
        <v>-1.8</v>
      </c>
      <c r="F124" s="9" t="n">
        <v>-1.09</v>
      </c>
      <c r="G124" s="9" t="n">
        <v>0.75</v>
      </c>
      <c r="H124" s="9"/>
      <c r="I124" s="9"/>
      <c r="J124" s="9" t="n">
        <v>0.23</v>
      </c>
      <c r="K124" s="9" t="n">
        <v>-0.33</v>
      </c>
      <c r="L124" s="9" t="n">
        <v>-1.52</v>
      </c>
      <c r="M124" s="9" t="n">
        <v>0.62</v>
      </c>
      <c r="N124" s="9"/>
      <c r="O124" s="9"/>
      <c r="P124" s="9"/>
      <c r="Q124" s="58" t="n">
        <f aca="false">TRIMMEAN(B124:P124,2/COUNT(B124:P124))</f>
        <v>-0.33</v>
      </c>
    </row>
    <row r="125" customFormat="false" ht="15.75" hidden="false" customHeight="true" outlineLevel="0" collapsed="false">
      <c r="A125" s="59" t="s">
        <v>269</v>
      </c>
      <c r="B125" s="9"/>
      <c r="C125" s="9" t="n">
        <v>0.73</v>
      </c>
      <c r="D125" s="9"/>
      <c r="E125" s="9" t="n">
        <v>-1.72</v>
      </c>
      <c r="F125" s="9" t="n">
        <v>-0.48</v>
      </c>
      <c r="G125" s="9"/>
      <c r="H125" s="9" t="n">
        <v>1.9</v>
      </c>
      <c r="I125" s="9"/>
      <c r="J125" s="9"/>
      <c r="K125" s="9" t="n">
        <v>-0.72</v>
      </c>
      <c r="L125" s="9" t="n">
        <v>1.65</v>
      </c>
      <c r="M125" s="9" t="n">
        <v>-2.01</v>
      </c>
      <c r="N125" s="9" t="n">
        <v>0.42</v>
      </c>
      <c r="O125" s="9" t="n">
        <v>0.4</v>
      </c>
      <c r="P125" s="9" t="n">
        <v>-1.57</v>
      </c>
      <c r="Q125" s="58" t="n">
        <f aca="false">TRIMMEAN(B125:P125,2/COUNT(B125:P125))</f>
        <v>-0.16125</v>
      </c>
    </row>
    <row r="126" customFormat="false" ht="15.75" hidden="false" customHeight="true" outlineLevel="0" collapsed="false">
      <c r="A126" s="57" t="s">
        <v>270</v>
      </c>
      <c r="B126" s="9" t="n">
        <v>1.04</v>
      </c>
      <c r="C126" s="9" t="n">
        <v>-2.31</v>
      </c>
      <c r="D126" s="9" t="n">
        <v>0.45</v>
      </c>
      <c r="E126" s="9" t="n">
        <v>1.51</v>
      </c>
      <c r="F126" s="9" t="n">
        <v>1.69</v>
      </c>
      <c r="G126" s="9"/>
      <c r="H126" s="9"/>
      <c r="I126" s="9"/>
      <c r="J126" s="9" t="n">
        <v>-0.45</v>
      </c>
      <c r="K126" s="9" t="n">
        <v>-2.51</v>
      </c>
      <c r="L126" s="9" t="n">
        <v>0.56</v>
      </c>
      <c r="M126" s="9" t="n">
        <v>-2.84</v>
      </c>
      <c r="N126" s="9"/>
      <c r="O126" s="9"/>
      <c r="P126" s="9"/>
      <c r="Q126" s="58" t="n">
        <f aca="false">TRIMMEAN(B126:P126,2/COUNT(B126:P126))</f>
        <v>-0.244285714285714</v>
      </c>
    </row>
    <row r="127" customFormat="false" ht="15.75" hidden="false" customHeight="true" outlineLevel="0" collapsed="false">
      <c r="A127" s="59" t="s">
        <v>271</v>
      </c>
      <c r="B127" s="9"/>
      <c r="C127" s="9" t="n">
        <v>-0.27</v>
      </c>
      <c r="D127" s="9"/>
      <c r="E127" s="9" t="n">
        <v>-0.86</v>
      </c>
      <c r="F127" s="9" t="n">
        <v>-0.13</v>
      </c>
      <c r="G127" s="9"/>
      <c r="H127" s="9" t="n">
        <v>-0.14</v>
      </c>
      <c r="I127" s="9"/>
      <c r="J127" s="9"/>
      <c r="K127" s="9" t="n">
        <v>-1.13</v>
      </c>
      <c r="L127" s="9" t="n">
        <v>-0.61</v>
      </c>
      <c r="M127" s="9" t="n">
        <v>-0.45</v>
      </c>
      <c r="N127" s="9" t="n">
        <v>-0.82</v>
      </c>
      <c r="O127" s="9" t="n">
        <v>-1.43</v>
      </c>
      <c r="P127" s="9" t="n">
        <v>-0.41</v>
      </c>
      <c r="Q127" s="58" t="n">
        <f aca="false">TRIMMEAN(B127:P127,2/COUNT(B127:P127))</f>
        <v>-0.58625</v>
      </c>
    </row>
    <row r="128" customFormat="false" ht="15.75" hidden="false" customHeight="true" outlineLevel="0" collapsed="false">
      <c r="A128" s="57" t="s">
        <v>272</v>
      </c>
      <c r="B128" s="9" t="n">
        <v>-1.65</v>
      </c>
      <c r="C128" s="9" t="n">
        <v>-0.01</v>
      </c>
      <c r="D128" s="9"/>
      <c r="E128" s="9" t="n">
        <v>0.2</v>
      </c>
      <c r="F128" s="9" t="n">
        <v>0.38</v>
      </c>
      <c r="G128" s="9" t="n">
        <v>1.34</v>
      </c>
      <c r="H128" s="9"/>
      <c r="I128" s="9"/>
      <c r="J128" s="9" t="n">
        <v>-2.49</v>
      </c>
      <c r="K128" s="9" t="n">
        <v>-0.53</v>
      </c>
      <c r="L128" s="9" t="n">
        <v>0.27</v>
      </c>
      <c r="M128" s="9" t="n">
        <v>-1.51</v>
      </c>
      <c r="N128" s="9"/>
      <c r="O128" s="9"/>
      <c r="P128" s="9"/>
      <c r="Q128" s="58" t="n">
        <f aca="false">TRIMMEAN(B128:P128,2/COUNT(B128:P128))</f>
        <v>-0.407142857142857</v>
      </c>
    </row>
    <row r="129" customFormat="false" ht="15.75" hidden="false" customHeight="true" outlineLevel="0" collapsed="false">
      <c r="A129" s="57" t="s">
        <v>273</v>
      </c>
      <c r="B129" s="9"/>
      <c r="C129" s="9" t="n">
        <v>-0.28</v>
      </c>
      <c r="D129" s="9" t="n">
        <v>-0.63</v>
      </c>
      <c r="E129" s="9" t="n">
        <v>0.67</v>
      </c>
      <c r="F129" s="9" t="n">
        <v>0.1</v>
      </c>
      <c r="G129" s="9"/>
      <c r="H129" s="9" t="n">
        <v>-1.94</v>
      </c>
      <c r="I129" s="9" t="n">
        <v>-0.59</v>
      </c>
      <c r="J129" s="9"/>
      <c r="K129" s="9" t="n">
        <v>-0.53</v>
      </c>
      <c r="L129" s="9" t="n">
        <v>0.83</v>
      </c>
      <c r="M129" s="9" t="n">
        <v>0.47</v>
      </c>
      <c r="N129" s="9" t="n">
        <v>1.06</v>
      </c>
      <c r="O129" s="9" t="n">
        <v>0.14</v>
      </c>
      <c r="P129" s="9" t="n">
        <v>-0.59</v>
      </c>
      <c r="Q129" s="58" t="n">
        <f aca="false">TRIMMEAN(B129:P129,2/COUNT(B129:P129))</f>
        <v>-0.041</v>
      </c>
    </row>
    <row r="130" customFormat="false" ht="15.75" hidden="false" customHeight="true" outlineLevel="0" collapsed="false">
      <c r="A130" s="59" t="s">
        <v>274</v>
      </c>
      <c r="B130" s="9"/>
      <c r="C130" s="9" t="n">
        <v>-0.2</v>
      </c>
      <c r="D130" s="9"/>
      <c r="E130" s="9" t="n">
        <v>0.54</v>
      </c>
      <c r="F130" s="9"/>
      <c r="G130" s="9"/>
      <c r="H130" s="9"/>
      <c r="I130" s="9"/>
      <c r="J130" s="9"/>
      <c r="K130" s="9" t="n">
        <v>-0.67</v>
      </c>
      <c r="L130" s="9" t="n">
        <v>0.22</v>
      </c>
      <c r="M130" s="9" t="n">
        <v>-0.59</v>
      </c>
      <c r="N130" s="9"/>
      <c r="O130" s="9"/>
      <c r="P130" s="9"/>
      <c r="Q130" s="58" t="n">
        <f aca="false">TRIMMEAN(B130:P130,2/COUNT(B130:P130))</f>
        <v>-0.19</v>
      </c>
    </row>
    <row r="131" customFormat="false" ht="15.75" hidden="false" customHeight="true" outlineLevel="0" collapsed="false">
      <c r="A131" s="57" t="s">
        <v>275</v>
      </c>
      <c r="B131" s="9" t="n">
        <v>1.58</v>
      </c>
      <c r="C131" s="9" t="n">
        <v>0.27</v>
      </c>
      <c r="D131" s="9" t="n">
        <v>1.25</v>
      </c>
      <c r="E131" s="9"/>
      <c r="F131" s="9" t="n">
        <v>0.62</v>
      </c>
      <c r="G131" s="9" t="n">
        <v>-0.56</v>
      </c>
      <c r="H131" s="9"/>
      <c r="I131" s="9" t="n">
        <v>0.43</v>
      </c>
      <c r="J131" s="9" t="n">
        <v>0.26</v>
      </c>
      <c r="K131" s="9" t="n">
        <v>-0.58</v>
      </c>
      <c r="L131" s="9" t="n">
        <v>-0.99</v>
      </c>
      <c r="M131" s="9" t="n">
        <v>-0.98</v>
      </c>
      <c r="N131" s="9" t="n">
        <v>0.96</v>
      </c>
      <c r="O131" s="9" t="n">
        <v>1.58</v>
      </c>
      <c r="P131" s="9" t="n">
        <v>0.18</v>
      </c>
      <c r="Q131" s="58" t="n">
        <f aca="false">TRIMMEAN(B131:P131,2/COUNT(B131:P131))</f>
        <v>0.311818181818182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-0.87</v>
      </c>
      <c r="C133" s="9" t="n">
        <v>-0.56</v>
      </c>
      <c r="D133" s="9" t="n">
        <v>0.13</v>
      </c>
      <c r="E133" s="9" t="n">
        <v>1.97</v>
      </c>
      <c r="F133" s="9"/>
      <c r="G133" s="9" t="n">
        <v>0.44</v>
      </c>
      <c r="H133" s="9"/>
      <c r="I133" s="9" t="n">
        <v>-1.27</v>
      </c>
      <c r="J133" s="9" t="n">
        <v>-0.34</v>
      </c>
      <c r="K133" s="9"/>
      <c r="L133" s="9" t="n">
        <v>0.9</v>
      </c>
      <c r="M133" s="9" t="n">
        <v>0.78</v>
      </c>
      <c r="N133" s="9"/>
      <c r="O133" s="9" t="n">
        <v>-0.75</v>
      </c>
      <c r="P133" s="9"/>
      <c r="Q133" s="58" t="n">
        <f aca="false">TRIMMEAN(B133:P133,2/COUNT(B133:P133))</f>
        <v>-0.03375</v>
      </c>
    </row>
    <row r="134" customFormat="false" ht="15.75" hidden="false" customHeight="true" outlineLevel="0" collapsed="false">
      <c r="A134" s="57" t="s">
        <v>13</v>
      </c>
      <c r="B134" s="9"/>
      <c r="C134" s="9" t="n">
        <v>0.25</v>
      </c>
      <c r="D134" s="9"/>
      <c r="E134" s="9" t="n">
        <v>-1.65</v>
      </c>
      <c r="F134" s="9" t="n">
        <v>0.21</v>
      </c>
      <c r="G134" s="9"/>
      <c r="H134" s="9" t="n">
        <v>0.65</v>
      </c>
      <c r="I134" s="9" t="n">
        <v>1.01</v>
      </c>
      <c r="J134" s="9"/>
      <c r="K134" s="9" t="n">
        <v>-0.64</v>
      </c>
      <c r="L134" s="9" t="n">
        <v>0.91</v>
      </c>
      <c r="M134" s="9" t="n">
        <v>-0.82</v>
      </c>
      <c r="N134" s="9" t="n">
        <v>-0.55</v>
      </c>
      <c r="O134" s="9"/>
      <c r="P134" s="9" t="n">
        <v>1.58</v>
      </c>
      <c r="Q134" s="58" t="n">
        <f aca="false">TRIMMEAN(B134:P134,2/COUNT(B134:P134))</f>
        <v>0.1275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 t="n">
        <v>-0.46</v>
      </c>
      <c r="E135" s="9" t="n">
        <v>-0.73</v>
      </c>
      <c r="F135" s="9" t="n">
        <v>-0.23</v>
      </c>
      <c r="G135" s="9"/>
      <c r="H135" s="9" t="n">
        <v>-2.19</v>
      </c>
      <c r="I135" s="9" t="n">
        <v>-1.15</v>
      </c>
      <c r="J135" s="9"/>
      <c r="K135" s="9"/>
      <c r="L135" s="9" t="n">
        <v>-0.69</v>
      </c>
      <c r="M135" s="9"/>
      <c r="N135" s="9" t="n">
        <v>-0.15</v>
      </c>
      <c r="O135" s="9" t="n">
        <v>-0.01</v>
      </c>
      <c r="P135" s="9" t="n">
        <v>-0.68</v>
      </c>
      <c r="Q135" s="58" t="n">
        <f aca="false">TRIMMEAN(B135:P135,2/COUNT(B135:P135))</f>
        <v>-0.584285714285714</v>
      </c>
    </row>
    <row r="136" customFormat="false" ht="15.75" hidden="false" customHeight="true" outlineLevel="0" collapsed="false">
      <c r="A136" s="57" t="s">
        <v>279</v>
      </c>
      <c r="B136" s="9" t="n">
        <v>0.29</v>
      </c>
      <c r="C136" s="9" t="n">
        <v>-0.26</v>
      </c>
      <c r="D136" s="9" t="n">
        <v>0.79</v>
      </c>
      <c r="E136" s="9"/>
      <c r="F136" s="9"/>
      <c r="G136" s="9" t="n">
        <v>1.13</v>
      </c>
      <c r="H136" s="9"/>
      <c r="I136" s="9" t="n">
        <v>-1.92</v>
      </c>
      <c r="J136" s="9" t="n">
        <v>-0.7</v>
      </c>
      <c r="K136" s="9"/>
      <c r="L136" s="9" t="n">
        <v>1.25</v>
      </c>
      <c r="M136" s="9" t="n">
        <v>-0.57</v>
      </c>
      <c r="N136" s="9" t="n">
        <v>0.55</v>
      </c>
      <c r="O136" s="9"/>
      <c r="P136" s="9"/>
      <c r="Q136" s="58" t="n">
        <f aca="false">TRIMMEAN(B136:P136,2/COUNT(B136:P136))</f>
        <v>0.175714285714286</v>
      </c>
    </row>
    <row r="137" customFormat="false" ht="15.75" hidden="false" customHeight="true" outlineLevel="0" collapsed="false">
      <c r="A137" s="59" t="s">
        <v>280</v>
      </c>
      <c r="B137" s="9"/>
      <c r="C137" s="9" t="n">
        <v>-2.63</v>
      </c>
      <c r="D137" s="9"/>
      <c r="E137" s="9" t="n">
        <v>-0.55</v>
      </c>
      <c r="F137" s="9" t="n">
        <v>-1.18</v>
      </c>
      <c r="G137" s="9"/>
      <c r="H137" s="9" t="n">
        <v>-1.74</v>
      </c>
      <c r="I137" s="9"/>
      <c r="J137" s="9"/>
      <c r="K137" s="9" t="n">
        <v>0.44</v>
      </c>
      <c r="L137" s="9" t="n">
        <v>0.39</v>
      </c>
      <c r="M137" s="9"/>
      <c r="N137" s="9" t="n">
        <v>-2.28</v>
      </c>
      <c r="O137" s="9" t="n">
        <v>0.04</v>
      </c>
      <c r="P137" s="9" t="n">
        <v>0.68</v>
      </c>
      <c r="Q137" s="58" t="n">
        <f aca="false">TRIMMEAN(B137:P137,2/COUNT(B137:P137))</f>
        <v>-0.697142857142857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 t="n">
        <v>0.44</v>
      </c>
      <c r="J138" s="9" t="n">
        <v>0.6</v>
      </c>
      <c r="K138" s="9"/>
      <c r="L138" s="9" t="n">
        <v>-1.31</v>
      </c>
      <c r="M138" s="9" t="n">
        <v>-0.92</v>
      </c>
      <c r="N138" s="9" t="n">
        <v>0.3</v>
      </c>
      <c r="O138" s="9" t="n">
        <v>0.18</v>
      </c>
      <c r="P138" s="9"/>
      <c r="Q138" s="58" t="n">
        <f aca="false">TRIMMEAN(B138:P138,2/COUNT(B138:P138))</f>
        <v>0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0.5</v>
      </c>
      <c r="D140" s="9" t="n">
        <v>-0.12</v>
      </c>
      <c r="E140" s="9" t="n">
        <v>0.3</v>
      </c>
      <c r="F140" s="9"/>
      <c r="G140" s="9"/>
      <c r="H140" s="9" t="n">
        <v>2.45</v>
      </c>
      <c r="I140" s="9" t="n">
        <v>-0.86</v>
      </c>
      <c r="J140" s="9"/>
      <c r="K140" s="9"/>
      <c r="L140" s="9" t="n">
        <v>-1.03</v>
      </c>
      <c r="M140" s="9" t="n">
        <v>-0.17</v>
      </c>
      <c r="N140" s="9"/>
      <c r="O140" s="9"/>
      <c r="P140" s="9" t="n">
        <v>-0.58</v>
      </c>
      <c r="Q140" s="58" t="n">
        <f aca="false">TRIMMEAN(B140:P140,2/COUNT(B140:P140))</f>
        <v>-0.155</v>
      </c>
    </row>
    <row r="141" customFormat="false" ht="15.75" hidden="false" customHeight="true" outlineLevel="0" collapsed="false">
      <c r="A141" s="59" t="s">
        <v>284</v>
      </c>
      <c r="B141" s="9"/>
      <c r="C141" s="9" t="n">
        <v>0.52</v>
      </c>
      <c r="D141" s="9"/>
      <c r="E141" s="9" t="n">
        <v>-2.5</v>
      </c>
      <c r="F141" s="9" t="n">
        <v>-1.6</v>
      </c>
      <c r="G141" s="9"/>
      <c r="H141" s="9"/>
      <c r="I141" s="9"/>
      <c r="J141" s="9"/>
      <c r="K141" s="9" t="n">
        <v>0.51</v>
      </c>
      <c r="L141" s="9" t="n">
        <v>1.46</v>
      </c>
      <c r="M141" s="9"/>
      <c r="N141" s="9" t="n">
        <v>0.08</v>
      </c>
      <c r="O141" s="9" t="n">
        <v>0.92</v>
      </c>
      <c r="P141" s="9" t="n">
        <v>0.4</v>
      </c>
      <c r="Q141" s="58" t="n">
        <f aca="false">TRIMMEAN(B141:P141,2/COUNT(B141:P141))</f>
        <v>0.138333333333333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 t="n">
        <v>0.4</v>
      </c>
      <c r="J142" s="9"/>
      <c r="K142" s="9" t="n">
        <v>-1.78</v>
      </c>
      <c r="L142" s="9" t="n">
        <v>0.65</v>
      </c>
      <c r="M142" s="9"/>
      <c r="N142" s="9" t="n">
        <v>1.6</v>
      </c>
      <c r="O142" s="9" t="n">
        <v>-0.57</v>
      </c>
      <c r="P142" s="9" t="n">
        <v>-0.42</v>
      </c>
      <c r="Q142" s="58" t="n">
        <f aca="false">TRIMMEAN(B142:P142,2/COUNT(B142:P142))</f>
        <v>0.015</v>
      </c>
    </row>
    <row r="143" customFormat="false" ht="15.75" hidden="false" customHeight="true" outlineLevel="0" collapsed="false">
      <c r="A143" s="57" t="s">
        <v>286</v>
      </c>
      <c r="B143" s="9" t="n">
        <v>-1.65</v>
      </c>
      <c r="C143" s="9" t="n">
        <v>0.26</v>
      </c>
      <c r="D143" s="9"/>
      <c r="E143" s="9"/>
      <c r="F143" s="9"/>
      <c r="G143" s="9"/>
      <c r="H143" s="9"/>
      <c r="I143" s="9"/>
      <c r="J143" s="9" t="n">
        <v>1.21</v>
      </c>
      <c r="K143" s="9" t="n">
        <v>-1.3</v>
      </c>
      <c r="L143" s="9" t="n">
        <v>0.23</v>
      </c>
      <c r="M143" s="9"/>
      <c r="N143" s="9"/>
      <c r="O143" s="9"/>
      <c r="P143" s="9"/>
      <c r="Q143" s="58" t="n">
        <f aca="false">TRIMMEAN(B143:P143,2/COUNT(B143:P143))</f>
        <v>-0.27</v>
      </c>
    </row>
    <row r="144" customFormat="false" ht="15.75" hidden="false" customHeight="true" outlineLevel="0" collapsed="false">
      <c r="A144" s="59" t="s">
        <v>287</v>
      </c>
      <c r="B144" s="9"/>
      <c r="C144" s="9" t="n">
        <v>-0.7</v>
      </c>
      <c r="D144" s="9"/>
      <c r="E144" s="9" t="n">
        <v>-0.94</v>
      </c>
      <c r="F144" s="9" t="n">
        <v>1.27</v>
      </c>
      <c r="G144" s="9" t="n">
        <v>1.75</v>
      </c>
      <c r="H144" s="9"/>
      <c r="I144" s="9"/>
      <c r="J144" s="9"/>
      <c r="K144" s="9" t="n">
        <v>1.14</v>
      </c>
      <c r="L144" s="9"/>
      <c r="M144" s="9"/>
      <c r="N144" s="9" t="n">
        <v>-0.16</v>
      </c>
      <c r="O144" s="9" t="n">
        <v>-0.16</v>
      </c>
      <c r="P144" s="9" t="n">
        <v>-1.22</v>
      </c>
      <c r="Q144" s="58" t="n">
        <f aca="false">TRIMMEAN(B144:P144,2/COUNT(B144:P144))</f>
        <v>0.075</v>
      </c>
    </row>
    <row r="145" customFormat="false" ht="15.75" hidden="false" customHeight="true" outlineLevel="0" collapsed="false">
      <c r="A145" s="57" t="s">
        <v>288</v>
      </c>
      <c r="B145" s="9" t="n">
        <v>-1.14</v>
      </c>
      <c r="C145" s="9"/>
      <c r="D145" s="9"/>
      <c r="E145" s="9" t="n">
        <v>-0.98</v>
      </c>
      <c r="F145" s="9"/>
      <c r="G145" s="9" t="n">
        <v>-0.08</v>
      </c>
      <c r="H145" s="9"/>
      <c r="I145" s="9"/>
      <c r="J145" s="9" t="n">
        <v>-0.26</v>
      </c>
      <c r="K145" s="9" t="n">
        <v>0.3</v>
      </c>
      <c r="L145" s="9" t="n">
        <v>-1.86</v>
      </c>
      <c r="M145" s="9" t="n">
        <v>-0.67</v>
      </c>
      <c r="N145" s="9"/>
      <c r="O145" s="9"/>
      <c r="P145" s="9"/>
      <c r="Q145" s="58" t="n">
        <f aca="false">TRIMMEAN(B145:P145,2/COUNT(B145:P145))</f>
        <v>-0.626</v>
      </c>
    </row>
    <row r="146" customFormat="false" ht="15.75" hidden="false" customHeight="true" outlineLevel="0" collapsed="false">
      <c r="A146" s="57" t="s">
        <v>289</v>
      </c>
      <c r="B146" s="9" t="n">
        <v>-0.22</v>
      </c>
      <c r="C146" s="9" t="n">
        <v>-0.06</v>
      </c>
      <c r="D146" s="9"/>
      <c r="E146" s="9" t="n">
        <v>-0.25</v>
      </c>
      <c r="F146" s="9" t="n">
        <v>-0.54</v>
      </c>
      <c r="G146" s="9" t="n">
        <v>1.73</v>
      </c>
      <c r="H146" s="9"/>
      <c r="I146" s="9"/>
      <c r="J146" s="9" t="n">
        <v>0.87</v>
      </c>
      <c r="K146" s="9" t="n">
        <v>-0.29</v>
      </c>
      <c r="L146" s="9" t="n">
        <v>-0.64</v>
      </c>
      <c r="M146" s="9" t="n">
        <v>-0.1</v>
      </c>
      <c r="N146" s="9"/>
      <c r="O146" s="9"/>
      <c r="P146" s="9"/>
      <c r="Q146" s="58" t="n">
        <f aca="false">TRIMMEAN(B146:P146,2/COUNT(B146:P146))</f>
        <v>-0.0842857142857143</v>
      </c>
    </row>
    <row r="147" customFormat="false" ht="15.75" hidden="false" customHeight="true" outlineLevel="0" collapsed="false">
      <c r="A147" s="59" t="s">
        <v>290</v>
      </c>
      <c r="B147" s="9"/>
      <c r="C147" s="9" t="n">
        <v>0.61</v>
      </c>
      <c r="D147" s="9"/>
      <c r="E147" s="9" t="n">
        <v>-0.81</v>
      </c>
      <c r="F147" s="9"/>
      <c r="G147" s="9"/>
      <c r="H147" s="9"/>
      <c r="I147" s="9"/>
      <c r="J147" s="9"/>
      <c r="K147" s="9" t="n">
        <v>-1.19</v>
      </c>
      <c r="L147" s="9" t="n">
        <v>-0.68</v>
      </c>
      <c r="M147" s="9"/>
      <c r="N147" s="9"/>
      <c r="O147" s="9"/>
      <c r="P147" s="9"/>
      <c r="Q147" s="58" t="n">
        <f aca="false">TRIMMEAN(B147:P147,2/COUNT(B147:P147))</f>
        <v>-0.745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-0.36</v>
      </c>
      <c r="D149" s="9"/>
      <c r="E149" s="9" t="n">
        <v>-0.78</v>
      </c>
      <c r="F149" s="9" t="n">
        <v>1.59</v>
      </c>
      <c r="G149" s="9"/>
      <c r="H149" s="9" t="n">
        <v>-0.44</v>
      </c>
      <c r="I149" s="9"/>
      <c r="J149" s="9"/>
      <c r="K149" s="9" t="n">
        <v>-1.18</v>
      </c>
      <c r="L149" s="9" t="n">
        <v>1</v>
      </c>
      <c r="M149" s="9" t="n">
        <v>-1.62</v>
      </c>
      <c r="N149" s="9" t="n">
        <v>-0.81</v>
      </c>
      <c r="O149" s="9" t="n">
        <v>-0.83</v>
      </c>
      <c r="P149" s="9" t="n">
        <v>-0.68</v>
      </c>
      <c r="Q149" s="58" t="n">
        <f aca="false">TRIMMEAN(B149:P149,2/COUNT(B149:P149))</f>
        <v>-0.51</v>
      </c>
    </row>
    <row r="150" customFormat="false" ht="15.75" hidden="false" customHeight="true" outlineLevel="0" collapsed="false">
      <c r="A150" s="57" t="s">
        <v>293</v>
      </c>
      <c r="B150" s="9" t="n">
        <v>-2.57</v>
      </c>
      <c r="C150" s="9" t="n">
        <v>-1.4</v>
      </c>
      <c r="D150" s="9"/>
      <c r="E150" s="9" t="n">
        <v>-1.17</v>
      </c>
      <c r="F150" s="9" t="n">
        <v>1.35</v>
      </c>
      <c r="G150" s="9" t="n">
        <v>-2.7</v>
      </c>
      <c r="H150" s="9"/>
      <c r="I150" s="9"/>
      <c r="J150" s="9" t="n">
        <v>0.14</v>
      </c>
      <c r="K150" s="9" t="n">
        <v>-1.16</v>
      </c>
      <c r="L150" s="9" t="n">
        <v>0.81</v>
      </c>
      <c r="M150" s="9"/>
      <c r="N150" s="9"/>
      <c r="O150" s="9"/>
      <c r="P150" s="9"/>
      <c r="Q150" s="58" t="n">
        <f aca="false">TRIMMEAN(B150:P150,2/COUNT(B150:P150))</f>
        <v>-0.891666666666667</v>
      </c>
    </row>
    <row r="151" customFormat="false" ht="15.75" hidden="false" customHeight="true" outlineLevel="0" collapsed="false">
      <c r="A151" s="57" t="s">
        <v>294</v>
      </c>
      <c r="B151" s="9" t="n">
        <v>-0.64</v>
      </c>
      <c r="C151" s="9" t="n">
        <v>-2.18</v>
      </c>
      <c r="D151" s="9"/>
      <c r="E151" s="9" t="n">
        <v>-0.75</v>
      </c>
      <c r="F151" s="9" t="n">
        <v>-1.29</v>
      </c>
      <c r="G151" s="9"/>
      <c r="H151" s="9"/>
      <c r="I151" s="9"/>
      <c r="J151" s="9" t="n">
        <v>-1.45</v>
      </c>
      <c r="K151" s="9" t="n">
        <v>-1.43</v>
      </c>
      <c r="L151" s="9" t="n">
        <v>-1.31</v>
      </c>
      <c r="M151" s="9" t="n">
        <v>-0.86</v>
      </c>
      <c r="N151" s="9"/>
      <c r="O151" s="9"/>
      <c r="P151" s="9"/>
      <c r="Q151" s="58" t="n">
        <f aca="false">TRIMMEAN(B151:P151,2/COUNT(B151:P151))</f>
        <v>-1.18166666666667</v>
      </c>
    </row>
    <row r="152" customFormat="false" ht="15.75" hidden="false" customHeight="true" outlineLevel="0" collapsed="false">
      <c r="A152" s="59" t="s">
        <v>295</v>
      </c>
      <c r="B152" s="9"/>
      <c r="C152" s="9" t="n">
        <v>-0.7</v>
      </c>
      <c r="D152" s="9"/>
      <c r="E152" s="9" t="n">
        <v>-0.34</v>
      </c>
      <c r="F152" s="9" t="n">
        <v>-2.03</v>
      </c>
      <c r="G152" s="9"/>
      <c r="H152" s="9" t="n">
        <v>-1.57</v>
      </c>
      <c r="I152" s="9"/>
      <c r="J152" s="9"/>
      <c r="K152" s="9" t="n">
        <v>-2.03</v>
      </c>
      <c r="L152" s="9" t="n">
        <v>-1.23</v>
      </c>
      <c r="M152" s="9" t="n">
        <v>-0.48</v>
      </c>
      <c r="N152" s="9" t="n">
        <v>0.36</v>
      </c>
      <c r="O152" s="9" t="n">
        <v>-0.85</v>
      </c>
      <c r="P152" s="9" t="n">
        <v>0.35</v>
      </c>
      <c r="Q152" s="58" t="n">
        <f aca="false">TRIMMEAN(B152:P152,2/COUNT(B152:P152))</f>
        <v>-0.85625</v>
      </c>
    </row>
    <row r="153" customFormat="false" ht="15.75" hidden="false" customHeight="true" outlineLevel="0" collapsed="false">
      <c r="A153" s="57" t="s">
        <v>296</v>
      </c>
      <c r="B153" s="9"/>
      <c r="C153" s="9" t="n">
        <v>-0.4</v>
      </c>
      <c r="D153" s="9"/>
      <c r="E153" s="9"/>
      <c r="F153" s="9" t="n">
        <v>-0.21</v>
      </c>
      <c r="G153" s="9"/>
      <c r="H153" s="9"/>
      <c r="I153" s="9"/>
      <c r="J153" s="9" t="n">
        <v>0.23</v>
      </c>
      <c r="K153" s="9" t="n">
        <v>-0.67</v>
      </c>
      <c r="L153" s="9" t="n">
        <v>-0.71</v>
      </c>
      <c r="M153" s="9"/>
      <c r="N153" s="9"/>
      <c r="O153" s="9"/>
      <c r="P153" s="9"/>
      <c r="Q153" s="58" t="n">
        <f aca="false">TRIMMEAN(B153:P153,2/COUNT(B153:P153))</f>
        <v>-0.426666666666667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 t="n">
        <v>-0.72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1.03</v>
      </c>
      <c r="C155" s="9" t="n">
        <v>-0.09</v>
      </c>
      <c r="D155" s="9" t="n">
        <v>0.07</v>
      </c>
      <c r="E155" s="9"/>
      <c r="F155" s="9"/>
      <c r="G155" s="9" t="n">
        <v>-1.57</v>
      </c>
      <c r="H155" s="9"/>
      <c r="I155" s="9" t="n">
        <v>-2.03</v>
      </c>
      <c r="J155" s="9" t="n">
        <v>-0.96</v>
      </c>
      <c r="K155" s="9"/>
      <c r="L155" s="9" t="n">
        <v>1.2</v>
      </c>
      <c r="M155" s="9" t="n">
        <v>0.54</v>
      </c>
      <c r="N155" s="9"/>
      <c r="O155" s="9"/>
      <c r="P155" s="9"/>
      <c r="Q155" s="58" t="n">
        <f aca="false">TRIMMEAN(B155:P155,2/COUNT(B155:P155))</f>
        <v>-0.163333333333333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-0.96</v>
      </c>
      <c r="D157" s="9" t="n">
        <v>0.31</v>
      </c>
      <c r="E157" s="9" t="n">
        <v>-0.87</v>
      </c>
      <c r="F157" s="9" t="n">
        <v>1.31</v>
      </c>
      <c r="G157" s="9"/>
      <c r="H157" s="9" t="n">
        <v>-1.12</v>
      </c>
      <c r="I157" s="9"/>
      <c r="J157" s="9"/>
      <c r="K157" s="9" t="n">
        <v>-0.56</v>
      </c>
      <c r="L157" s="9" t="n">
        <v>2.19</v>
      </c>
      <c r="M157" s="9" t="n">
        <v>0.4</v>
      </c>
      <c r="N157" s="9" t="n">
        <v>0.03</v>
      </c>
      <c r="O157" s="9" t="n">
        <v>0.03</v>
      </c>
      <c r="P157" s="9" t="n">
        <v>-2.3</v>
      </c>
      <c r="Q157" s="58" t="n">
        <f aca="false">TRIMMEAN(B157:P157,2/COUNT(B157:P157))</f>
        <v>-0.158888888888889</v>
      </c>
    </row>
    <row r="158" customFormat="false" ht="15.75" hidden="false" customHeight="true" outlineLevel="0" collapsed="false">
      <c r="A158" s="57" t="s">
        <v>301</v>
      </c>
      <c r="B158" s="9" t="n">
        <v>0.49</v>
      </c>
      <c r="C158" s="9"/>
      <c r="D158" s="9" t="n">
        <v>0.15</v>
      </c>
      <c r="E158" s="9" t="n">
        <v>1.04</v>
      </c>
      <c r="F158" s="9" t="n">
        <v>0.86</v>
      </c>
      <c r="G158" s="9" t="n">
        <v>-0.55</v>
      </c>
      <c r="H158" s="9"/>
      <c r="I158" s="9"/>
      <c r="J158" s="9" t="n">
        <v>0.29</v>
      </c>
      <c r="K158" s="9"/>
      <c r="L158" s="9" t="n">
        <v>0.78</v>
      </c>
      <c r="M158" s="9"/>
      <c r="N158" s="9"/>
      <c r="O158" s="9"/>
      <c r="P158" s="9"/>
      <c r="Q158" s="58" t="n">
        <f aca="false">TRIMMEAN(B158:P158,2/COUNT(B158:P158))</f>
        <v>0.514</v>
      </c>
    </row>
    <row r="159" customFormat="false" ht="15.75" hidden="false" customHeight="true" outlineLevel="0" collapsed="false">
      <c r="A159" s="57" t="s">
        <v>302</v>
      </c>
      <c r="B159" s="9" t="n">
        <v>-0.09</v>
      </c>
      <c r="C159" s="9" t="n">
        <v>0.33</v>
      </c>
      <c r="D159" s="9"/>
      <c r="E159" s="9" t="n">
        <v>-0.36</v>
      </c>
      <c r="F159" s="9" t="n">
        <v>0.93</v>
      </c>
      <c r="G159" s="9" t="n">
        <v>1.45</v>
      </c>
      <c r="H159" s="9"/>
      <c r="I159" s="9"/>
      <c r="J159" s="9" t="n">
        <v>0.34</v>
      </c>
      <c r="K159" s="9" t="n">
        <v>0.83</v>
      </c>
      <c r="L159" s="9" t="n">
        <v>-0.58</v>
      </c>
      <c r="M159" s="9"/>
      <c r="N159" s="9"/>
      <c r="O159" s="9"/>
      <c r="P159" s="9"/>
      <c r="Q159" s="58" t="n">
        <f aca="false">TRIMMEAN(B159:P159,2/COUNT(B159:P159))</f>
        <v>0.33</v>
      </c>
    </row>
    <row r="160" customFormat="false" ht="15.75" hidden="false" customHeight="true" outlineLevel="0" collapsed="false">
      <c r="A160" s="59" t="s">
        <v>303</v>
      </c>
      <c r="B160" s="9" t="n">
        <v>-0.09</v>
      </c>
      <c r="C160" s="9" t="n">
        <v>0.81</v>
      </c>
      <c r="D160" s="9" t="n">
        <v>-1.19</v>
      </c>
      <c r="E160" s="9"/>
      <c r="F160" s="9" t="n">
        <v>-2.43</v>
      </c>
      <c r="G160" s="9"/>
      <c r="H160" s="9" t="n">
        <v>-0.37</v>
      </c>
      <c r="I160" s="9"/>
      <c r="J160" s="9"/>
      <c r="K160" s="9" t="n">
        <v>0.94</v>
      </c>
      <c r="L160" s="9" t="n">
        <v>-0.23</v>
      </c>
      <c r="M160" s="9"/>
      <c r="N160" s="9" t="n">
        <v>1.27</v>
      </c>
      <c r="O160" s="9" t="n">
        <v>0.49</v>
      </c>
      <c r="P160" s="9" t="n">
        <v>0.06</v>
      </c>
      <c r="Q160" s="58" t="n">
        <f aca="false">TRIMMEAN(B160:P160,2/COUNT(B160:P160))</f>
        <v>0.0525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 t="n">
        <v>0.08</v>
      </c>
      <c r="F161" s="9"/>
      <c r="G161" s="9"/>
      <c r="H161" s="9"/>
      <c r="I161" s="9"/>
      <c r="J161" s="9"/>
      <c r="K161" s="9" t="n">
        <v>-1.04</v>
      </c>
      <c r="L161" s="9" t="n">
        <v>-0.2</v>
      </c>
      <c r="M161" s="9" t="n">
        <v>0.54</v>
      </c>
      <c r="N161" s="9" t="n">
        <v>-0.2</v>
      </c>
      <c r="O161" s="9"/>
      <c r="P161" s="9" t="n">
        <v>-3.08</v>
      </c>
      <c r="Q161" s="58" t="n">
        <f aca="false">TRIMMEAN(B161:P161,2/COUNT(B161:P161))</f>
        <v>-0.34</v>
      </c>
    </row>
    <row r="162" customFormat="false" ht="15.75" hidden="false" customHeight="true" outlineLevel="0" collapsed="false">
      <c r="A162" s="59" t="s">
        <v>305</v>
      </c>
      <c r="B162" s="9"/>
      <c r="C162" s="9" t="n">
        <v>-0.05</v>
      </c>
      <c r="D162" s="9"/>
      <c r="E162" s="9" t="n">
        <v>0.58</v>
      </c>
      <c r="F162" s="9"/>
      <c r="G162" s="9"/>
      <c r="H162" s="9" t="n">
        <v>-1.21</v>
      </c>
      <c r="I162" s="9"/>
      <c r="J162" s="9"/>
      <c r="K162" s="9" t="n">
        <v>-1.04</v>
      </c>
      <c r="L162" s="9" t="n">
        <v>1.22</v>
      </c>
      <c r="M162" s="9" t="n">
        <v>0.04</v>
      </c>
      <c r="N162" s="9" t="n">
        <v>-0.9</v>
      </c>
      <c r="O162" s="9" t="n">
        <v>0.02</v>
      </c>
      <c r="P162" s="9" t="n">
        <v>0.37</v>
      </c>
      <c r="Q162" s="58" t="n">
        <f aca="false">TRIMMEAN(B162:P162,2/COUNT(B162:P162))</f>
        <v>-0.14</v>
      </c>
    </row>
    <row r="163" customFormat="false" ht="15.75" hidden="false" customHeight="true" outlineLevel="0" collapsed="false">
      <c r="A163" s="57" t="s">
        <v>306</v>
      </c>
      <c r="B163" s="9" t="n">
        <v>0.88</v>
      </c>
      <c r="C163" s="9"/>
      <c r="D163" s="9" t="n">
        <v>0.21</v>
      </c>
      <c r="E163" s="9"/>
      <c r="F163" s="9"/>
      <c r="G163" s="9" t="n">
        <v>0.32</v>
      </c>
      <c r="H163" s="9" t="n">
        <v>-0.54</v>
      </c>
      <c r="I163" s="9" t="n">
        <v>-1.76</v>
      </c>
      <c r="J163" s="9" t="n">
        <v>-0.43</v>
      </c>
      <c r="K163" s="9"/>
      <c r="L163" s="9" t="n">
        <v>-0.77</v>
      </c>
      <c r="M163" s="9" t="n">
        <v>-0.06</v>
      </c>
      <c r="N163" s="9"/>
      <c r="O163" s="9"/>
      <c r="P163" s="9"/>
      <c r="Q163" s="58" t="n">
        <f aca="false">TRIMMEAN(B163:P163,2/COUNT(B163:P163))</f>
        <v>-0.211666666666667</v>
      </c>
    </row>
    <row r="164" customFormat="false" ht="15.75" hidden="false" customHeight="true" outlineLevel="0" collapsed="false">
      <c r="A164" s="57" t="s">
        <v>307</v>
      </c>
      <c r="B164" s="9"/>
      <c r="C164" s="9" t="n">
        <v>-2.58</v>
      </c>
      <c r="D164" s="9"/>
      <c r="E164" s="9" t="n">
        <v>-0.47</v>
      </c>
      <c r="F164" s="9" t="n">
        <v>0.04</v>
      </c>
      <c r="G164" s="9" t="n">
        <v>-0.53</v>
      </c>
      <c r="H164" s="9"/>
      <c r="I164" s="9"/>
      <c r="J164" s="9" t="n">
        <v>-0.8</v>
      </c>
      <c r="K164" s="9" t="n">
        <v>0.94</v>
      </c>
      <c r="L164" s="9" t="n">
        <v>0.97</v>
      </c>
      <c r="M164" s="9"/>
      <c r="N164" s="9"/>
      <c r="O164" s="9"/>
      <c r="P164" s="9"/>
      <c r="Q164" s="58" t="n">
        <f aca="false">TRIMMEAN(B164:P164,2/COUNT(B164:P164))</f>
        <v>-0.164</v>
      </c>
    </row>
    <row r="165" customFormat="false" ht="15.75" hidden="false" customHeight="true" outlineLevel="0" collapsed="false">
      <c r="A165" s="57" t="s">
        <v>308</v>
      </c>
      <c r="B165" s="9"/>
      <c r="C165" s="9" t="n">
        <v>-0.28</v>
      </c>
      <c r="D165" s="9" t="n">
        <v>-0.61</v>
      </c>
      <c r="E165" s="9"/>
      <c r="F165" s="9" t="n">
        <v>0.52</v>
      </c>
      <c r="G165" s="9" t="n">
        <v>-0.26</v>
      </c>
      <c r="H165" s="9" t="n">
        <v>0.15</v>
      </c>
      <c r="I165" s="9" t="n">
        <v>0.83</v>
      </c>
      <c r="J165" s="9" t="n">
        <v>0.84</v>
      </c>
      <c r="K165" s="9"/>
      <c r="L165" s="9" t="n">
        <v>0.41</v>
      </c>
      <c r="M165" s="9" t="n">
        <v>0.57</v>
      </c>
      <c r="N165" s="9"/>
      <c r="O165" s="9"/>
      <c r="P165" s="9"/>
      <c r="Q165" s="58" t="n">
        <f aca="false">TRIMMEAN(B165:P165,2/COUNT(B165:P165))</f>
        <v>0.277142857142857</v>
      </c>
    </row>
    <row r="166" customFormat="false" ht="15.75" hidden="false" customHeight="true" outlineLevel="0" collapsed="false">
      <c r="A166" s="59" t="s">
        <v>309</v>
      </c>
      <c r="B166" s="9"/>
      <c r="C166" s="9" t="n">
        <v>1.13</v>
      </c>
      <c r="D166" s="9"/>
      <c r="E166" s="9" t="n">
        <v>1.15</v>
      </c>
      <c r="F166" s="9"/>
      <c r="G166" s="9"/>
      <c r="H166" s="9" t="n">
        <v>0.31</v>
      </c>
      <c r="I166" s="9"/>
      <c r="J166" s="9"/>
      <c r="K166" s="9" t="n">
        <v>-0.52</v>
      </c>
      <c r="L166" s="9" t="n">
        <v>1.44</v>
      </c>
      <c r="M166" s="9" t="n">
        <v>1.75</v>
      </c>
      <c r="N166" s="9" t="n">
        <v>-0.45</v>
      </c>
      <c r="O166" s="9" t="n">
        <v>0.25</v>
      </c>
      <c r="P166" s="9" t="n">
        <v>-0.75</v>
      </c>
      <c r="Q166" s="58" t="n">
        <f aca="false">TRIMMEAN(B166:P166,2/COUNT(B166:P166))</f>
        <v>0.472857142857143</v>
      </c>
    </row>
    <row r="167" customFormat="false" ht="15.75" hidden="false" customHeight="true" outlineLevel="0" collapsed="false">
      <c r="A167" s="57" t="s">
        <v>310</v>
      </c>
      <c r="B167" s="9" t="n">
        <v>0.48</v>
      </c>
      <c r="C167" s="9" t="n">
        <v>-1.53</v>
      </c>
      <c r="D167" s="9"/>
      <c r="E167" s="9" t="n">
        <v>-1.61</v>
      </c>
      <c r="F167" s="9" t="n">
        <v>-0.59</v>
      </c>
      <c r="G167" s="9" t="n">
        <v>-1.38</v>
      </c>
      <c r="H167" s="9"/>
      <c r="I167" s="9"/>
      <c r="J167" s="9" t="n">
        <v>-0.87</v>
      </c>
      <c r="K167" s="9" t="n">
        <v>-1.54</v>
      </c>
      <c r="L167" s="9" t="n">
        <v>-0.94</v>
      </c>
      <c r="M167" s="9"/>
      <c r="N167" s="9"/>
      <c r="O167" s="9"/>
      <c r="P167" s="9"/>
      <c r="Q167" s="58" t="n">
        <f aca="false">TRIMMEAN(B167:P167,2/COUNT(B167:P167))</f>
        <v>-1.14166666666667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 t="n">
        <v>-0.31</v>
      </c>
      <c r="F168" s="9"/>
      <c r="G168" s="9" t="n">
        <v>-0.74</v>
      </c>
      <c r="H168" s="9"/>
      <c r="I168" s="9"/>
      <c r="J168" s="9" t="n">
        <v>0.88</v>
      </c>
      <c r="K168" s="9"/>
      <c r="L168" s="9" t="n">
        <v>1.48</v>
      </c>
      <c r="M168" s="9"/>
      <c r="N168" s="9"/>
      <c r="O168" s="9"/>
      <c r="P168" s="9"/>
      <c r="Q168" s="58" t="n">
        <f aca="false">TRIMMEAN(B168:P168,2/COUNT(B168:P168))</f>
        <v>0.285</v>
      </c>
    </row>
    <row r="169" customFormat="false" ht="15.75" hidden="false" customHeight="true" outlineLevel="0" collapsed="false">
      <c r="A169" s="59" t="s">
        <v>312</v>
      </c>
      <c r="B169" s="9"/>
      <c r="C169" s="9" t="n">
        <v>-0.39</v>
      </c>
      <c r="D169" s="9"/>
      <c r="E169" s="9" t="n">
        <v>1.39</v>
      </c>
      <c r="F169" s="9" t="n">
        <v>-3.2</v>
      </c>
      <c r="G169" s="9"/>
      <c r="H169" s="9" t="n">
        <v>-1.35</v>
      </c>
      <c r="I169" s="9"/>
      <c r="J169" s="9"/>
      <c r="K169" s="9" t="n">
        <v>-2.07</v>
      </c>
      <c r="L169" s="9" t="n">
        <v>-0.35</v>
      </c>
      <c r="M169" s="9" t="n">
        <v>-2.1</v>
      </c>
      <c r="N169" s="9" t="n">
        <v>0.09</v>
      </c>
      <c r="O169" s="9"/>
      <c r="P169" s="9"/>
      <c r="Q169" s="58" t="n">
        <f aca="false">TRIMMEAN(B169:P169,2/COUNT(B169:P169))</f>
        <v>-1.02833333333333</v>
      </c>
    </row>
    <row r="170" customFormat="false" ht="15.75" hidden="false" customHeight="true" outlineLevel="0" collapsed="false">
      <c r="A170" s="59" t="s">
        <v>313</v>
      </c>
      <c r="B170" s="9" t="n">
        <v>-0.5</v>
      </c>
      <c r="C170" s="9" t="n">
        <v>-1.08</v>
      </c>
      <c r="D170" s="9" t="n">
        <v>0.78</v>
      </c>
      <c r="E170" s="9"/>
      <c r="F170" s="9" t="n">
        <v>0.46</v>
      </c>
      <c r="G170" s="9" t="n">
        <v>0.14</v>
      </c>
      <c r="H170" s="9"/>
      <c r="I170" s="9" t="n">
        <v>-1.07</v>
      </c>
      <c r="J170" s="9" t="n">
        <v>0.27</v>
      </c>
      <c r="K170" s="9"/>
      <c r="L170" s="9"/>
      <c r="M170" s="9" t="n">
        <v>0.49</v>
      </c>
      <c r="N170" s="9" t="n">
        <v>0.85</v>
      </c>
      <c r="O170" s="9" t="n">
        <v>-0.4</v>
      </c>
      <c r="P170" s="9" t="n">
        <v>1.18</v>
      </c>
      <c r="Q170" s="58" t="n">
        <f aca="false">TRIMMEAN(B170:P170,2/COUNT(B170:P170))</f>
        <v>0.113333333333333</v>
      </c>
    </row>
    <row r="171" customFormat="false" ht="15.75" hidden="false" customHeight="true" outlineLevel="0" collapsed="false">
      <c r="A171" s="59" t="s">
        <v>314</v>
      </c>
      <c r="B171" s="9" t="n">
        <v>1.29</v>
      </c>
      <c r="C171" s="9" t="n">
        <v>0.46</v>
      </c>
      <c r="D171" s="9" t="n">
        <v>1.26</v>
      </c>
      <c r="E171" s="9"/>
      <c r="F171" s="9"/>
      <c r="G171" s="9" t="n">
        <v>1.06</v>
      </c>
      <c r="H171" s="9" t="n">
        <v>-0.82</v>
      </c>
      <c r="I171" s="9"/>
      <c r="J171" s="9" t="n">
        <v>1.21</v>
      </c>
      <c r="K171" s="9" t="n">
        <v>0.35</v>
      </c>
      <c r="L171" s="9" t="n">
        <v>0.53</v>
      </c>
      <c r="M171" s="9"/>
      <c r="N171" s="9" t="n">
        <v>1.87</v>
      </c>
      <c r="O171" s="9" t="n">
        <v>0.22</v>
      </c>
      <c r="P171" s="9" t="n">
        <v>0.97</v>
      </c>
      <c r="Q171" s="58" t="n">
        <f aca="false">TRIMMEAN(B171:P171,2/COUNT(B171:P171))</f>
        <v>0.816666666666667</v>
      </c>
    </row>
    <row r="172" customFormat="false" ht="15.75" hidden="false" customHeight="true" outlineLevel="0" collapsed="false">
      <c r="A172" s="57" t="s">
        <v>315</v>
      </c>
      <c r="B172" s="9" t="n">
        <v>0.21</v>
      </c>
      <c r="C172" s="9" t="n">
        <v>1.33</v>
      </c>
      <c r="D172" s="9" t="n">
        <v>-2.09</v>
      </c>
      <c r="E172" s="9"/>
      <c r="F172" s="9" t="n">
        <v>-0.26</v>
      </c>
      <c r="G172" s="9" t="n">
        <v>1.38</v>
      </c>
      <c r="H172" s="9"/>
      <c r="I172" s="9" t="n">
        <v>0.84</v>
      </c>
      <c r="J172" s="9" t="n">
        <v>-0.6</v>
      </c>
      <c r="K172" s="9"/>
      <c r="L172" s="9" t="n">
        <v>1.12</v>
      </c>
      <c r="M172" s="9" t="n">
        <v>2.35</v>
      </c>
      <c r="N172" s="9"/>
      <c r="O172" s="9" t="n">
        <v>-0.48</v>
      </c>
      <c r="P172" s="9" t="n">
        <v>1.68</v>
      </c>
      <c r="Q172" s="58" t="n">
        <f aca="false">TRIMMEAN(B172:P172,2/COUNT(B172:P172))</f>
        <v>0.58</v>
      </c>
    </row>
    <row r="173" customFormat="false" ht="15.75" hidden="false" customHeight="true" outlineLevel="0" collapsed="false">
      <c r="A173" s="57" t="s">
        <v>316</v>
      </c>
      <c r="B173" s="9"/>
      <c r="C173" s="9" t="n">
        <v>-0.04</v>
      </c>
      <c r="D173" s="9" t="n">
        <v>-1.3</v>
      </c>
      <c r="E173" s="9" t="n">
        <v>-1.14</v>
      </c>
      <c r="F173" s="9" t="n">
        <v>-1.22</v>
      </c>
      <c r="G173" s="9"/>
      <c r="H173" s="9" t="n">
        <v>-0.44</v>
      </c>
      <c r="I173" s="9" t="n">
        <v>0.81</v>
      </c>
      <c r="J173" s="9"/>
      <c r="K173" s="9" t="n">
        <v>-0.19</v>
      </c>
      <c r="L173" s="9" t="n">
        <v>0.29</v>
      </c>
      <c r="M173" s="9" t="n">
        <v>0.35</v>
      </c>
      <c r="N173" s="9" t="n">
        <v>-0.54</v>
      </c>
      <c r="O173" s="9" t="n">
        <v>-0.33</v>
      </c>
      <c r="P173" s="9" t="n">
        <v>-0.08</v>
      </c>
      <c r="Q173" s="58" t="n">
        <f aca="false">TRIMMEAN(B173:P173,2/COUNT(B173:P173))</f>
        <v>-0.334</v>
      </c>
    </row>
    <row r="174" customFormat="false" ht="15.75" hidden="false" customHeight="true" outlineLevel="0" collapsed="false">
      <c r="A174" s="57" t="s">
        <v>317</v>
      </c>
      <c r="B174" s="9" t="n">
        <v>-0.65</v>
      </c>
      <c r="C174" s="9" t="n">
        <v>-1.14</v>
      </c>
      <c r="D174" s="9" t="n">
        <v>-2.28</v>
      </c>
      <c r="E174" s="9"/>
      <c r="F174" s="9" t="n">
        <v>-0.59</v>
      </c>
      <c r="G174" s="9" t="n">
        <v>-0.74</v>
      </c>
      <c r="H174" s="9"/>
      <c r="I174" s="9"/>
      <c r="J174" s="9" t="n">
        <v>-0.73</v>
      </c>
      <c r="K174" s="9"/>
      <c r="L174" s="9" t="n">
        <v>-0.32</v>
      </c>
      <c r="M174" s="9" t="n">
        <v>1.28</v>
      </c>
      <c r="N174" s="9"/>
      <c r="O174" s="9"/>
      <c r="P174" s="9"/>
      <c r="Q174" s="58" t="n">
        <f aca="false">TRIMMEAN(B174:P174,2/COUNT(B174:P174))</f>
        <v>-0.695</v>
      </c>
    </row>
    <row r="175" customFormat="false" ht="15.75" hidden="false" customHeight="true" outlineLevel="0" collapsed="false">
      <c r="A175" s="57" t="s">
        <v>318</v>
      </c>
      <c r="B175" s="9"/>
      <c r="C175" s="9" t="n">
        <v>0.69</v>
      </c>
      <c r="D175" s="9" t="n">
        <v>1.35</v>
      </c>
      <c r="E175" s="9"/>
      <c r="F175" s="9"/>
      <c r="G175" s="9" t="n">
        <v>-0.01</v>
      </c>
      <c r="H175" s="9"/>
      <c r="I175" s="9" t="n">
        <v>1.08</v>
      </c>
      <c r="J175" s="9"/>
      <c r="K175" s="9"/>
      <c r="L175" s="9" t="n">
        <v>1.09</v>
      </c>
      <c r="M175" s="9" t="n">
        <v>-0.65</v>
      </c>
      <c r="N175" s="9"/>
      <c r="O175" s="9"/>
      <c r="P175" s="9"/>
      <c r="Q175" s="58" t="n">
        <f aca="false">TRIMMEAN(B175:P175,2/COUNT(B175:P175))</f>
        <v>0.7125</v>
      </c>
    </row>
    <row r="176" customFormat="false" ht="15.75" hidden="false" customHeight="true" outlineLevel="0" collapsed="false">
      <c r="A176" s="59" t="s">
        <v>319</v>
      </c>
      <c r="B176" s="9" t="n">
        <v>1.36</v>
      </c>
      <c r="C176" s="9" t="n">
        <v>-0.11</v>
      </c>
      <c r="D176" s="9" t="n">
        <v>0.34</v>
      </c>
      <c r="E176" s="9"/>
      <c r="F176" s="9"/>
      <c r="G176" s="9" t="n">
        <v>1.82</v>
      </c>
      <c r="H176" s="9"/>
      <c r="I176" s="9" t="n">
        <v>-0.05</v>
      </c>
      <c r="J176" s="9" t="n">
        <v>-0.19</v>
      </c>
      <c r="K176" s="9"/>
      <c r="L176" s="9"/>
      <c r="M176" s="9" t="n">
        <v>0.87</v>
      </c>
      <c r="N176" s="9" t="n">
        <v>0.8</v>
      </c>
      <c r="O176" s="9"/>
      <c r="P176" s="9" t="n">
        <v>1.08</v>
      </c>
      <c r="Q176" s="58" t="n">
        <f aca="false">TRIMMEAN(B176:P176,2/COUNT(B176:P176))</f>
        <v>0.612857142857143</v>
      </c>
    </row>
    <row r="177" customFormat="false" ht="15.75" hidden="false" customHeight="true" outlineLevel="0" collapsed="false">
      <c r="A177" s="57" t="s">
        <v>320</v>
      </c>
      <c r="B177" s="9"/>
      <c r="C177" s="9" t="n">
        <v>1.1</v>
      </c>
      <c r="D177" s="9"/>
      <c r="E177" s="9" t="n">
        <v>0.32</v>
      </c>
      <c r="F177" s="9" t="n">
        <v>1.15</v>
      </c>
      <c r="G177" s="9" t="n">
        <v>-1.19</v>
      </c>
      <c r="H177" s="9" t="n">
        <v>-0.19</v>
      </c>
      <c r="I177" s="9"/>
      <c r="J177" s="9" t="n">
        <v>0.79</v>
      </c>
      <c r="K177" s="9" t="n">
        <v>2.02</v>
      </c>
      <c r="L177" s="9" t="n">
        <v>0.24</v>
      </c>
      <c r="M177" s="9"/>
      <c r="N177" s="9" t="n">
        <v>0.14</v>
      </c>
      <c r="O177" s="9" t="n">
        <v>0.36</v>
      </c>
      <c r="P177" s="9" t="n">
        <v>-1.47</v>
      </c>
      <c r="Q177" s="58" t="n">
        <f aca="false">TRIMMEAN(B177:P177,2/COUNT(B177:P177))</f>
        <v>0.302222222222222</v>
      </c>
    </row>
    <row r="178" customFormat="false" ht="15.75" hidden="false" customHeight="true" outlineLevel="0" collapsed="false">
      <c r="A178" s="57" t="s">
        <v>321</v>
      </c>
      <c r="B178" s="9"/>
      <c r="C178" s="9" t="n">
        <v>0.55</v>
      </c>
      <c r="D178" s="9"/>
      <c r="E178" s="9" t="n">
        <v>-1.33</v>
      </c>
      <c r="F178" s="9" t="n">
        <v>-0.81</v>
      </c>
      <c r="G178" s="9" t="n">
        <v>0.14</v>
      </c>
      <c r="H178" s="9"/>
      <c r="I178" s="9"/>
      <c r="J178" s="9"/>
      <c r="K178" s="9" t="n">
        <v>-0.43</v>
      </c>
      <c r="L178" s="9" t="n">
        <v>-0.62</v>
      </c>
      <c r="M178" s="9"/>
      <c r="N178" s="9"/>
      <c r="O178" s="9"/>
      <c r="P178" s="9"/>
      <c r="Q178" s="58" t="n">
        <f aca="false">TRIMMEAN(B178:P178,2/COUNT(B178:P178))</f>
        <v>-0.43</v>
      </c>
    </row>
    <row r="179" customFormat="false" ht="15.75" hidden="false" customHeight="true" outlineLevel="0" collapsed="false">
      <c r="A179" s="57" t="s">
        <v>322</v>
      </c>
      <c r="B179" s="9" t="n">
        <v>0.33</v>
      </c>
      <c r="C179" s="9" t="n">
        <v>-1.16</v>
      </c>
      <c r="D179" s="9"/>
      <c r="E179" s="9"/>
      <c r="F179" s="9" t="n">
        <v>-0.7</v>
      </c>
      <c r="G179" s="9" t="n">
        <v>-0.56</v>
      </c>
      <c r="H179" s="9"/>
      <c r="I179" s="9"/>
      <c r="J179" s="9" t="n">
        <v>0.83</v>
      </c>
      <c r="K179" s="9" t="n">
        <v>2.51</v>
      </c>
      <c r="L179" s="9" t="n">
        <v>0.71</v>
      </c>
      <c r="M179" s="9"/>
      <c r="N179" s="9"/>
      <c r="O179" s="9"/>
      <c r="P179" s="9"/>
      <c r="Q179" s="58" t="n">
        <f aca="false">TRIMMEAN(B179:P179,2/COUNT(B179:P179))</f>
        <v>0.122</v>
      </c>
    </row>
    <row r="180" customFormat="false" ht="15.75" hidden="false" customHeight="true" outlineLevel="0" collapsed="false">
      <c r="A180" s="59" t="s">
        <v>323</v>
      </c>
      <c r="B180" s="9" t="n">
        <v>-0.37</v>
      </c>
      <c r="C180" s="9"/>
      <c r="D180" s="9" t="n">
        <v>0.43</v>
      </c>
      <c r="E180" s="9" t="n">
        <v>0.06</v>
      </c>
      <c r="F180" s="9" t="n">
        <v>-1.28</v>
      </c>
      <c r="G180" s="9"/>
      <c r="H180" s="9" t="n">
        <v>-0.23</v>
      </c>
      <c r="I180" s="9" t="n">
        <v>1.74</v>
      </c>
      <c r="J180" s="9" t="n">
        <v>0.41</v>
      </c>
      <c r="K180" s="9" t="n">
        <v>0.04</v>
      </c>
      <c r="L180" s="9"/>
      <c r="M180" s="9" t="n">
        <v>-0.79</v>
      </c>
      <c r="N180" s="9" t="n">
        <v>-1.41</v>
      </c>
      <c r="O180" s="9"/>
      <c r="P180" s="9" t="n">
        <v>-0.96</v>
      </c>
      <c r="Q180" s="58" t="n">
        <f aca="false">TRIMMEAN(B180:P180,2/COUNT(B180:P180))</f>
        <v>-0.298888888888889</v>
      </c>
    </row>
    <row r="181" customFormat="false" ht="15.75" hidden="false" customHeight="true" outlineLevel="0" collapsed="false">
      <c r="A181" s="57" t="s">
        <v>324</v>
      </c>
      <c r="B181" s="9" t="n">
        <v>-2.42</v>
      </c>
      <c r="C181" s="9" t="n">
        <v>-2.58</v>
      </c>
      <c r="D181" s="9"/>
      <c r="E181" s="9"/>
      <c r="F181" s="9"/>
      <c r="G181" s="9" t="n">
        <v>-0.75</v>
      </c>
      <c r="H181" s="9"/>
      <c r="I181" s="9"/>
      <c r="J181" s="9" t="n">
        <v>0.01</v>
      </c>
      <c r="K181" s="9"/>
      <c r="L181" s="9" t="n">
        <v>-0.1</v>
      </c>
      <c r="M181" s="9" t="n">
        <v>-0.8</v>
      </c>
      <c r="N181" s="9"/>
      <c r="O181" s="9"/>
      <c r="P181" s="9"/>
      <c r="Q181" s="58" t="n">
        <f aca="false">TRIMMEAN(B181:P181,2/COUNT(B181:P181))</f>
        <v>-1.0175</v>
      </c>
    </row>
    <row r="182" customFormat="false" ht="15.75" hidden="false" customHeight="true" outlineLevel="0" collapsed="false">
      <c r="A182" s="59" t="s">
        <v>325</v>
      </c>
      <c r="B182" s="9"/>
      <c r="C182" s="9" t="n">
        <v>-0.34</v>
      </c>
      <c r="D182" s="9"/>
      <c r="E182" s="9" t="n">
        <v>-0.6</v>
      </c>
      <c r="F182" s="9"/>
      <c r="G182" s="9"/>
      <c r="H182" s="9"/>
      <c r="I182" s="9" t="n">
        <v>-0.46</v>
      </c>
      <c r="J182" s="9"/>
      <c r="K182" s="9"/>
      <c r="L182" s="9"/>
      <c r="M182" s="9"/>
      <c r="N182" s="9"/>
      <c r="O182" s="9"/>
      <c r="P182" s="9"/>
      <c r="Q182" s="58" t="n">
        <f aca="false">TRIMMEAN(B182:P182,2/COUNT(B182:P182))</f>
        <v>-0.46</v>
      </c>
    </row>
    <row r="183" customFormat="false" ht="15.75" hidden="false" customHeight="true" outlineLevel="0" collapsed="false">
      <c r="A183" s="57" t="s">
        <v>326</v>
      </c>
      <c r="B183" s="9"/>
      <c r="C183" s="9" t="n">
        <v>0.23</v>
      </c>
      <c r="D183" s="9"/>
      <c r="E183" s="9" t="n">
        <v>1.01</v>
      </c>
      <c r="F183" s="9" t="n">
        <v>-0.44</v>
      </c>
      <c r="G183" s="9"/>
      <c r="H183" s="9" t="n">
        <v>-0.53</v>
      </c>
      <c r="I183" s="9"/>
      <c r="J183" s="9"/>
      <c r="K183" s="9" t="n">
        <v>-1.81</v>
      </c>
      <c r="L183" s="9" t="n">
        <v>-0.09</v>
      </c>
      <c r="M183" s="9"/>
      <c r="N183" s="9" t="n">
        <v>0.73</v>
      </c>
      <c r="O183" s="9"/>
      <c r="P183" s="9"/>
      <c r="Q183" s="58" t="n">
        <f aca="false">TRIMMEAN(B183:P183,2/COUNT(B183:P183))</f>
        <v>-0.02</v>
      </c>
    </row>
    <row r="184" customFormat="false" ht="15.75" hidden="false" customHeight="true" outlineLevel="0" collapsed="false">
      <c r="A184" s="59" t="s">
        <v>327</v>
      </c>
      <c r="B184" s="9" t="n">
        <v>-1.61</v>
      </c>
      <c r="C184" s="9"/>
      <c r="D184" s="9" t="n">
        <v>0.64</v>
      </c>
      <c r="E184" s="9"/>
      <c r="F184" s="9"/>
      <c r="G184" s="9"/>
      <c r="H184" s="9" t="n">
        <v>0.74</v>
      </c>
      <c r="I184" s="9" t="n">
        <v>1.2</v>
      </c>
      <c r="J184" s="9" t="n">
        <v>0.87</v>
      </c>
      <c r="K184" s="9"/>
      <c r="L184" s="9"/>
      <c r="M184" s="9" t="n">
        <v>0.81</v>
      </c>
      <c r="N184" s="9"/>
      <c r="O184" s="9"/>
      <c r="P184" s="9"/>
      <c r="Q184" s="58" t="n">
        <f aca="false">TRIMMEAN(B184:P184,2/COUNT(B184:P184))</f>
        <v>0.765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 t="n">
        <v>0.27</v>
      </c>
      <c r="E185" s="9" t="n">
        <v>-1.74</v>
      </c>
      <c r="F185" s="9" t="n">
        <v>-0.03</v>
      </c>
      <c r="G185" s="9"/>
      <c r="H185" s="9" t="n">
        <v>-0.21</v>
      </c>
      <c r="I185" s="9" t="n">
        <v>-0.44</v>
      </c>
      <c r="J185" s="9"/>
      <c r="K185" s="9" t="n">
        <v>-0.32</v>
      </c>
      <c r="L185" s="9" t="n">
        <v>-0.16</v>
      </c>
      <c r="M185" s="9"/>
      <c r="N185" s="9" t="n">
        <v>-2.8</v>
      </c>
      <c r="O185" s="9" t="n">
        <v>-0.44</v>
      </c>
      <c r="P185" s="9" t="n">
        <v>-0.35</v>
      </c>
      <c r="Q185" s="58" t="n">
        <f aca="false">TRIMMEAN(B185:P185,2/COUNT(B185:P185))</f>
        <v>-0.46125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0.6</v>
      </c>
      <c r="C187" s="9" t="n">
        <v>-1.37</v>
      </c>
      <c r="D187" s="9"/>
      <c r="E187" s="9" t="n">
        <v>-1.49</v>
      </c>
      <c r="F187" s="9" t="n">
        <v>-1.89</v>
      </c>
      <c r="G187" s="9" t="n">
        <v>-0.3</v>
      </c>
      <c r="H187" s="9"/>
      <c r="I187" s="9"/>
      <c r="J187" s="9" t="n">
        <v>-0.56</v>
      </c>
      <c r="K187" s="9" t="n">
        <v>-0.11</v>
      </c>
      <c r="L187" s="9" t="n">
        <v>-0.02</v>
      </c>
      <c r="M187" s="9"/>
      <c r="N187" s="9"/>
      <c r="O187" s="9"/>
      <c r="P187" s="9"/>
      <c r="Q187" s="58" t="n">
        <f aca="false">TRIMMEAN(B187:P187,2/COUNT(B187:P187))</f>
        <v>-0.641666666666667</v>
      </c>
    </row>
    <row r="188" customFormat="false" ht="15.75" hidden="false" customHeight="true" outlineLevel="0" collapsed="false">
      <c r="A188" s="57" t="s">
        <v>331</v>
      </c>
      <c r="B188" s="9"/>
      <c r="C188" s="9" t="n">
        <v>1.28</v>
      </c>
      <c r="D188" s="9"/>
      <c r="E188" s="9" t="n">
        <v>-1.95</v>
      </c>
      <c r="F188" s="9" t="n">
        <v>0.97</v>
      </c>
      <c r="G188" s="9"/>
      <c r="H188" s="9" t="n">
        <v>2.08</v>
      </c>
      <c r="I188" s="9"/>
      <c r="J188" s="9"/>
      <c r="K188" s="9" t="n">
        <v>0.34</v>
      </c>
      <c r="L188" s="9" t="n">
        <v>1.68</v>
      </c>
      <c r="M188" s="9" t="n">
        <v>-0.5</v>
      </c>
      <c r="N188" s="9" t="n">
        <v>-0.89</v>
      </c>
      <c r="O188" s="9" t="n">
        <v>0.4</v>
      </c>
      <c r="P188" s="9"/>
      <c r="Q188" s="58" t="n">
        <f aca="false">TRIMMEAN(B188:P188,2/COUNT(B188:P188))</f>
        <v>0.468571428571429</v>
      </c>
    </row>
    <row r="189" customFormat="false" ht="15.75" hidden="false" customHeight="true" outlineLevel="0" collapsed="false">
      <c r="A189" s="57" t="s">
        <v>332</v>
      </c>
      <c r="B189" s="9"/>
      <c r="C189" s="9" t="n">
        <v>0.91</v>
      </c>
      <c r="D189" s="9" t="n">
        <v>0.02</v>
      </c>
      <c r="E189" s="9" t="n">
        <v>0.54</v>
      </c>
      <c r="F189" s="9" t="n">
        <v>0.44</v>
      </c>
      <c r="G189" s="9"/>
      <c r="H189" s="9" t="n">
        <v>0.71</v>
      </c>
      <c r="I189" s="9"/>
      <c r="J189" s="9"/>
      <c r="K189" s="9" t="n">
        <v>-0.7</v>
      </c>
      <c r="L189" s="9" t="n">
        <v>1.23</v>
      </c>
      <c r="M189" s="9" t="n">
        <v>-0.28</v>
      </c>
      <c r="N189" s="9" t="n">
        <v>-0.54</v>
      </c>
      <c r="O189" s="9" t="n">
        <v>-2.37</v>
      </c>
      <c r="P189" s="9" t="n">
        <v>-1.32</v>
      </c>
      <c r="Q189" s="58" t="n">
        <f aca="false">TRIMMEAN(B189:P189,2/COUNT(B189:P189))</f>
        <v>-0.0244444444444445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 t="n">
        <v>0.76</v>
      </c>
      <c r="D191" s="9" t="n">
        <v>-0.29</v>
      </c>
      <c r="E191" s="9"/>
      <c r="F191" s="9" t="n">
        <v>1.39</v>
      </c>
      <c r="G191" s="9" t="n">
        <v>-0.71</v>
      </c>
      <c r="H191" s="9"/>
      <c r="I191" s="9" t="n">
        <v>1.43</v>
      </c>
      <c r="J191" s="9"/>
      <c r="K191" s="9"/>
      <c r="L191" s="9"/>
      <c r="M191" s="9" t="n">
        <v>-1.44</v>
      </c>
      <c r="N191" s="9"/>
      <c r="O191" s="9"/>
      <c r="P191" s="9"/>
      <c r="Q191" s="58" t="n">
        <f aca="false">TRIMMEAN(B191:P191,2/COUNT(B191:P191))</f>
        <v>0.2875</v>
      </c>
    </row>
    <row r="192" customFormat="false" ht="15.75" hidden="false" customHeight="true" outlineLevel="0" collapsed="false">
      <c r="A192" s="57" t="s">
        <v>335</v>
      </c>
      <c r="B192" s="9" t="n">
        <v>0.88</v>
      </c>
      <c r="C192" s="9" t="n">
        <v>0.55</v>
      </c>
      <c r="D192" s="9" t="n">
        <v>1.35</v>
      </c>
      <c r="E192" s="9"/>
      <c r="F192" s="9"/>
      <c r="G192" s="9" t="n">
        <v>0.88</v>
      </c>
      <c r="H192" s="9" t="n">
        <v>-0.59</v>
      </c>
      <c r="I192" s="9" t="n">
        <v>1.27</v>
      </c>
      <c r="J192" s="9" t="n">
        <v>1.25</v>
      </c>
      <c r="K192" s="9"/>
      <c r="L192" s="9" t="n">
        <v>0.38</v>
      </c>
      <c r="M192" s="9" t="n">
        <v>-0.5</v>
      </c>
      <c r="N192" s="9"/>
      <c r="O192" s="9"/>
      <c r="P192" s="9" t="n">
        <v>1.46</v>
      </c>
      <c r="Q192" s="58" t="n">
        <f aca="false">TRIMMEAN(B192:P192,2/COUNT(B192:P192))</f>
        <v>0.7575</v>
      </c>
    </row>
    <row r="193" customFormat="false" ht="15.75" hidden="false" customHeight="true" outlineLevel="0" collapsed="false">
      <c r="A193" s="57" t="s">
        <v>336</v>
      </c>
      <c r="B193" s="9" t="n">
        <v>-0.01</v>
      </c>
      <c r="C193" s="9" t="n">
        <v>0.11</v>
      </c>
      <c r="D193" s="9"/>
      <c r="E193" s="9" t="n">
        <v>-1.67</v>
      </c>
      <c r="F193" s="9"/>
      <c r="G193" s="9" t="n">
        <v>-0.37</v>
      </c>
      <c r="H193" s="9"/>
      <c r="I193" s="9" t="n">
        <v>0.44</v>
      </c>
      <c r="J193" s="9" t="n">
        <v>0.9</v>
      </c>
      <c r="K193" s="9" t="n">
        <v>-0.62</v>
      </c>
      <c r="L193" s="9" t="n">
        <v>1.37</v>
      </c>
      <c r="M193" s="9" t="n">
        <v>-0.47</v>
      </c>
      <c r="N193" s="9"/>
      <c r="O193" s="9"/>
      <c r="P193" s="9"/>
      <c r="Q193" s="58" t="n">
        <f aca="false">TRIMMEAN(B193:P193,2/COUNT(B193:P193))</f>
        <v>-0.00285714285714285</v>
      </c>
    </row>
    <row r="194" customFormat="false" ht="15.75" hidden="false" customHeight="true" outlineLevel="0" collapsed="false">
      <c r="A194" s="59" t="s">
        <v>337</v>
      </c>
      <c r="B194" s="9"/>
      <c r="C194" s="9" t="n">
        <v>-1.82</v>
      </c>
      <c r="D194" s="9"/>
      <c r="E194" s="9" t="n">
        <v>-0.34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 t="n">
        <v>2.16</v>
      </c>
      <c r="D195" s="9"/>
      <c r="E195" s="9"/>
      <c r="F195" s="9"/>
      <c r="G195" s="9"/>
      <c r="H195" s="9"/>
      <c r="I195" s="9"/>
      <c r="J195" s="9"/>
      <c r="K195" s="9" t="n">
        <v>0.34</v>
      </c>
      <c r="L195" s="9" t="n">
        <v>1.42</v>
      </c>
      <c r="M195" s="9" t="n">
        <v>0.47</v>
      </c>
      <c r="N195" s="9"/>
      <c r="O195" s="9"/>
      <c r="P195" s="9"/>
      <c r="Q195" s="58" t="n">
        <f aca="false">TRIMMEAN(B195:P195,2/COUNT(B195:P195))</f>
        <v>0.945</v>
      </c>
    </row>
    <row r="196" customFormat="false" ht="15.75" hidden="false" customHeight="true" outlineLevel="0" collapsed="false">
      <c r="A196" s="57" t="s">
        <v>339</v>
      </c>
      <c r="B196" s="9" t="n">
        <v>-1.35</v>
      </c>
      <c r="C196" s="9" t="n">
        <v>-1.3</v>
      </c>
      <c r="D196" s="9" t="n">
        <v>-0.1</v>
      </c>
      <c r="E196" s="9"/>
      <c r="F196" s="9" t="n">
        <v>-1.01</v>
      </c>
      <c r="G196" s="9" t="n">
        <v>0.46</v>
      </c>
      <c r="H196" s="9"/>
      <c r="I196" s="9" t="n">
        <v>0.43</v>
      </c>
      <c r="J196" s="9" t="n">
        <v>-0.22</v>
      </c>
      <c r="K196" s="9" t="n">
        <v>-1.69</v>
      </c>
      <c r="L196" s="9" t="n">
        <v>-1.66</v>
      </c>
      <c r="M196" s="9" t="n">
        <v>-0.92</v>
      </c>
      <c r="N196" s="9"/>
      <c r="O196" s="9" t="n">
        <v>-3.19</v>
      </c>
      <c r="P196" s="9" t="n">
        <v>0.55</v>
      </c>
      <c r="Q196" s="58" t="n">
        <f aca="false">TRIMMEAN(B196:P196,2/COUNT(B196:P196))</f>
        <v>-0.736</v>
      </c>
    </row>
    <row r="197" customFormat="false" ht="15.75" hidden="false" customHeight="true" outlineLevel="0" collapsed="false">
      <c r="A197" s="59" t="s">
        <v>340</v>
      </c>
      <c r="B197" s="9"/>
      <c r="C197" s="9" t="n">
        <v>-1.11</v>
      </c>
      <c r="D197" s="9"/>
      <c r="E197" s="9" t="n">
        <v>0.72</v>
      </c>
      <c r="F197" s="9" t="n">
        <v>0.69</v>
      </c>
      <c r="G197" s="9"/>
      <c r="H197" s="9" t="n">
        <v>-1.18</v>
      </c>
      <c r="I197" s="9"/>
      <c r="J197" s="9"/>
      <c r="K197" s="9" t="n">
        <v>0.82</v>
      </c>
      <c r="L197" s="9" t="n">
        <v>0.31</v>
      </c>
      <c r="M197" s="9" t="n">
        <v>-0.39</v>
      </c>
      <c r="N197" s="9" t="n">
        <v>0.86</v>
      </c>
      <c r="O197" s="9" t="n">
        <v>-3.14</v>
      </c>
      <c r="P197" s="9" t="n">
        <v>0.17</v>
      </c>
      <c r="Q197" s="58" t="n">
        <f aca="false">TRIMMEAN(B197:P197,2/COUNT(B197:P197))</f>
        <v>0.00374999999999998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 t="n">
        <v>0.02</v>
      </c>
      <c r="F198" s="9" t="n">
        <v>-0.25</v>
      </c>
      <c r="G198" s="9"/>
      <c r="H198" s="9" t="n">
        <v>-1.35</v>
      </c>
      <c r="I198" s="9"/>
      <c r="J198" s="9"/>
      <c r="K198" s="9" t="n">
        <v>-3.57</v>
      </c>
      <c r="L198" s="9" t="n">
        <v>0.73</v>
      </c>
      <c r="M198" s="9"/>
      <c r="N198" s="9" t="n">
        <v>0.1</v>
      </c>
      <c r="O198" s="9" t="n">
        <v>0.72</v>
      </c>
      <c r="P198" s="9" t="n">
        <v>-0.21</v>
      </c>
      <c r="Q198" s="58" t="n">
        <f aca="false">TRIMMEAN(B198:P198,2/COUNT(B198:P198))</f>
        <v>-0.161666666666667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 t="n">
        <v>0</v>
      </c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 t="n">
        <v>-0.04</v>
      </c>
      <c r="D200" s="9"/>
      <c r="E200" s="9"/>
      <c r="F200" s="9" t="n">
        <v>-0.87</v>
      </c>
      <c r="G200" s="9" t="n">
        <v>-0.07</v>
      </c>
      <c r="H200" s="9"/>
      <c r="I200" s="9" t="n">
        <v>0.73</v>
      </c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-0.055</v>
      </c>
    </row>
    <row r="201" customFormat="false" ht="15.75" hidden="false" customHeight="true" outlineLevel="0" collapsed="false">
      <c r="A201" s="57" t="s">
        <v>344</v>
      </c>
      <c r="B201" s="9" t="n">
        <v>0.08</v>
      </c>
      <c r="C201" s="9" t="n">
        <v>0.91</v>
      </c>
      <c r="D201" s="9"/>
      <c r="E201" s="9" t="n">
        <v>0.22</v>
      </c>
      <c r="F201" s="9" t="n">
        <v>-1.21</v>
      </c>
      <c r="G201" s="9" t="n">
        <v>0.13</v>
      </c>
      <c r="H201" s="9"/>
      <c r="I201" s="9"/>
      <c r="J201" s="9" t="n">
        <v>-1.68</v>
      </c>
      <c r="K201" s="9" t="n">
        <v>-0.07</v>
      </c>
      <c r="L201" s="9" t="n">
        <v>0.26</v>
      </c>
      <c r="M201" s="9"/>
      <c r="N201" s="9"/>
      <c r="O201" s="9"/>
      <c r="P201" s="9"/>
      <c r="Q201" s="58" t="n">
        <f aca="false">TRIMMEAN(B201:P201,2/COUNT(B201:P201))</f>
        <v>-0.0983333333333333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 t="n">
        <v>-1.31</v>
      </c>
      <c r="G202" s="9"/>
      <c r="H202" s="9"/>
      <c r="I202" s="9"/>
      <c r="J202" s="9"/>
      <c r="K202" s="9"/>
      <c r="L202" s="9"/>
      <c r="M202" s="9" t="n">
        <v>0.89</v>
      </c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-0.59</v>
      </c>
      <c r="D203" s="9" t="n">
        <v>-0.57</v>
      </c>
      <c r="E203" s="9" t="n">
        <v>-0.47</v>
      </c>
      <c r="F203" s="9" t="n">
        <v>-2.53</v>
      </c>
      <c r="G203" s="9"/>
      <c r="H203" s="9" t="n">
        <v>-3.07</v>
      </c>
      <c r="I203" s="9" t="n">
        <v>0.65</v>
      </c>
      <c r="J203" s="9"/>
      <c r="K203" s="9"/>
      <c r="L203" s="9" t="n">
        <v>-1.5</v>
      </c>
      <c r="M203" s="9" t="n">
        <v>0.54</v>
      </c>
      <c r="N203" s="9" t="n">
        <v>-0.3</v>
      </c>
      <c r="O203" s="9" t="n">
        <v>0.13</v>
      </c>
      <c r="P203" s="9" t="n">
        <v>0.34</v>
      </c>
      <c r="Q203" s="58" t="n">
        <f aca="false">TRIMMEAN(B203:P203,2/COUNT(B203:P203))</f>
        <v>-0.55</v>
      </c>
    </row>
    <row r="204" customFormat="false" ht="15.75" hidden="false" customHeight="true" outlineLevel="0" collapsed="false">
      <c r="A204" s="59" t="s">
        <v>347</v>
      </c>
      <c r="B204" s="9"/>
      <c r="C204" s="9" t="n">
        <v>-1.64</v>
      </c>
      <c r="D204" s="9"/>
      <c r="E204" s="9" t="n">
        <v>-0.9</v>
      </c>
      <c r="F204" s="9"/>
      <c r="G204" s="9"/>
      <c r="H204" s="9" t="n">
        <v>-0.66</v>
      </c>
      <c r="I204" s="9"/>
      <c r="J204" s="9"/>
      <c r="K204" s="9" t="n">
        <v>0.1</v>
      </c>
      <c r="L204" s="9" t="n">
        <v>-0.43</v>
      </c>
      <c r="M204" s="9" t="n">
        <v>-0.84</v>
      </c>
      <c r="N204" s="9" t="n">
        <v>-1.72</v>
      </c>
      <c r="O204" s="9"/>
      <c r="P204" s="9"/>
      <c r="Q204" s="58" t="n">
        <f aca="false">TRIMMEAN(B204:P204,2/COUNT(B204:P204))</f>
        <v>-0.894</v>
      </c>
    </row>
    <row r="205" customFormat="false" ht="15.75" hidden="false" customHeight="true" outlineLevel="0" collapsed="false">
      <c r="A205" s="57" t="s">
        <v>348</v>
      </c>
      <c r="B205" s="9"/>
      <c r="C205" s="9" t="n">
        <v>-1.37</v>
      </c>
      <c r="D205" s="9"/>
      <c r="E205" s="9" t="n">
        <v>-0.72</v>
      </c>
      <c r="F205" s="9" t="n">
        <v>-1.14</v>
      </c>
      <c r="G205" s="9"/>
      <c r="H205" s="9" t="n">
        <v>0.03</v>
      </c>
      <c r="I205" s="9"/>
      <c r="J205" s="9"/>
      <c r="K205" s="9" t="n">
        <v>-0.79</v>
      </c>
      <c r="L205" s="9" t="n">
        <v>-3.14</v>
      </c>
      <c r="M205" s="9"/>
      <c r="N205" s="9" t="n">
        <v>-1.04</v>
      </c>
      <c r="O205" s="9" t="n">
        <v>0.04</v>
      </c>
      <c r="P205" s="9" t="n">
        <v>-0.04</v>
      </c>
      <c r="Q205" s="58" t="n">
        <f aca="false">TRIMMEAN(B205:P205,2/COUNT(B205:P205))</f>
        <v>-0.724285714285714</v>
      </c>
    </row>
    <row r="206" customFormat="false" ht="15.75" hidden="false" customHeight="true" outlineLevel="0" collapsed="false">
      <c r="A206" s="59" t="s">
        <v>349</v>
      </c>
      <c r="B206" s="9" t="n">
        <v>-0.33</v>
      </c>
      <c r="C206" s="9" t="n">
        <v>-1.07</v>
      </c>
      <c r="D206" s="9" t="n">
        <v>0.87</v>
      </c>
      <c r="E206" s="9" t="n">
        <v>-0.03</v>
      </c>
      <c r="F206" s="9"/>
      <c r="G206" s="9" t="n">
        <v>0.37</v>
      </c>
      <c r="H206" s="9" t="n">
        <v>-0.01</v>
      </c>
      <c r="I206" s="9"/>
      <c r="J206" s="9" t="n">
        <v>0.13</v>
      </c>
      <c r="K206" s="9" t="n">
        <v>-1.28</v>
      </c>
      <c r="L206" s="9" t="n">
        <v>1.02</v>
      </c>
      <c r="M206" s="9" t="n">
        <v>-2.41</v>
      </c>
      <c r="N206" s="9" t="n">
        <v>-0.04</v>
      </c>
      <c r="O206" s="9" t="n">
        <v>-0.23</v>
      </c>
      <c r="P206" s="9" t="n">
        <v>-0.67</v>
      </c>
      <c r="Q206" s="58" t="n">
        <f aca="false">TRIMMEAN(B206:P206,2/COUNT(B206:P206))</f>
        <v>-0.208181818181818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 t="n">
        <v>-2.38</v>
      </c>
      <c r="E207" s="9"/>
      <c r="F207" s="9"/>
      <c r="G207" s="9"/>
      <c r="H207" s="9"/>
      <c r="I207" s="9"/>
      <c r="J207" s="9"/>
      <c r="K207" s="9" t="n">
        <v>0.5</v>
      </c>
      <c r="L207" s="9" t="n">
        <v>0.77</v>
      </c>
      <c r="M207" s="9" t="n">
        <v>0.18</v>
      </c>
      <c r="N207" s="9"/>
      <c r="O207" s="9" t="n">
        <v>-1.57</v>
      </c>
      <c r="P207" s="9" t="n">
        <v>-0.14</v>
      </c>
      <c r="Q207" s="58" t="n">
        <f aca="false">TRIMMEAN(B207:P207,2/COUNT(B207:P207))</f>
        <v>-0.2575</v>
      </c>
    </row>
    <row r="208" customFormat="false" ht="15.75" hidden="false" customHeight="true" outlineLevel="0" collapsed="false">
      <c r="A208" s="57" t="s">
        <v>351</v>
      </c>
      <c r="B208" s="9"/>
      <c r="C208" s="9" t="n">
        <v>-0.13</v>
      </c>
      <c r="D208" s="9"/>
      <c r="E208" s="9" t="n">
        <v>-0.66</v>
      </c>
      <c r="F208" s="9" t="n">
        <v>-0.44</v>
      </c>
      <c r="G208" s="9" t="n">
        <v>0.46</v>
      </c>
      <c r="H208" s="9"/>
      <c r="I208" s="9"/>
      <c r="J208" s="9"/>
      <c r="K208" s="9" t="n">
        <v>0.27</v>
      </c>
      <c r="L208" s="9" t="n">
        <v>1.48</v>
      </c>
      <c r="M208" s="9" t="n">
        <v>0.41</v>
      </c>
      <c r="N208" s="9"/>
      <c r="O208" s="9"/>
      <c r="P208" s="9"/>
      <c r="Q208" s="58" t="n">
        <f aca="false">TRIMMEAN(B208:P208,2/COUNT(B208:P208))</f>
        <v>0.114</v>
      </c>
    </row>
    <row r="209" customFormat="false" ht="15.75" hidden="false" customHeight="true" outlineLevel="0" collapsed="false">
      <c r="A209" s="59" t="s">
        <v>352</v>
      </c>
      <c r="B209" s="9"/>
      <c r="C209" s="9" t="n">
        <v>1.99</v>
      </c>
      <c r="D209" s="9"/>
      <c r="E209" s="9" t="n">
        <v>-2.28</v>
      </c>
      <c r="F209" s="9" t="n">
        <v>-0.21</v>
      </c>
      <c r="G209" s="9"/>
      <c r="H209" s="9" t="n">
        <v>-0.4</v>
      </c>
      <c r="I209" s="9"/>
      <c r="J209" s="9"/>
      <c r="K209" s="9" t="n">
        <v>-1.16</v>
      </c>
      <c r="L209" s="9" t="n">
        <v>-0.16</v>
      </c>
      <c r="M209" s="9" t="n">
        <v>0.57</v>
      </c>
      <c r="N209" s="9" t="n">
        <v>-1.17</v>
      </c>
      <c r="O209" s="9"/>
      <c r="P209" s="9"/>
      <c r="Q209" s="58" t="n">
        <f aca="false">TRIMMEAN(B209:P209,2/COUNT(B209:P209))</f>
        <v>-0.421666666666667</v>
      </c>
    </row>
    <row r="210" customFormat="false" ht="15.75" hidden="false" customHeight="true" outlineLevel="0" collapsed="false">
      <c r="A210" s="59" t="s">
        <v>353</v>
      </c>
      <c r="B210" s="9"/>
      <c r="C210" s="9" t="n">
        <v>-1.06</v>
      </c>
      <c r="D210" s="9"/>
      <c r="E210" s="9" t="n">
        <v>0.67</v>
      </c>
      <c r="F210" s="9" t="n">
        <v>-2.52</v>
      </c>
      <c r="G210" s="9"/>
      <c r="H210" s="9" t="n">
        <v>1.62</v>
      </c>
      <c r="I210" s="9" t="n">
        <v>-0.66</v>
      </c>
      <c r="J210" s="9"/>
      <c r="K210" s="9" t="n">
        <v>0.81</v>
      </c>
      <c r="L210" s="9" t="n">
        <v>0.17</v>
      </c>
      <c r="M210" s="9"/>
      <c r="N210" s="9" t="n">
        <v>1.5</v>
      </c>
      <c r="O210" s="9" t="n">
        <v>-1.99</v>
      </c>
      <c r="P210" s="9" t="n">
        <v>0.68</v>
      </c>
      <c r="Q210" s="58" t="n">
        <f aca="false">TRIMMEAN(B210:P210,2/COUNT(B210:P210))</f>
        <v>0.015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 t="n">
        <v>-0.5</v>
      </c>
      <c r="F211" s="9"/>
      <c r="G211" s="9"/>
      <c r="H211" s="9"/>
      <c r="I211" s="9"/>
      <c r="J211" s="9"/>
      <c r="K211" s="9"/>
      <c r="L211" s="9" t="n">
        <v>0.47</v>
      </c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-0.31</v>
      </c>
      <c r="C212" s="9" t="n">
        <v>0.61</v>
      </c>
      <c r="D212" s="9" t="n">
        <v>-1.77</v>
      </c>
      <c r="E212" s="9"/>
      <c r="F212" s="9" t="n">
        <v>0.38</v>
      </c>
      <c r="G212" s="9" t="n">
        <v>1.9</v>
      </c>
      <c r="H212" s="9"/>
      <c r="I212" s="9" t="n">
        <v>1.55</v>
      </c>
      <c r="J212" s="9" t="n">
        <v>-0.24</v>
      </c>
      <c r="K212" s="9" t="n">
        <v>0.36</v>
      </c>
      <c r="L212" s="9"/>
      <c r="M212" s="9" t="n">
        <v>1.45</v>
      </c>
      <c r="N212" s="9"/>
      <c r="O212" s="9"/>
      <c r="P212" s="9" t="n">
        <v>-2.02</v>
      </c>
      <c r="Q212" s="58" t="n">
        <f aca="false">TRIMMEAN(B212:P212,2/COUNT(B212:P212))</f>
        <v>0.25375</v>
      </c>
    </row>
    <row r="213" customFormat="false" ht="15.75" hidden="false" customHeight="true" outlineLevel="0" collapsed="false">
      <c r="A213" s="57" t="s">
        <v>356</v>
      </c>
      <c r="B213" s="9" t="n">
        <v>0.41</v>
      </c>
      <c r="C213" s="9" t="n">
        <v>0.09</v>
      </c>
      <c r="D213" s="9" t="n">
        <v>0.1</v>
      </c>
      <c r="E213" s="9"/>
      <c r="F213" s="9"/>
      <c r="G213" s="9"/>
      <c r="H213" s="9" t="n">
        <v>1.11</v>
      </c>
      <c r="I213" s="9"/>
      <c r="J213" s="9"/>
      <c r="K213" s="9" t="n">
        <v>-0.18</v>
      </c>
      <c r="L213" s="9" t="n">
        <v>-0.67</v>
      </c>
      <c r="M213" s="9" t="n">
        <v>0.68</v>
      </c>
      <c r="N213" s="9" t="n">
        <v>-0.01</v>
      </c>
      <c r="O213" s="9" t="n">
        <v>0.42</v>
      </c>
      <c r="P213" s="9" t="n">
        <v>0</v>
      </c>
      <c r="Q213" s="58" t="n">
        <f aca="false">TRIMMEAN(B213:P213,2/COUNT(B213:P213))</f>
        <v>0.18875</v>
      </c>
    </row>
    <row r="214" customFormat="false" ht="15.75" hidden="false" customHeight="true" outlineLevel="0" collapsed="false">
      <c r="A214" s="59" t="s">
        <v>357</v>
      </c>
      <c r="B214" s="9"/>
      <c r="C214" s="9" t="n">
        <v>0.25</v>
      </c>
      <c r="D214" s="9"/>
      <c r="E214" s="9" t="n">
        <v>2.29</v>
      </c>
      <c r="F214" s="9" t="n">
        <v>-0.17</v>
      </c>
      <c r="G214" s="9"/>
      <c r="H214" s="9" t="n">
        <v>0.24</v>
      </c>
      <c r="I214" s="9"/>
      <c r="J214" s="9"/>
      <c r="K214" s="9" t="n">
        <v>-1.16</v>
      </c>
      <c r="L214" s="9"/>
      <c r="M214" s="9" t="n">
        <v>1.67</v>
      </c>
      <c r="N214" s="9" t="n">
        <v>0.41</v>
      </c>
      <c r="O214" s="9" t="n">
        <v>0.6</v>
      </c>
      <c r="P214" s="9" t="n">
        <v>-0.4</v>
      </c>
      <c r="Q214" s="58" t="n">
        <f aca="false">TRIMMEAN(B214:P214,2/COUNT(B214:P214))</f>
        <v>0.371428571428571</v>
      </c>
    </row>
    <row r="215" customFormat="false" ht="15.75" hidden="false" customHeight="true" outlineLevel="0" collapsed="false">
      <c r="A215" s="57" t="s">
        <v>358</v>
      </c>
      <c r="B215" s="9" t="n">
        <v>-2.34</v>
      </c>
      <c r="C215" s="9" t="n">
        <v>2.3</v>
      </c>
      <c r="D215" s="9"/>
      <c r="E215" s="9" t="n">
        <v>0.06</v>
      </c>
      <c r="F215" s="9" t="n">
        <v>0.45</v>
      </c>
      <c r="G215" s="9" t="n">
        <v>-1.09</v>
      </c>
      <c r="H215" s="9"/>
      <c r="I215" s="9"/>
      <c r="J215" s="9" t="n">
        <v>-0.97</v>
      </c>
      <c r="K215" s="9" t="n">
        <v>-1.23</v>
      </c>
      <c r="L215" s="9" t="n">
        <v>1.66</v>
      </c>
      <c r="M215" s="9"/>
      <c r="N215" s="9"/>
      <c r="O215" s="9"/>
      <c r="P215" s="9"/>
      <c r="Q215" s="58" t="n">
        <f aca="false">TRIMMEAN(B215:P215,2/COUNT(B215:P215))</f>
        <v>-0.186666666666667</v>
      </c>
    </row>
    <row r="216" customFormat="false" ht="15.75" hidden="false" customHeight="true" outlineLevel="0" collapsed="false">
      <c r="A216" s="57" t="s">
        <v>359</v>
      </c>
      <c r="B216" s="9" t="n">
        <v>1</v>
      </c>
      <c r="C216" s="9" t="n">
        <v>0.22</v>
      </c>
      <c r="D216" s="9" t="n">
        <v>1.61</v>
      </c>
      <c r="E216" s="9"/>
      <c r="F216" s="9" t="n">
        <v>1.06</v>
      </c>
      <c r="G216" s="9" t="n">
        <v>0.27</v>
      </c>
      <c r="H216" s="9"/>
      <c r="I216" s="9" t="n">
        <v>-0.48</v>
      </c>
      <c r="J216" s="9" t="n">
        <v>-0.38</v>
      </c>
      <c r="K216" s="9"/>
      <c r="L216" s="9" t="n">
        <v>-0.37</v>
      </c>
      <c r="M216" s="9" t="n">
        <v>-0.24</v>
      </c>
      <c r="N216" s="9"/>
      <c r="O216" s="9"/>
      <c r="P216" s="9"/>
      <c r="Q216" s="58" t="n">
        <f aca="false">TRIMMEAN(B216:P216,2/COUNT(B216:P216))</f>
        <v>0.222857142857143</v>
      </c>
    </row>
    <row r="217" customFormat="false" ht="15.75" hidden="false" customHeight="true" outlineLevel="0" collapsed="false">
      <c r="A217" s="57" t="s">
        <v>360</v>
      </c>
      <c r="B217" s="9" t="n">
        <v>0.69</v>
      </c>
      <c r="C217" s="9" t="n">
        <v>0.45</v>
      </c>
      <c r="D217" s="9" t="n">
        <v>0.43</v>
      </c>
      <c r="E217" s="9"/>
      <c r="F217" s="9" t="n">
        <v>0.79</v>
      </c>
      <c r="G217" s="9"/>
      <c r="H217" s="9" t="n">
        <v>0.42</v>
      </c>
      <c r="I217" s="9" t="n">
        <v>0.16</v>
      </c>
      <c r="J217" s="9"/>
      <c r="K217" s="9" t="n">
        <v>1.12</v>
      </c>
      <c r="L217" s="9" t="n">
        <v>0.2</v>
      </c>
      <c r="M217" s="9"/>
      <c r="N217" s="9" t="n">
        <v>-0.42</v>
      </c>
      <c r="O217" s="9" t="n">
        <v>0.59</v>
      </c>
      <c r="P217" s="9" t="n">
        <v>0.2</v>
      </c>
      <c r="Q217" s="58" t="n">
        <f aca="false">TRIMMEAN(B217:P217,2/COUNT(B217:P217))</f>
        <v>0.436666666666667</v>
      </c>
    </row>
    <row r="218" customFormat="false" ht="15.75" hidden="false" customHeight="true" outlineLevel="0" collapsed="false">
      <c r="A218" s="57" t="s">
        <v>361</v>
      </c>
      <c r="B218" s="9"/>
      <c r="C218" s="9" t="n">
        <v>-0.45</v>
      </c>
      <c r="D218" s="9" t="n">
        <v>0.52</v>
      </c>
      <c r="E218" s="9"/>
      <c r="F218" s="9" t="n">
        <v>0.78</v>
      </c>
      <c r="G218" s="9" t="n">
        <v>-0.39</v>
      </c>
      <c r="H218" s="9"/>
      <c r="I218" s="9" t="n">
        <v>-0.1</v>
      </c>
      <c r="J218" s="9"/>
      <c r="K218" s="9"/>
      <c r="L218" s="9" t="n">
        <v>0.24</v>
      </c>
      <c r="M218" s="9" t="n">
        <v>-0.78</v>
      </c>
      <c r="N218" s="9"/>
      <c r="O218" s="9"/>
      <c r="P218" s="9"/>
      <c r="Q218" s="58" t="n">
        <f aca="false">TRIMMEAN(B218:P218,2/COUNT(B218:P218))</f>
        <v>-0.036</v>
      </c>
    </row>
    <row r="219" customFormat="false" ht="15.75" hidden="false" customHeight="true" outlineLevel="0" collapsed="false">
      <c r="A219" s="57" t="s">
        <v>362</v>
      </c>
      <c r="B219" s="9"/>
      <c r="C219" s="9" t="n">
        <v>0.79</v>
      </c>
      <c r="D219" s="9" t="n">
        <v>1.74</v>
      </c>
      <c r="E219" s="9"/>
      <c r="F219" s="9"/>
      <c r="G219" s="9" t="n">
        <v>-0.2</v>
      </c>
      <c r="H219" s="9" t="n">
        <v>-0.96</v>
      </c>
      <c r="I219" s="9" t="n">
        <v>0.55</v>
      </c>
      <c r="J219" s="9" t="n">
        <v>0.03</v>
      </c>
      <c r="K219" s="9"/>
      <c r="L219" s="9" t="n">
        <v>-2.03</v>
      </c>
      <c r="M219" s="9" t="n">
        <v>-0.17</v>
      </c>
      <c r="N219" s="9"/>
      <c r="O219" s="9"/>
      <c r="P219" s="9" t="n">
        <v>0.52</v>
      </c>
      <c r="Q219" s="58" t="n">
        <f aca="false">TRIMMEAN(B219:P219,2/COUNT(B219:P219))</f>
        <v>0.08</v>
      </c>
    </row>
    <row r="220" customFormat="false" ht="15.75" hidden="false" customHeight="true" outlineLevel="0" collapsed="false">
      <c r="A220" s="59" t="s">
        <v>363</v>
      </c>
      <c r="B220" s="9"/>
      <c r="C220" s="9" t="n">
        <v>-0.97</v>
      </c>
      <c r="D220" s="9"/>
      <c r="E220" s="9" t="n">
        <v>-0.67</v>
      </c>
      <c r="F220" s="9" t="n">
        <v>0.64</v>
      </c>
      <c r="G220" s="9"/>
      <c r="H220" s="9" t="n">
        <v>-0.54</v>
      </c>
      <c r="I220" s="9"/>
      <c r="J220" s="9"/>
      <c r="K220" s="9" t="n">
        <v>-0.71</v>
      </c>
      <c r="L220" s="9" t="n">
        <v>0.62</v>
      </c>
      <c r="M220" s="9" t="n">
        <v>0.35</v>
      </c>
      <c r="N220" s="9" t="n">
        <v>-0.9</v>
      </c>
      <c r="O220" s="9" t="n">
        <v>-1.2</v>
      </c>
      <c r="P220" s="9" t="n">
        <v>0.19</v>
      </c>
      <c r="Q220" s="58" t="n">
        <f aca="false">TRIMMEAN(B220:P220,2/COUNT(B220:P220))</f>
        <v>-0.32875</v>
      </c>
    </row>
    <row r="221" customFormat="false" ht="15.75" hidden="false" customHeight="true" outlineLevel="0" collapsed="false">
      <c r="A221" s="57" t="s">
        <v>364</v>
      </c>
      <c r="B221" s="9" t="n">
        <v>-1.65</v>
      </c>
      <c r="C221" s="9" t="n">
        <v>1.4</v>
      </c>
      <c r="D221" s="9"/>
      <c r="E221" s="9" t="n">
        <v>-0.78</v>
      </c>
      <c r="F221" s="9" t="n">
        <v>-1.31</v>
      </c>
      <c r="G221" s="9" t="n">
        <v>0.45</v>
      </c>
      <c r="H221" s="9"/>
      <c r="I221" s="9"/>
      <c r="J221" s="9" t="n">
        <v>0.19</v>
      </c>
      <c r="K221" s="9" t="n">
        <v>-1.45</v>
      </c>
      <c r="L221" s="9" t="n">
        <v>-2.04</v>
      </c>
      <c r="M221" s="9" t="n">
        <v>-1.35</v>
      </c>
      <c r="N221" s="9"/>
      <c r="O221" s="9"/>
      <c r="P221" s="9"/>
      <c r="Q221" s="58" t="n">
        <f aca="false">TRIMMEAN(B221:P221,2/COUNT(B221:P221))</f>
        <v>-0.842857142857143</v>
      </c>
    </row>
    <row r="222" customFormat="false" ht="15.75" hidden="false" customHeight="true" outlineLevel="0" collapsed="false">
      <c r="A222" s="59" t="s">
        <v>365</v>
      </c>
      <c r="B222" s="9" t="s">
        <v>80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 t="n">
        <v>0.94</v>
      </c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0.17</v>
      </c>
      <c r="E223" s="9"/>
      <c r="F223" s="9"/>
      <c r="G223" s="9"/>
      <c r="H223" s="9"/>
      <c r="I223" s="9" t="n">
        <v>-0.81</v>
      </c>
      <c r="J223" s="9" t="n">
        <v>-0.14</v>
      </c>
      <c r="K223" s="9" t="n">
        <v>-1.62</v>
      </c>
      <c r="L223" s="9" t="n">
        <v>1.13</v>
      </c>
      <c r="M223" s="9" t="n">
        <v>-0.5</v>
      </c>
      <c r="N223" s="9"/>
      <c r="O223" s="9"/>
      <c r="P223" s="9"/>
      <c r="Q223" s="58" t="n">
        <f aca="false">TRIMMEAN(B223:P223,2/COUNT(B223:P223))</f>
        <v>-0.32</v>
      </c>
    </row>
    <row r="224" customFormat="false" ht="15.75" hidden="false" customHeight="true" outlineLevel="0" collapsed="false">
      <c r="A224" s="57" t="s">
        <v>367</v>
      </c>
      <c r="B224" s="9" t="n">
        <v>-0.09</v>
      </c>
      <c r="C224" s="9" t="n">
        <v>1.42</v>
      </c>
      <c r="D224" s="9" t="n">
        <v>-0.63</v>
      </c>
      <c r="E224" s="9"/>
      <c r="F224" s="9"/>
      <c r="G224" s="9" t="n">
        <v>0.39</v>
      </c>
      <c r="H224" s="9" t="n">
        <v>-0.7</v>
      </c>
      <c r="I224" s="9" t="n">
        <v>-0.41</v>
      </c>
      <c r="J224" s="9" t="n">
        <v>1.78</v>
      </c>
      <c r="K224" s="9"/>
      <c r="L224" s="9" t="n">
        <v>-0.98</v>
      </c>
      <c r="M224" s="9" t="n">
        <v>0.91</v>
      </c>
      <c r="N224" s="9"/>
      <c r="O224" s="9"/>
      <c r="P224" s="9"/>
      <c r="Q224" s="58" t="n">
        <f aca="false">TRIMMEAN(B224:P224,2/COUNT(B224:P224))</f>
        <v>0.127142857142857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0.28</v>
      </c>
      <c r="D226" s="9" t="n">
        <v>-2.23</v>
      </c>
      <c r="E226" s="9" t="n">
        <v>0.11</v>
      </c>
      <c r="F226" s="9" t="n">
        <v>1.08</v>
      </c>
      <c r="G226" s="9"/>
      <c r="H226" s="9" t="n">
        <v>1.71</v>
      </c>
      <c r="I226" s="9"/>
      <c r="J226" s="9"/>
      <c r="K226" s="9" t="n">
        <v>0.83</v>
      </c>
      <c r="L226" s="9" t="n">
        <v>0.58</v>
      </c>
      <c r="M226" s="9" t="n">
        <v>-0.02</v>
      </c>
      <c r="N226" s="9" t="n">
        <v>-0.59</v>
      </c>
      <c r="O226" s="9" t="n">
        <v>2.16</v>
      </c>
      <c r="P226" s="9" t="n">
        <v>-1.71</v>
      </c>
      <c r="Q226" s="58" t="n">
        <f aca="false">TRIMMEAN(B226:P226,2/COUNT(B226:P226))</f>
        <v>0.252222222222222</v>
      </c>
    </row>
    <row r="227" customFormat="false" ht="15.75" hidden="false" customHeight="true" outlineLevel="0" collapsed="false">
      <c r="A227" s="59" t="s">
        <v>370</v>
      </c>
      <c r="B227" s="9" t="n">
        <v>0.84</v>
      </c>
      <c r="C227" s="9" t="n">
        <v>1.83</v>
      </c>
      <c r="D227" s="9" t="n">
        <v>-0.67</v>
      </c>
      <c r="E227" s="9" t="n">
        <v>-0.68</v>
      </c>
      <c r="F227" s="9" t="n">
        <v>1.33</v>
      </c>
      <c r="G227" s="9" t="n">
        <v>0.32</v>
      </c>
      <c r="H227" s="9"/>
      <c r="I227" s="9" t="n">
        <v>-0.26</v>
      </c>
      <c r="J227" s="9"/>
      <c r="K227" s="9" t="n">
        <v>-0.25</v>
      </c>
      <c r="L227" s="9"/>
      <c r="M227" s="9"/>
      <c r="N227" s="9" t="n">
        <v>-0.52</v>
      </c>
      <c r="O227" s="9" t="n">
        <v>-4.6</v>
      </c>
      <c r="P227" s="9" t="n">
        <v>1.59</v>
      </c>
      <c r="Q227" s="58" t="n">
        <f aca="false">TRIMMEAN(B227:P227,2/COUNT(B227:P227))</f>
        <v>0.188888888888889</v>
      </c>
    </row>
    <row r="228" customFormat="false" ht="15.75" hidden="false" customHeight="true" outlineLevel="0" collapsed="false">
      <c r="A228" s="57" t="s">
        <v>371</v>
      </c>
      <c r="B228" s="9" t="n">
        <v>1.8</v>
      </c>
      <c r="C228" s="9" t="n">
        <v>0.54</v>
      </c>
      <c r="D228" s="9"/>
      <c r="E228" s="9" t="n">
        <v>-2.72</v>
      </c>
      <c r="F228" s="9" t="n">
        <v>-0.76</v>
      </c>
      <c r="G228" s="9" t="n">
        <v>0.7</v>
      </c>
      <c r="H228" s="9"/>
      <c r="I228" s="9"/>
      <c r="J228" s="9" t="n">
        <v>1.4</v>
      </c>
      <c r="K228" s="9" t="n">
        <v>-1.87</v>
      </c>
      <c r="L228" s="9" t="n">
        <v>-1.99</v>
      </c>
      <c r="M228" s="9"/>
      <c r="N228" s="9"/>
      <c r="O228" s="9"/>
      <c r="P228" s="9"/>
      <c r="Q228" s="58" t="n">
        <f aca="false">TRIMMEAN(B228:P228,2/COUNT(B228:P228))</f>
        <v>-0.33</v>
      </c>
    </row>
    <row r="229" customFormat="false" ht="15.75" hidden="false" customHeight="true" outlineLevel="0" collapsed="false">
      <c r="A229" s="59" t="s">
        <v>372</v>
      </c>
      <c r="B229" s="9" t="n">
        <v>-0.13</v>
      </c>
      <c r="C229" s="9" t="n">
        <v>0.1</v>
      </c>
      <c r="D229" s="9" t="n">
        <v>0.78</v>
      </c>
      <c r="E229" s="9"/>
      <c r="F229" s="9"/>
      <c r="G229" s="9" t="n">
        <v>-0.88</v>
      </c>
      <c r="H229" s="9" t="n">
        <v>-1.09</v>
      </c>
      <c r="I229" s="9" t="n">
        <v>0.55</v>
      </c>
      <c r="J229" s="9" t="n">
        <v>0.81</v>
      </c>
      <c r="K229" s="9"/>
      <c r="L229" s="9"/>
      <c r="M229" s="9" t="n">
        <v>0.88</v>
      </c>
      <c r="N229" s="9"/>
      <c r="O229" s="9"/>
      <c r="P229" s="9"/>
      <c r="Q229" s="58" t="n">
        <f aca="false">TRIMMEAN(B229:P229,2/COUNT(B229:P229))</f>
        <v>0.205</v>
      </c>
    </row>
    <row r="230" customFormat="false" ht="15.75" hidden="false" customHeight="true" outlineLevel="0" collapsed="false">
      <c r="A230" s="59" t="s">
        <v>373</v>
      </c>
      <c r="B230" s="9"/>
      <c r="C230" s="9" t="n">
        <v>0.76</v>
      </c>
      <c r="D230" s="9"/>
      <c r="E230" s="9"/>
      <c r="F230" s="9"/>
      <c r="G230" s="9"/>
      <c r="H230" s="9"/>
      <c r="I230" s="9"/>
      <c r="J230" s="9"/>
      <c r="K230" s="9"/>
      <c r="L230" s="9" t="n">
        <v>0.16</v>
      </c>
      <c r="M230" s="9" t="n">
        <v>0.19</v>
      </c>
      <c r="N230" s="9"/>
      <c r="O230" s="9"/>
      <c r="P230" s="9"/>
      <c r="Q230" s="58" t="n">
        <f aca="false">TRIMMEAN(B230:P230,2/COUNT(B230:P230))</f>
        <v>0.19</v>
      </c>
    </row>
    <row r="231" customFormat="false" ht="15.75" hidden="false" customHeight="true" outlineLevel="0" collapsed="false">
      <c r="A231" s="57" t="s">
        <v>374</v>
      </c>
      <c r="B231" s="9"/>
      <c r="C231" s="9" t="n">
        <v>3.12</v>
      </c>
      <c r="D231" s="9"/>
      <c r="E231" s="9" t="n">
        <v>0.77</v>
      </c>
      <c r="F231" s="9" t="n">
        <v>-0.29</v>
      </c>
      <c r="G231" s="9"/>
      <c r="H231" s="9" t="n">
        <v>-0.85</v>
      </c>
      <c r="I231" s="9" t="n">
        <v>-0.06</v>
      </c>
      <c r="J231" s="9"/>
      <c r="K231" s="9" t="n">
        <v>-1.03</v>
      </c>
      <c r="L231" s="9" t="n">
        <v>0.26</v>
      </c>
      <c r="M231" s="9" t="n">
        <v>-1.35</v>
      </c>
      <c r="N231" s="9" t="n">
        <v>0</v>
      </c>
      <c r="O231" s="9" t="n">
        <v>0.93</v>
      </c>
      <c r="P231" s="9" t="n">
        <v>0.22</v>
      </c>
      <c r="Q231" s="58" t="n">
        <f aca="false">TRIMMEAN(B231:P231,2/COUNT(B231:P231))</f>
        <v>-0.00555555555555555</v>
      </c>
    </row>
    <row r="232" customFormat="false" ht="15.75" hidden="false" customHeight="true" outlineLevel="0" collapsed="false">
      <c r="A232" s="57" t="s">
        <v>375</v>
      </c>
      <c r="B232" s="9" t="n">
        <v>-0.16</v>
      </c>
      <c r="C232" s="9" t="n">
        <v>0.24</v>
      </c>
      <c r="D232" s="9"/>
      <c r="E232" s="9"/>
      <c r="F232" s="9" t="n">
        <v>-0.87</v>
      </c>
      <c r="G232" s="9" t="n">
        <v>-0.36</v>
      </c>
      <c r="H232" s="9"/>
      <c r="I232" s="9"/>
      <c r="J232" s="9" t="n">
        <v>-0.19</v>
      </c>
      <c r="K232" s="9"/>
      <c r="L232" s="9" t="n">
        <v>-0.96</v>
      </c>
      <c r="M232" s="9" t="n">
        <v>0.69</v>
      </c>
      <c r="N232" s="9"/>
      <c r="O232" s="9"/>
      <c r="P232" s="9"/>
      <c r="Q232" s="58" t="n">
        <f aca="false">TRIMMEAN(B232:P232,2/COUNT(B232:P232))</f>
        <v>-0.268</v>
      </c>
    </row>
    <row r="233" customFormat="false" ht="15.75" hidden="false" customHeight="true" outlineLevel="0" collapsed="false">
      <c r="A233" s="59" t="s">
        <v>376</v>
      </c>
      <c r="B233" s="9"/>
      <c r="C233" s="9" t="n">
        <v>-0.59</v>
      </c>
      <c r="D233" s="9"/>
      <c r="E233" s="9" t="n">
        <v>-1.45</v>
      </c>
      <c r="F233" s="9" t="n">
        <v>-1.27</v>
      </c>
      <c r="G233" s="9"/>
      <c r="H233" s="9" t="n">
        <v>-2.13</v>
      </c>
      <c r="I233" s="9" t="n">
        <v>-1.23</v>
      </c>
      <c r="J233" s="9"/>
      <c r="K233" s="9" t="n">
        <v>0.61</v>
      </c>
      <c r="L233" s="9" t="n">
        <v>-5.32</v>
      </c>
      <c r="M233" s="9" t="n">
        <v>2.43</v>
      </c>
      <c r="N233" s="9" t="n">
        <v>-0.34</v>
      </c>
      <c r="O233" s="9" t="n">
        <v>0.75</v>
      </c>
      <c r="P233" s="9" t="n">
        <v>-0.23</v>
      </c>
      <c r="Q233" s="58" t="n">
        <f aca="false">TRIMMEAN(B233:P233,2/COUNT(B233:P233))</f>
        <v>-0.653333333333333</v>
      </c>
    </row>
    <row r="234" customFormat="false" ht="15.75" hidden="false" customHeight="true" outlineLevel="0" collapsed="false">
      <c r="A234" s="59" t="s">
        <v>377</v>
      </c>
      <c r="B234" s="9"/>
      <c r="C234" s="9" t="n">
        <v>0.69</v>
      </c>
      <c r="D234" s="9"/>
      <c r="E234" s="9" t="n">
        <v>0</v>
      </c>
      <c r="F234" s="9" t="n">
        <v>0.64</v>
      </c>
      <c r="G234" s="9"/>
      <c r="H234" s="9" t="n">
        <v>0.31</v>
      </c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0.475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-1.06</v>
      </c>
      <c r="E235" s="9" t="n">
        <v>-0.07</v>
      </c>
      <c r="F235" s="9" t="n">
        <v>0.4</v>
      </c>
      <c r="G235" s="9"/>
      <c r="H235" s="9"/>
      <c r="I235" s="9" t="n">
        <v>-0.61</v>
      </c>
      <c r="J235" s="9"/>
      <c r="K235" s="9"/>
      <c r="L235" s="9" t="n">
        <v>-0.88</v>
      </c>
      <c r="M235" s="9" t="n">
        <v>1.38</v>
      </c>
      <c r="N235" s="9"/>
      <c r="O235" s="9" t="n">
        <v>0.88</v>
      </c>
      <c r="P235" s="9" t="n">
        <v>0.03</v>
      </c>
      <c r="Q235" s="58" t="n">
        <f aca="false">TRIMMEAN(B235:P235,2/COUNT(B235:P235))</f>
        <v>-0.0416666666666667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 t="n">
        <v>-0.85</v>
      </c>
      <c r="D237" s="9"/>
      <c r="E237" s="9" t="n">
        <v>-0.47</v>
      </c>
      <c r="F237" s="9"/>
      <c r="G237" s="9"/>
      <c r="H237" s="9"/>
      <c r="I237" s="9"/>
      <c r="J237" s="9"/>
      <c r="K237" s="9" t="n">
        <v>0.52</v>
      </c>
      <c r="L237" s="9" t="n">
        <v>-0.11</v>
      </c>
      <c r="M237" s="9" t="n">
        <v>0.11</v>
      </c>
      <c r="N237" s="9" t="n">
        <v>0.99</v>
      </c>
      <c r="O237" s="9" t="n">
        <v>0.13</v>
      </c>
      <c r="P237" s="9" t="n">
        <v>-0.06</v>
      </c>
      <c r="Q237" s="58" t="n">
        <f aca="false">TRIMMEAN(B237:P237,2/COUNT(B237:P237))</f>
        <v>0.02</v>
      </c>
    </row>
    <row r="238" customFormat="false" ht="15.75" hidden="false" customHeight="true" outlineLevel="0" collapsed="false">
      <c r="A238" s="57" t="s">
        <v>381</v>
      </c>
      <c r="B238" s="9" t="n">
        <v>-1.49</v>
      </c>
      <c r="C238" s="9" t="n">
        <v>-1.07</v>
      </c>
      <c r="D238" s="9" t="n">
        <v>-1.3</v>
      </c>
      <c r="E238" s="9" t="n">
        <v>-1.34</v>
      </c>
      <c r="F238" s="9"/>
      <c r="G238" s="9" t="n">
        <v>-0.21</v>
      </c>
      <c r="H238" s="9"/>
      <c r="I238" s="9" t="n">
        <v>-0.32</v>
      </c>
      <c r="J238" s="9"/>
      <c r="K238" s="9" t="n">
        <v>0.16</v>
      </c>
      <c r="L238" s="9" t="n">
        <v>0.17</v>
      </c>
      <c r="M238" s="9" t="n">
        <v>-0.77</v>
      </c>
      <c r="N238" s="9"/>
      <c r="O238" s="9"/>
      <c r="P238" s="9"/>
      <c r="Q238" s="58" t="n">
        <f aca="false">TRIMMEAN(B238:P238,2/COUNT(B238:P238))</f>
        <v>-0.692857142857143</v>
      </c>
    </row>
    <row r="239" customFormat="false" ht="15.75" hidden="false" customHeight="true" outlineLevel="0" collapsed="false">
      <c r="A239" s="57" t="s">
        <v>382</v>
      </c>
      <c r="B239" s="9"/>
      <c r="C239" s="9" t="n">
        <v>-0.28</v>
      </c>
      <c r="D239" s="9" t="n">
        <v>1.9</v>
      </c>
      <c r="E239" s="9"/>
      <c r="F239" s="9"/>
      <c r="G239" s="9" t="n">
        <v>-1.08</v>
      </c>
      <c r="H239" s="9"/>
      <c r="I239" s="9" t="n">
        <v>0.95</v>
      </c>
      <c r="J239" s="9" t="n">
        <v>-0.56</v>
      </c>
      <c r="K239" s="9"/>
      <c r="L239" s="9" t="n">
        <v>-0.83</v>
      </c>
      <c r="M239" s="9" t="n">
        <v>-0.12</v>
      </c>
      <c r="N239" s="9"/>
      <c r="O239" s="9" t="n">
        <v>0.68</v>
      </c>
      <c r="P239" s="9"/>
      <c r="Q239" s="58" t="n">
        <f aca="false">TRIMMEAN(B239:P239,2/COUNT(B239:P239))</f>
        <v>-0.0266666666666667</v>
      </c>
    </row>
    <row r="240" customFormat="false" ht="15.75" hidden="false" customHeight="true" outlineLevel="0" collapsed="false">
      <c r="A240" s="57" t="s">
        <v>383</v>
      </c>
      <c r="B240" s="9" t="n">
        <v>0.09</v>
      </c>
      <c r="C240" s="9"/>
      <c r="D240" s="9" t="n">
        <v>-0.39</v>
      </c>
      <c r="E240" s="9" t="n">
        <v>1.25</v>
      </c>
      <c r="F240" s="9"/>
      <c r="G240" s="9" t="n">
        <v>0.26</v>
      </c>
      <c r="H240" s="9"/>
      <c r="I240" s="9" t="n">
        <v>0.48</v>
      </c>
      <c r="J240" s="9" t="n">
        <v>1.19</v>
      </c>
      <c r="K240" s="9"/>
      <c r="L240" s="9" t="n">
        <v>0.19</v>
      </c>
      <c r="M240" s="9" t="n">
        <v>-0.36</v>
      </c>
      <c r="N240" s="9" t="n">
        <v>1.47</v>
      </c>
      <c r="O240" s="9"/>
      <c r="P240" s="9"/>
      <c r="Q240" s="58" t="n">
        <f aca="false">TRIMMEAN(B240:P240,2/COUNT(B240:P240))</f>
        <v>0.442857142857143</v>
      </c>
    </row>
    <row r="241" customFormat="false" ht="15.75" hidden="false" customHeight="true" outlineLevel="0" collapsed="false">
      <c r="A241" s="59" t="s">
        <v>384</v>
      </c>
      <c r="B241" s="9"/>
      <c r="C241" s="9" t="n">
        <v>-1.77</v>
      </c>
      <c r="D241" s="9" t="n">
        <v>0.31</v>
      </c>
      <c r="E241" s="9" t="n">
        <v>-1.23</v>
      </c>
      <c r="F241" s="9" t="n">
        <v>0.66</v>
      </c>
      <c r="G241" s="9"/>
      <c r="H241" s="9" t="n">
        <v>-1.71</v>
      </c>
      <c r="I241" s="9"/>
      <c r="J241" s="9"/>
      <c r="K241" s="9" t="n">
        <v>-1.89</v>
      </c>
      <c r="L241" s="9" t="n">
        <v>0.95</v>
      </c>
      <c r="M241" s="9"/>
      <c r="N241" s="9" t="n">
        <v>0.83</v>
      </c>
      <c r="O241" s="9" t="n">
        <v>-0.08</v>
      </c>
      <c r="P241" s="9" t="n">
        <v>-0.85</v>
      </c>
      <c r="Q241" s="58" t="n">
        <f aca="false">TRIMMEAN(B241:P241,2/COUNT(B241:P241))</f>
        <v>-0.48</v>
      </c>
    </row>
    <row r="242" customFormat="false" ht="15.75" hidden="false" customHeight="true" outlineLevel="0" collapsed="false">
      <c r="A242" s="57" t="s">
        <v>385</v>
      </c>
      <c r="B242" s="9"/>
      <c r="C242" s="9" t="n">
        <v>-0.56</v>
      </c>
      <c r="D242" s="9" t="n">
        <v>1.95</v>
      </c>
      <c r="E242" s="9" t="n">
        <v>-1.94</v>
      </c>
      <c r="F242" s="9"/>
      <c r="G242" s="9"/>
      <c r="H242" s="9" t="n">
        <v>0.29</v>
      </c>
      <c r="I242" s="9" t="n">
        <v>-2.51</v>
      </c>
      <c r="J242" s="9"/>
      <c r="K242" s="9"/>
      <c r="L242" s="9" t="n">
        <v>0.84</v>
      </c>
      <c r="M242" s="9"/>
      <c r="N242" s="9" t="n">
        <v>0.3</v>
      </c>
      <c r="O242" s="9" t="n">
        <v>-0.97</v>
      </c>
      <c r="P242" s="9" t="n">
        <v>-1.24</v>
      </c>
      <c r="Q242" s="58" t="n">
        <f aca="false">TRIMMEAN(B242:P242,2/COUNT(B242:P242))</f>
        <v>-0.468571428571429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-1.01</v>
      </c>
      <c r="C244" s="9" t="n">
        <v>-0.86</v>
      </c>
      <c r="D244" s="9"/>
      <c r="E244" s="9" t="n">
        <v>-1.18</v>
      </c>
      <c r="F244" s="9" t="n">
        <v>-1.11</v>
      </c>
      <c r="G244" s="9"/>
      <c r="H244" s="9"/>
      <c r="I244" s="9"/>
      <c r="J244" s="9" t="n">
        <v>-1.63</v>
      </c>
      <c r="K244" s="9" t="n">
        <v>0.83</v>
      </c>
      <c r="L244" s="9" t="n">
        <v>-0.92</v>
      </c>
      <c r="M244" s="9" t="n">
        <v>-0.22</v>
      </c>
      <c r="N244" s="9"/>
      <c r="O244" s="9"/>
      <c r="P244" s="9"/>
      <c r="Q244" s="58" t="n">
        <f aca="false">TRIMMEAN(B244:P244,2/COUNT(B244:P244))</f>
        <v>-0.883333333333333</v>
      </c>
    </row>
    <row r="245" customFormat="false" ht="15.75" hidden="false" customHeight="true" outlineLevel="0" collapsed="false">
      <c r="A245" s="57" t="s">
        <v>388</v>
      </c>
      <c r="B245" s="9" t="n">
        <v>-0.38</v>
      </c>
      <c r="C245" s="9" t="n">
        <v>0.37</v>
      </c>
      <c r="D245" s="9" t="n">
        <v>-2.19</v>
      </c>
      <c r="E245" s="9"/>
      <c r="F245" s="9"/>
      <c r="G245" s="9" t="n">
        <v>0.97</v>
      </c>
      <c r="H245" s="9"/>
      <c r="I245" s="9" t="n">
        <v>-0.15</v>
      </c>
      <c r="J245" s="9" t="n">
        <v>-1.1</v>
      </c>
      <c r="K245" s="9"/>
      <c r="L245" s="9" t="n">
        <v>0.21</v>
      </c>
      <c r="M245" s="9" t="n">
        <v>0.91</v>
      </c>
      <c r="N245" s="9"/>
      <c r="O245" s="9"/>
      <c r="P245" s="9"/>
      <c r="Q245" s="58" t="n">
        <f aca="false">TRIMMEAN(B245:P245,2/COUNT(B245:P245))</f>
        <v>-0.0233333333333333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0.09</v>
      </c>
      <c r="D247" s="9"/>
      <c r="E247" s="9" t="n">
        <v>1.45</v>
      </c>
      <c r="F247" s="9" t="n">
        <v>-1.59</v>
      </c>
      <c r="G247" s="9"/>
      <c r="H247" s="9" t="n">
        <v>-0.28</v>
      </c>
      <c r="I247" s="9" t="n">
        <v>-1.27</v>
      </c>
      <c r="J247" s="9"/>
      <c r="K247" s="9" t="n">
        <v>0.49</v>
      </c>
      <c r="L247" s="9"/>
      <c r="M247" s="9"/>
      <c r="N247" s="9"/>
      <c r="O247" s="9"/>
      <c r="P247" s="9"/>
      <c r="Q247" s="58" t="n">
        <f aca="false">TRIMMEAN(B247:P247,2/COUNT(B247:P247))</f>
        <v>-0.2425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 t="n">
        <v>-0.04</v>
      </c>
      <c r="F248" s="9" t="n">
        <v>-1.9</v>
      </c>
      <c r="G248" s="9" t="n">
        <v>0.38</v>
      </c>
      <c r="H248" s="9"/>
      <c r="I248" s="9"/>
      <c r="J248" s="9" t="n">
        <v>-1.06</v>
      </c>
      <c r="K248" s="9" t="n">
        <v>-0.48</v>
      </c>
      <c r="L248" s="9" t="n">
        <v>0.07</v>
      </c>
      <c r="M248" s="9"/>
      <c r="N248" s="9"/>
      <c r="O248" s="9"/>
      <c r="P248" s="9"/>
      <c r="Q248" s="58" t="n">
        <f aca="false">TRIMMEAN(B248:P248,2/COUNT(B248:P248))</f>
        <v>-0.3775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-0.1</v>
      </c>
      <c r="D250" s="9"/>
      <c r="E250" s="9" t="n">
        <v>1.53</v>
      </c>
      <c r="F250" s="9"/>
      <c r="G250" s="9"/>
      <c r="H250" s="9" t="n">
        <v>0.68</v>
      </c>
      <c r="I250" s="9" t="n">
        <v>0.73</v>
      </c>
      <c r="J250" s="9"/>
      <c r="K250" s="9" t="n">
        <v>-1.64</v>
      </c>
      <c r="L250" s="9" t="n">
        <v>1.26</v>
      </c>
      <c r="M250" s="9" t="n">
        <v>1.15</v>
      </c>
      <c r="N250" s="9" t="n">
        <v>-0.41</v>
      </c>
      <c r="O250" s="9" t="n">
        <v>-0.02</v>
      </c>
      <c r="P250" s="9" t="n">
        <v>-1.03</v>
      </c>
      <c r="Q250" s="58" t="n">
        <f aca="false">TRIMMEAN(B250:P250,2/COUNT(B250:P250))</f>
        <v>0.2825</v>
      </c>
    </row>
    <row r="251" customFormat="false" ht="15.75" hidden="false" customHeight="true" outlineLevel="0" collapsed="false">
      <c r="A251" s="59" t="s">
        <v>394</v>
      </c>
      <c r="B251" s="9"/>
      <c r="C251" s="9" t="n">
        <v>0.3</v>
      </c>
      <c r="D251" s="9"/>
      <c r="E251" s="9"/>
      <c r="F251" s="9" t="n">
        <v>-1.4</v>
      </c>
      <c r="G251" s="9"/>
      <c r="H251" s="9"/>
      <c r="I251" s="9"/>
      <c r="J251" s="9"/>
      <c r="K251" s="9" t="n">
        <v>1.88</v>
      </c>
      <c r="L251" s="9"/>
      <c r="M251" s="9"/>
      <c r="N251" s="9"/>
      <c r="O251" s="9" t="n">
        <v>0.45</v>
      </c>
      <c r="P251" s="9" t="n">
        <v>-0.19</v>
      </c>
      <c r="Q251" s="58" t="n">
        <f aca="false">TRIMMEAN(B251:P251,2/COUNT(B251:P251))</f>
        <v>0.186666666666667</v>
      </c>
    </row>
    <row r="252" customFormat="false" ht="15.75" hidden="false" customHeight="true" outlineLevel="0" collapsed="false">
      <c r="A252" s="59" t="s">
        <v>395</v>
      </c>
      <c r="B252" s="9"/>
      <c r="C252" s="9" t="n">
        <v>1.04</v>
      </c>
      <c r="D252" s="9"/>
      <c r="E252" s="9" t="n">
        <v>-1.56</v>
      </c>
      <c r="F252" s="9" t="n">
        <v>-0.15</v>
      </c>
      <c r="G252" s="9"/>
      <c r="H252" s="9" t="n">
        <v>0.85</v>
      </c>
      <c r="I252" s="9"/>
      <c r="J252" s="9"/>
      <c r="K252" s="9" t="n">
        <v>-0.63</v>
      </c>
      <c r="L252" s="9" t="n">
        <v>-2.51</v>
      </c>
      <c r="M252" s="9" t="n">
        <v>0.96</v>
      </c>
      <c r="N252" s="9" t="n">
        <v>-1.95</v>
      </c>
      <c r="O252" s="9"/>
      <c r="P252" s="9" t="n">
        <v>0.09</v>
      </c>
      <c r="Q252" s="58" t="n">
        <f aca="false">TRIMMEAN(B252:P252,2/COUNT(B252:P252))</f>
        <v>-0.341428571428571</v>
      </c>
    </row>
    <row r="253" customFormat="false" ht="15.75" hidden="false" customHeight="true" outlineLevel="0" collapsed="false">
      <c r="A253" s="57" t="s">
        <v>396</v>
      </c>
      <c r="B253" s="9" t="n">
        <v>0.25</v>
      </c>
      <c r="C253" s="9" t="n">
        <v>0.64</v>
      </c>
      <c r="D253" s="9" t="n">
        <v>1.88</v>
      </c>
      <c r="E253" s="9"/>
      <c r="F253" s="9" t="n">
        <v>0.79</v>
      </c>
      <c r="G253" s="9" t="n">
        <v>-0.18</v>
      </c>
      <c r="H253" s="9"/>
      <c r="I253" s="9" t="n">
        <v>-1.63</v>
      </c>
      <c r="J253" s="9" t="n">
        <v>0.78</v>
      </c>
      <c r="K253" s="9"/>
      <c r="L253" s="9" t="n">
        <v>0.18</v>
      </c>
      <c r="M253" s="9" t="n">
        <v>0.86</v>
      </c>
      <c r="N253" s="9"/>
      <c r="O253" s="9"/>
      <c r="P253" s="9" t="n">
        <v>0.05</v>
      </c>
      <c r="Q253" s="58" t="n">
        <f aca="false">TRIMMEAN(B253:P253,2/COUNT(B253:P253))</f>
        <v>0.42125</v>
      </c>
    </row>
    <row r="254" customFormat="false" ht="15.75" hidden="false" customHeight="true" outlineLevel="0" collapsed="false">
      <c r="A254" s="59" t="s">
        <v>397</v>
      </c>
      <c r="B254" s="9"/>
      <c r="C254" s="9" t="n">
        <v>1.01</v>
      </c>
      <c r="D254" s="9" t="n">
        <v>1.14</v>
      </c>
      <c r="E254" s="9"/>
      <c r="F254" s="9" t="n">
        <v>1.16</v>
      </c>
      <c r="G254" s="9" t="n">
        <v>1.1</v>
      </c>
      <c r="H254" s="9"/>
      <c r="I254" s="9" t="n">
        <v>-0.24</v>
      </c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1.08333333333333</v>
      </c>
    </row>
    <row r="255" customFormat="false" ht="15.75" hidden="false" customHeight="true" outlineLevel="0" collapsed="false">
      <c r="A255" s="57" t="s">
        <v>398</v>
      </c>
      <c r="B255" s="9" t="n">
        <v>-0.9</v>
      </c>
      <c r="C255" s="9"/>
      <c r="D255" s="9" t="n">
        <v>-3.57</v>
      </c>
      <c r="E255" s="9" t="n">
        <v>-0.38</v>
      </c>
      <c r="F255" s="9" t="n">
        <v>-0.2</v>
      </c>
      <c r="G255" s="9"/>
      <c r="H255" s="9" t="n">
        <v>-0.91</v>
      </c>
      <c r="I255" s="9"/>
      <c r="J255" s="9"/>
      <c r="K255" s="9"/>
      <c r="L255" s="9" t="n">
        <v>0.13</v>
      </c>
      <c r="M255" s="9" t="n">
        <v>1.26</v>
      </c>
      <c r="N255" s="9" t="n">
        <v>-0.62</v>
      </c>
      <c r="O255" s="9" t="n">
        <v>1.41</v>
      </c>
      <c r="P255" s="9" t="n">
        <v>1.07</v>
      </c>
      <c r="Q255" s="58" t="n">
        <f aca="false">TRIMMEAN(B255:P255,2/COUNT(B255:P255))</f>
        <v>-0.06875</v>
      </c>
    </row>
    <row r="256" customFormat="false" ht="15.75" hidden="false" customHeight="true" outlineLevel="0" collapsed="false">
      <c r="A256" s="57" t="s">
        <v>399</v>
      </c>
      <c r="B256" s="9" t="n">
        <v>-0.57</v>
      </c>
      <c r="C256" s="9"/>
      <c r="D256" s="9" t="n">
        <v>1.38</v>
      </c>
      <c r="E256" s="9"/>
      <c r="F256" s="9" t="n">
        <v>-0.62</v>
      </c>
      <c r="G256" s="9"/>
      <c r="H256" s="9" t="n">
        <v>-1.14</v>
      </c>
      <c r="I256" s="9"/>
      <c r="J256" s="9"/>
      <c r="K256" s="9" t="n">
        <v>-1.61</v>
      </c>
      <c r="L256" s="9" t="n">
        <v>-2.14</v>
      </c>
      <c r="M256" s="9"/>
      <c r="N256" s="9" t="n">
        <v>0.12</v>
      </c>
      <c r="O256" s="9" t="n">
        <v>-3.3</v>
      </c>
      <c r="P256" s="9" t="n">
        <v>-1.01</v>
      </c>
      <c r="Q256" s="58" t="n">
        <f aca="false">TRIMMEAN(B256:P256,2/COUNT(B256:P256))</f>
        <v>-0.995714285714286</v>
      </c>
    </row>
    <row r="257" customFormat="false" ht="15.75" hidden="false" customHeight="true" outlineLevel="0" collapsed="false">
      <c r="A257" s="57" t="s">
        <v>400</v>
      </c>
      <c r="B257" s="9"/>
      <c r="C257" s="9" t="n">
        <v>1.93</v>
      </c>
      <c r="D257" s="9" t="n">
        <v>0.33</v>
      </c>
      <c r="E257" s="9"/>
      <c r="F257" s="9" t="n">
        <v>-0.13</v>
      </c>
      <c r="G257" s="9" t="n">
        <v>-0.09</v>
      </c>
      <c r="H257" s="9"/>
      <c r="I257" s="9"/>
      <c r="J257" s="9" t="n">
        <v>1.35</v>
      </c>
      <c r="K257" s="9"/>
      <c r="L257" s="9" t="n">
        <v>-0.61</v>
      </c>
      <c r="M257" s="9" t="n">
        <v>-0.09</v>
      </c>
      <c r="N257" s="9" t="n">
        <v>-0.27</v>
      </c>
      <c r="O257" s="9" t="n">
        <v>0.57</v>
      </c>
      <c r="P257" s="9" t="n">
        <v>-0.24</v>
      </c>
      <c r="Q257" s="58" t="n">
        <f aca="false">TRIMMEAN(B257:P257,2/COUNT(B257:P257))</f>
        <v>0.17875</v>
      </c>
    </row>
    <row r="258" customFormat="false" ht="15.75" hidden="false" customHeight="true" outlineLevel="0" collapsed="false">
      <c r="A258" s="57" t="s">
        <v>401</v>
      </c>
      <c r="B258" s="9" t="n">
        <v>-0.3</v>
      </c>
      <c r="C258" s="9" t="n">
        <v>0.62</v>
      </c>
      <c r="D258" s="9" t="n">
        <v>-2.33</v>
      </c>
      <c r="E258" s="9"/>
      <c r="F258" s="9" t="n">
        <v>0.25</v>
      </c>
      <c r="G258" s="9" t="n">
        <v>-0.5</v>
      </c>
      <c r="H258" s="9"/>
      <c r="I258" s="9" t="n">
        <v>-0.44</v>
      </c>
      <c r="J258" s="9" t="n">
        <v>1.4</v>
      </c>
      <c r="K258" s="9"/>
      <c r="L258" s="9" t="n">
        <v>0.17</v>
      </c>
      <c r="M258" s="9" t="n">
        <v>0.07</v>
      </c>
      <c r="N258" s="9"/>
      <c r="O258" s="9" t="n">
        <v>-1.4</v>
      </c>
      <c r="P258" s="9"/>
      <c r="Q258" s="58" t="n">
        <f aca="false">TRIMMEAN(B258:P258,2/COUNT(B258:P258))</f>
        <v>-0.19125</v>
      </c>
    </row>
    <row r="259" customFormat="false" ht="15.75" hidden="false" customHeight="true" outlineLevel="0" collapsed="false">
      <c r="A259" s="59" t="s">
        <v>402</v>
      </c>
      <c r="B259" s="9" t="n">
        <v>0.46</v>
      </c>
      <c r="C259" s="9" t="n">
        <v>-0.11</v>
      </c>
      <c r="D259" s="9" t="n">
        <v>-0.8</v>
      </c>
      <c r="E259" s="9" t="n">
        <v>0.6</v>
      </c>
      <c r="F259" s="9"/>
      <c r="G259" s="9" t="n">
        <v>0.37</v>
      </c>
      <c r="H259" s="9"/>
      <c r="I259" s="9" t="n">
        <v>-1.02</v>
      </c>
      <c r="J259" s="9" t="n">
        <v>-0.77</v>
      </c>
      <c r="K259" s="9" t="n">
        <v>0.82</v>
      </c>
      <c r="L259" s="9"/>
      <c r="M259" s="9" t="n">
        <v>-1.51</v>
      </c>
      <c r="N259" s="9"/>
      <c r="O259" s="9" t="n">
        <v>0.21</v>
      </c>
      <c r="P259" s="9" t="n">
        <v>1.11</v>
      </c>
      <c r="Q259" s="58" t="n">
        <f aca="false">TRIMMEAN(B259:P259,2/COUNT(B259:P259))</f>
        <v>-0.0266666666666667</v>
      </c>
    </row>
    <row r="260" customFormat="false" ht="15.75" hidden="false" customHeight="true" outlineLevel="0" collapsed="false">
      <c r="A260" s="59" t="s">
        <v>403</v>
      </c>
      <c r="B260" s="9"/>
      <c r="C260" s="9" t="n">
        <v>-0.34</v>
      </c>
      <c r="D260" s="9"/>
      <c r="E260" s="9" t="n">
        <v>-0.65</v>
      </c>
      <c r="F260" s="9" t="n">
        <v>0.26</v>
      </c>
      <c r="G260" s="9"/>
      <c r="H260" s="9" t="n">
        <v>2.46</v>
      </c>
      <c r="I260" s="9" t="n">
        <v>-0.5</v>
      </c>
      <c r="J260" s="9"/>
      <c r="K260" s="9" t="n">
        <v>-1.67</v>
      </c>
      <c r="L260" s="9" t="n">
        <v>-3.65</v>
      </c>
      <c r="M260" s="9" t="n">
        <v>-2.22</v>
      </c>
      <c r="N260" s="9" t="n">
        <v>0.57</v>
      </c>
      <c r="O260" s="9" t="n">
        <v>0.73</v>
      </c>
      <c r="P260" s="9" t="n">
        <v>-0.47</v>
      </c>
      <c r="Q260" s="58" t="n">
        <f aca="false">TRIMMEAN(B260:P260,2/COUNT(B260:P260))</f>
        <v>-0.476666666666667</v>
      </c>
    </row>
    <row r="261" customFormat="false" ht="15.75" hidden="false" customHeight="true" outlineLevel="0" collapsed="false">
      <c r="A261" s="57" t="s">
        <v>404</v>
      </c>
      <c r="B261" s="9" t="n">
        <v>-1.14</v>
      </c>
      <c r="C261" s="9" t="n">
        <v>-0.59</v>
      </c>
      <c r="D261" s="9"/>
      <c r="E261" s="9" t="n">
        <v>1.35</v>
      </c>
      <c r="F261" s="9" t="n">
        <v>0.04</v>
      </c>
      <c r="G261" s="9" t="n">
        <v>1.02</v>
      </c>
      <c r="H261" s="9"/>
      <c r="I261" s="9"/>
      <c r="J261" s="9"/>
      <c r="K261" s="9"/>
      <c r="L261" s="9" t="n">
        <v>-2.16</v>
      </c>
      <c r="M261" s="9"/>
      <c r="N261" s="9"/>
      <c r="O261" s="9"/>
      <c r="P261" s="9"/>
      <c r="Q261" s="58" t="n">
        <f aca="false">TRIMMEAN(B261:P261,2/COUNT(B261:P261))</f>
        <v>-0.1675</v>
      </c>
    </row>
    <row r="262" customFormat="false" ht="15.75" hidden="false" customHeight="true" outlineLevel="0" collapsed="false">
      <c r="A262" s="57" t="s">
        <v>405</v>
      </c>
      <c r="B262" s="9" t="n">
        <v>0.49</v>
      </c>
      <c r="C262" s="9" t="n">
        <v>-1.23</v>
      </c>
      <c r="D262" s="9" t="n">
        <v>-0.26</v>
      </c>
      <c r="E262" s="9"/>
      <c r="F262" s="9" t="n">
        <v>-0.7</v>
      </c>
      <c r="G262" s="9" t="n">
        <v>-2.05</v>
      </c>
      <c r="H262" s="9"/>
      <c r="I262" s="9" t="n">
        <v>0.58</v>
      </c>
      <c r="J262" s="9" t="n">
        <v>-0.03</v>
      </c>
      <c r="K262" s="9"/>
      <c r="L262" s="9" t="n">
        <v>-2.9</v>
      </c>
      <c r="M262" s="9" t="n">
        <v>0.27</v>
      </c>
      <c r="N262" s="9" t="n">
        <v>-0.05</v>
      </c>
      <c r="O262" s="9" t="n">
        <v>-1.51</v>
      </c>
      <c r="P262" s="9" t="n">
        <v>-0.07</v>
      </c>
      <c r="Q262" s="58" t="n">
        <f aca="false">TRIMMEAN(B262:P262,2/COUNT(B262:P262))</f>
        <v>-0.514</v>
      </c>
    </row>
    <row r="263" customFormat="false" ht="15.75" hidden="false" customHeight="true" outlineLevel="0" collapsed="false">
      <c r="A263" s="57" t="s">
        <v>406</v>
      </c>
      <c r="B263" s="9" t="n">
        <v>0.75</v>
      </c>
      <c r="C263" s="9" t="n">
        <v>-0.07</v>
      </c>
      <c r="D263" s="9" t="n">
        <v>-1.51</v>
      </c>
      <c r="E263" s="9"/>
      <c r="F263" s="9"/>
      <c r="G263" s="9" t="n">
        <v>-0.8</v>
      </c>
      <c r="H263" s="9"/>
      <c r="I263" s="9" t="n">
        <v>2.67</v>
      </c>
      <c r="J263" s="9" t="n">
        <v>-1.26</v>
      </c>
      <c r="K263" s="9"/>
      <c r="L263" s="9" t="n">
        <v>-0.33</v>
      </c>
      <c r="M263" s="9" t="n">
        <v>0.17</v>
      </c>
      <c r="N263" s="9"/>
      <c r="O263" s="9"/>
      <c r="P263" s="9" t="n">
        <v>-1.95</v>
      </c>
      <c r="Q263" s="58" t="n">
        <f aca="false">TRIMMEAN(B263:P263,2/COUNT(B263:P263))</f>
        <v>-0.435714285714286</v>
      </c>
    </row>
    <row r="264" customFormat="false" ht="15.75" hidden="false" customHeight="true" outlineLevel="0" collapsed="false">
      <c r="A264" s="59" t="s">
        <v>407</v>
      </c>
      <c r="B264" s="9"/>
      <c r="C264" s="9" t="n">
        <v>-0.55</v>
      </c>
      <c r="D264" s="9"/>
      <c r="E264" s="9" t="n">
        <v>-0.36</v>
      </c>
      <c r="F264" s="9" t="n">
        <v>-0.86</v>
      </c>
      <c r="G264" s="9"/>
      <c r="H264" s="9"/>
      <c r="I264" s="9"/>
      <c r="J264" s="9"/>
      <c r="K264" s="9" t="n">
        <v>0.37</v>
      </c>
      <c r="L264" s="9" t="n">
        <v>0.13</v>
      </c>
      <c r="M264" s="9"/>
      <c r="N264" s="9" t="n">
        <v>-0.85</v>
      </c>
      <c r="O264" s="9" t="n">
        <v>-0.64</v>
      </c>
      <c r="P264" s="9" t="n">
        <v>1.19</v>
      </c>
      <c r="Q264" s="58" t="n">
        <f aca="false">TRIMMEAN(B264:P264,2/COUNT(B264:P264))</f>
        <v>-0.316666666666667</v>
      </c>
    </row>
    <row r="265" customFormat="false" ht="15.75" hidden="false" customHeight="true" outlineLevel="0" collapsed="false">
      <c r="A265" s="57" t="s">
        <v>408</v>
      </c>
      <c r="B265" s="9"/>
      <c r="C265" s="9" t="n">
        <v>-2.21</v>
      </c>
      <c r="D265" s="9"/>
      <c r="E265" s="9"/>
      <c r="F265" s="9"/>
      <c r="G265" s="9"/>
      <c r="H265" s="9"/>
      <c r="I265" s="9"/>
      <c r="J265" s="9" t="n">
        <v>0.17</v>
      </c>
      <c r="K265" s="9" t="n">
        <v>-0.04</v>
      </c>
      <c r="L265" s="9" t="n">
        <v>-1.27</v>
      </c>
      <c r="M265" s="9"/>
      <c r="N265" s="9"/>
      <c r="O265" s="9"/>
      <c r="P265" s="9"/>
      <c r="Q265" s="58" t="n">
        <f aca="false">TRIMMEAN(B265:P265,2/COUNT(B265:P265))</f>
        <v>-0.655</v>
      </c>
    </row>
    <row r="266" customFormat="false" ht="15.75" hidden="false" customHeight="true" outlineLevel="0" collapsed="false">
      <c r="A266" s="59" t="s">
        <v>409</v>
      </c>
      <c r="B266" s="9"/>
      <c r="C266" s="9" t="n">
        <v>0.33</v>
      </c>
      <c r="D266" s="9"/>
      <c r="E266" s="9" t="n">
        <v>0.45</v>
      </c>
      <c r="F266" s="9" t="n">
        <v>-0.36</v>
      </c>
      <c r="G266" s="9"/>
      <c r="H266" s="9" t="n">
        <v>-0.32</v>
      </c>
      <c r="I266" s="9" t="n">
        <v>0.81</v>
      </c>
      <c r="J266" s="9" t="n">
        <v>0.32</v>
      </c>
      <c r="K266" s="9" t="n">
        <v>0.07</v>
      </c>
      <c r="L266" s="9"/>
      <c r="M266" s="9" t="n">
        <v>0.49</v>
      </c>
      <c r="N266" s="9" t="n">
        <v>-1.42</v>
      </c>
      <c r="O266" s="9" t="n">
        <v>-0.17</v>
      </c>
      <c r="P266" s="9" t="n">
        <v>-0.32</v>
      </c>
      <c r="Q266" s="58" t="n">
        <f aca="false">TRIMMEAN(B266:P266,2/COUNT(B266:P266))</f>
        <v>0.0544444444444444</v>
      </c>
    </row>
    <row r="267" customFormat="false" ht="15.75" hidden="false" customHeight="true" outlineLevel="0" collapsed="false">
      <c r="A267" s="57" t="s">
        <v>410</v>
      </c>
      <c r="B267" s="9" t="n">
        <v>-1.23</v>
      </c>
      <c r="C267" s="9"/>
      <c r="D267" s="9" t="n">
        <v>0.45</v>
      </c>
      <c r="E267" s="9" t="n">
        <v>0.41</v>
      </c>
      <c r="F267" s="9"/>
      <c r="G267" s="9" t="n">
        <v>-3.65</v>
      </c>
      <c r="H267" s="9"/>
      <c r="I267" s="9"/>
      <c r="J267" s="9" t="n">
        <v>-0.14</v>
      </c>
      <c r="K267" s="9" t="n">
        <v>0.51</v>
      </c>
      <c r="L267" s="9" t="n">
        <v>1.56</v>
      </c>
      <c r="M267" s="9" t="n">
        <v>-0.84</v>
      </c>
      <c r="N267" s="9"/>
      <c r="O267" s="9"/>
      <c r="P267" s="9"/>
      <c r="Q267" s="58" t="n">
        <f aca="false">TRIMMEAN(B267:P267,2/COUNT(B267:P267))</f>
        <v>-0.14</v>
      </c>
    </row>
    <row r="268" customFormat="false" ht="15.75" hidden="false" customHeight="true" outlineLevel="0" collapsed="false">
      <c r="A268" s="59" t="s">
        <v>411</v>
      </c>
      <c r="B268" s="9"/>
      <c r="C268" s="9" t="n">
        <v>-0.35</v>
      </c>
      <c r="D268" s="9"/>
      <c r="E268" s="9" t="n">
        <v>-0.07</v>
      </c>
      <c r="F268" s="9" t="n">
        <v>-0.82</v>
      </c>
      <c r="G268" s="9"/>
      <c r="H268" s="9" t="n">
        <v>0.57</v>
      </c>
      <c r="I268" s="9"/>
      <c r="J268" s="9"/>
      <c r="K268" s="9" t="n">
        <v>-1.95</v>
      </c>
      <c r="L268" s="9" t="n">
        <v>0.36</v>
      </c>
      <c r="M268" s="9" t="n">
        <v>-0.14</v>
      </c>
      <c r="N268" s="9" t="n">
        <v>-0.06</v>
      </c>
      <c r="O268" s="9" t="n">
        <v>-0.03</v>
      </c>
      <c r="P268" s="9" t="n">
        <v>0.37</v>
      </c>
      <c r="Q268" s="58" t="n">
        <f aca="false">TRIMMEAN(B268:P268,2/COUNT(B268:P268))</f>
        <v>-0.0925</v>
      </c>
    </row>
    <row r="269" customFormat="false" ht="15.75" hidden="false" customHeight="true" outlineLevel="0" collapsed="false">
      <c r="A269" s="57" t="s">
        <v>412</v>
      </c>
      <c r="B269" s="9"/>
      <c r="C269" s="9" t="n">
        <v>-0.55</v>
      </c>
      <c r="D269" s="9"/>
      <c r="E269" s="9" t="n">
        <v>0.85</v>
      </c>
      <c r="F269" s="9"/>
      <c r="G269" s="9"/>
      <c r="H269" s="9" t="n">
        <v>0.59</v>
      </c>
      <c r="I269" s="9"/>
      <c r="J269" s="9"/>
      <c r="K269" s="9"/>
      <c r="L269" s="9" t="n">
        <v>-0.43</v>
      </c>
      <c r="M269" s="9" t="n">
        <v>-0.9</v>
      </c>
      <c r="N269" s="9" t="n">
        <v>-0.29</v>
      </c>
      <c r="O269" s="9" t="n">
        <v>-0.47</v>
      </c>
      <c r="P269" s="9" t="n">
        <v>-2.52</v>
      </c>
      <c r="Q269" s="58" t="n">
        <f aca="false">TRIMMEAN(B269:P269,2/COUNT(B269:P269))</f>
        <v>-0.341666666666667</v>
      </c>
    </row>
    <row r="270" customFormat="false" ht="15.75" hidden="false" customHeight="true" outlineLevel="0" collapsed="false">
      <c r="A270" s="57" t="s">
        <v>413</v>
      </c>
      <c r="B270" s="9" t="n">
        <v>-2.72</v>
      </c>
      <c r="C270" s="9"/>
      <c r="D270" s="9"/>
      <c r="E270" s="9" t="n">
        <v>-1.22</v>
      </c>
      <c r="F270" s="9" t="n">
        <v>-1.08</v>
      </c>
      <c r="G270" s="9" t="n">
        <v>-2.29</v>
      </c>
      <c r="H270" s="9"/>
      <c r="I270" s="9"/>
      <c r="J270" s="9" t="n">
        <v>0.7</v>
      </c>
      <c r="K270" s="9" t="n">
        <v>-1.66</v>
      </c>
      <c r="L270" s="9" t="n">
        <v>-1.64</v>
      </c>
      <c r="M270" s="9"/>
      <c r="N270" s="9"/>
      <c r="O270" s="9"/>
      <c r="P270" s="9"/>
      <c r="Q270" s="58" t="n">
        <f aca="false">TRIMMEAN(B270:P270,2/COUNT(B270:P270))</f>
        <v>-1.578</v>
      </c>
    </row>
    <row r="271" customFormat="false" ht="15.75" hidden="false" customHeight="true" outlineLevel="0" collapsed="false">
      <c r="A271" s="57" t="s">
        <v>414</v>
      </c>
      <c r="B271" s="9" t="n">
        <v>-0.18</v>
      </c>
      <c r="C271" s="9" t="n">
        <v>1.39</v>
      </c>
      <c r="D271" s="9" t="n">
        <v>1.06</v>
      </c>
      <c r="E271" s="9"/>
      <c r="F271" s="9"/>
      <c r="G271" s="9" t="n">
        <v>0.47</v>
      </c>
      <c r="H271" s="9" t="n">
        <v>0.06</v>
      </c>
      <c r="I271" s="9" t="n">
        <v>-0.05</v>
      </c>
      <c r="J271" s="9" t="n">
        <v>1.35</v>
      </c>
      <c r="K271" s="9"/>
      <c r="L271" s="9" t="n">
        <v>1.06</v>
      </c>
      <c r="M271" s="9" t="n">
        <v>1.69</v>
      </c>
      <c r="N271" s="9"/>
      <c r="O271" s="9" t="n">
        <v>0.93</v>
      </c>
      <c r="P271" s="9" t="n">
        <v>0.24</v>
      </c>
      <c r="Q271" s="58" t="n">
        <f aca="false">TRIMMEAN(B271:P271,2/COUNT(B271:P271))</f>
        <v>0.723333333333333</v>
      </c>
    </row>
    <row r="272" customFormat="false" ht="15.75" hidden="false" customHeight="true" outlineLevel="0" collapsed="false">
      <c r="A272" s="57" t="s">
        <v>415</v>
      </c>
      <c r="B272" s="9" t="n">
        <v>0.08</v>
      </c>
      <c r="C272" s="9" t="n">
        <v>-1.33</v>
      </c>
      <c r="D272" s="9" t="n">
        <v>0.17</v>
      </c>
      <c r="E272" s="9"/>
      <c r="F272" s="9" t="n">
        <v>-0.21</v>
      </c>
      <c r="G272" s="9" t="n">
        <v>0.95</v>
      </c>
      <c r="H272" s="9" t="n">
        <v>-0.7</v>
      </c>
      <c r="I272" s="9" t="n">
        <v>-0.55</v>
      </c>
      <c r="J272" s="9" t="n">
        <v>-0.06</v>
      </c>
      <c r="K272" s="9"/>
      <c r="L272" s="9" t="n">
        <v>0.25</v>
      </c>
      <c r="M272" s="9" t="n">
        <v>0.1</v>
      </c>
      <c r="N272" s="9"/>
      <c r="O272" s="9"/>
      <c r="P272" s="9" t="n">
        <v>0.95</v>
      </c>
      <c r="Q272" s="58" t="n">
        <f aca="false">TRIMMEAN(B272:P272,2/COUNT(B272:P272))</f>
        <v>0.00333333333333333</v>
      </c>
    </row>
    <row r="273" customFormat="false" ht="15.75" hidden="false" customHeight="true" outlineLevel="0" collapsed="false">
      <c r="A273" s="57" t="s">
        <v>416</v>
      </c>
      <c r="B273" s="9" t="n">
        <v>-1.33</v>
      </c>
      <c r="C273" s="9" t="n">
        <v>1.03</v>
      </c>
      <c r="D273" s="9" t="n">
        <v>1.76</v>
      </c>
      <c r="E273" s="9"/>
      <c r="F273" s="9" t="n">
        <v>-0.26</v>
      </c>
      <c r="G273" s="9" t="n">
        <v>0.05</v>
      </c>
      <c r="H273" s="9"/>
      <c r="I273" s="9" t="n">
        <v>1.12</v>
      </c>
      <c r="J273" s="9" t="n">
        <v>-0.03</v>
      </c>
      <c r="K273" s="9"/>
      <c r="L273" s="9" t="n">
        <v>0.55</v>
      </c>
      <c r="M273" s="9" t="n">
        <v>-0.31</v>
      </c>
      <c r="N273" s="9"/>
      <c r="O273" s="9"/>
      <c r="P273" s="9" t="n">
        <v>0</v>
      </c>
      <c r="Q273" s="58" t="n">
        <f aca="false">TRIMMEAN(B273:P273,2/COUNT(B273:P273))</f>
        <v>0.26875</v>
      </c>
    </row>
    <row r="274" customFormat="false" ht="15.75" hidden="false" customHeight="true" outlineLevel="0" collapsed="false">
      <c r="A274" s="59" t="s">
        <v>417</v>
      </c>
      <c r="B274" s="9"/>
      <c r="C274" s="9" t="n">
        <v>0.25</v>
      </c>
      <c r="D274" s="9"/>
      <c r="E274" s="9" t="n">
        <v>-1.44</v>
      </c>
      <c r="F274" s="9" t="n">
        <v>-0.15</v>
      </c>
      <c r="G274" s="9"/>
      <c r="H274" s="9" t="n">
        <v>1.34</v>
      </c>
      <c r="I274" s="9" t="n">
        <v>-1.8</v>
      </c>
      <c r="J274" s="9"/>
      <c r="K274" s="9" t="n">
        <v>-0.39</v>
      </c>
      <c r="L274" s="9" t="n">
        <v>-0.23</v>
      </c>
      <c r="M274" s="9"/>
      <c r="N274" s="9" t="n">
        <v>0.05</v>
      </c>
      <c r="O274" s="9" t="n">
        <v>1.39</v>
      </c>
      <c r="P274" s="9" t="n">
        <v>-1.14</v>
      </c>
      <c r="Q274" s="58" t="n">
        <f aca="false">TRIMMEAN(B274:P274,2/COUNT(B274:P274))</f>
        <v>-0.21375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 t="n">
        <v>-1.65</v>
      </c>
      <c r="E275" s="9" t="n">
        <v>-0.87</v>
      </c>
      <c r="F275" s="9" t="n">
        <v>0.35</v>
      </c>
      <c r="G275" s="9"/>
      <c r="H275" s="9" t="n">
        <v>-0.18</v>
      </c>
      <c r="I275" s="9"/>
      <c r="J275" s="9"/>
      <c r="K275" s="9" t="n">
        <v>-0.65</v>
      </c>
      <c r="L275" s="9" t="n">
        <v>0.29</v>
      </c>
      <c r="M275" s="9" t="n">
        <v>-0.19</v>
      </c>
      <c r="N275" s="9"/>
      <c r="O275" s="9" t="n">
        <v>0.97</v>
      </c>
      <c r="P275" s="9"/>
      <c r="Q275" s="58" t="n">
        <f aca="false">TRIMMEAN(B275:P275,2/COUNT(B275:P275))</f>
        <v>-0.208333333333333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 t="n">
        <v>1.93</v>
      </c>
      <c r="D277" s="9"/>
      <c r="E277" s="9"/>
      <c r="F277" s="9"/>
      <c r="G277" s="9"/>
      <c r="H277" s="9"/>
      <c r="I277" s="9"/>
      <c r="J277" s="9"/>
      <c r="K277" s="9" t="n">
        <v>-0.94</v>
      </c>
      <c r="L277" s="9" t="n">
        <v>-1.14</v>
      </c>
      <c r="M277" s="9"/>
      <c r="N277" s="9"/>
      <c r="O277" s="9" t="n">
        <v>-1.04</v>
      </c>
      <c r="P277" s="9"/>
      <c r="Q277" s="58" t="n">
        <f aca="false">TRIMMEAN(B277:P277,2/COUNT(B277:P277))</f>
        <v>-0.99</v>
      </c>
    </row>
    <row r="278" customFormat="false" ht="15.75" hidden="false" customHeight="true" outlineLevel="0" collapsed="false">
      <c r="A278" s="59" t="s">
        <v>421</v>
      </c>
      <c r="B278" s="9"/>
      <c r="C278" s="9" t="n">
        <v>-0.43</v>
      </c>
      <c r="D278" s="9"/>
      <c r="E278" s="9" t="n">
        <v>-0.91</v>
      </c>
      <c r="F278" s="9" t="n">
        <v>-2.33</v>
      </c>
      <c r="G278" s="9"/>
      <c r="H278" s="9" t="n">
        <v>-0.63</v>
      </c>
      <c r="I278" s="9" t="n">
        <v>-1.29</v>
      </c>
      <c r="J278" s="9"/>
      <c r="K278" s="9" t="n">
        <v>0.27</v>
      </c>
      <c r="L278" s="9" t="n">
        <v>-0.51</v>
      </c>
      <c r="M278" s="9" t="n">
        <v>-0.26</v>
      </c>
      <c r="N278" s="9" t="n">
        <v>-1.83</v>
      </c>
      <c r="O278" s="9" t="n">
        <v>-1.81</v>
      </c>
      <c r="P278" s="9" t="n">
        <v>-1.79</v>
      </c>
      <c r="Q278" s="58" t="n">
        <f aca="false">TRIMMEAN(B278:P278,2/COUNT(B278:P278))</f>
        <v>-1.05111111111111</v>
      </c>
    </row>
    <row r="279" customFormat="false" ht="15.75" hidden="false" customHeight="true" outlineLevel="0" collapsed="false">
      <c r="A279" s="59" t="s">
        <v>422</v>
      </c>
      <c r="B279" s="9"/>
      <c r="C279" s="9" t="n">
        <v>-0.73</v>
      </c>
      <c r="D279" s="9" t="n">
        <v>0.6</v>
      </c>
      <c r="E279" s="9"/>
      <c r="F279" s="9"/>
      <c r="G279" s="9"/>
      <c r="H279" s="9"/>
      <c r="I279" s="9"/>
      <c r="J279" s="9"/>
      <c r="K279" s="9"/>
      <c r="L279" s="9"/>
      <c r="M279" s="9" t="n">
        <v>0.84</v>
      </c>
      <c r="N279" s="9"/>
      <c r="O279" s="9"/>
      <c r="P279" s="9"/>
      <c r="Q279" s="58" t="n">
        <f aca="false">TRIMMEAN(B279:P279,2/COUNT(B279:P279))</f>
        <v>0.6</v>
      </c>
    </row>
    <row r="280" customFormat="false" ht="15.75" hidden="false" customHeight="true" outlineLevel="0" collapsed="false">
      <c r="A280" s="57" t="s">
        <v>423</v>
      </c>
      <c r="B280" s="9" t="n">
        <v>0.51</v>
      </c>
      <c r="C280" s="9" t="n">
        <v>-0.51</v>
      </c>
      <c r="D280" s="9"/>
      <c r="E280" s="9" t="n">
        <v>1.51</v>
      </c>
      <c r="F280" s="9" t="n">
        <v>-0.25</v>
      </c>
      <c r="G280" s="9" t="n">
        <v>0.38</v>
      </c>
      <c r="H280" s="9"/>
      <c r="I280" s="9"/>
      <c r="J280" s="9" t="n">
        <v>-0.64</v>
      </c>
      <c r="K280" s="9" t="n">
        <v>-0.54</v>
      </c>
      <c r="L280" s="9" t="n">
        <v>0.77</v>
      </c>
      <c r="M280" s="9"/>
      <c r="N280" s="9"/>
      <c r="O280" s="9"/>
      <c r="P280" s="9"/>
      <c r="Q280" s="58" t="n">
        <f aca="false">TRIMMEAN(B280:P280,2/COUNT(B280:P280))</f>
        <v>0.06</v>
      </c>
    </row>
    <row r="281" customFormat="false" ht="15.75" hidden="false" customHeight="true" outlineLevel="0" collapsed="false">
      <c r="A281" s="57" t="s">
        <v>424</v>
      </c>
      <c r="B281" s="9"/>
      <c r="C281" s="9" t="n">
        <v>0.39</v>
      </c>
      <c r="D281" s="9"/>
      <c r="E281" s="9" t="n">
        <v>0.32</v>
      </c>
      <c r="F281" s="9" t="n">
        <v>0.89</v>
      </c>
      <c r="G281" s="9"/>
      <c r="H281" s="9" t="n">
        <v>1.3</v>
      </c>
      <c r="I281" s="9"/>
      <c r="J281" s="9"/>
      <c r="K281" s="9" t="n">
        <v>1.41</v>
      </c>
      <c r="L281" s="9" t="n">
        <v>0.5</v>
      </c>
      <c r="M281" s="9"/>
      <c r="N281" s="9" t="n">
        <v>0.33</v>
      </c>
      <c r="O281" s="9" t="n">
        <v>-0.56</v>
      </c>
      <c r="P281" s="9" t="n">
        <v>-0.31</v>
      </c>
      <c r="Q281" s="58" t="n">
        <f aca="false">TRIMMEAN(B281:P281,2/COUNT(B281:P281))</f>
        <v>0.488571428571429</v>
      </c>
    </row>
    <row r="282" customFormat="false" ht="15.75" hidden="false" customHeight="true" outlineLevel="0" collapsed="false">
      <c r="A282" s="59" t="s">
        <v>425</v>
      </c>
      <c r="B282" s="9"/>
      <c r="C282" s="9" t="n">
        <v>0.09</v>
      </c>
      <c r="D282" s="9"/>
      <c r="E282" s="9" t="n">
        <v>-0.44</v>
      </c>
      <c r="F282" s="9" t="n">
        <v>0.09</v>
      </c>
      <c r="G282" s="9"/>
      <c r="H282" s="9" t="n">
        <v>0.36</v>
      </c>
      <c r="I282" s="9"/>
      <c r="J282" s="9"/>
      <c r="K282" s="9" t="n">
        <v>-1.93</v>
      </c>
      <c r="L282" s="9" t="n">
        <v>-2.05</v>
      </c>
      <c r="M282" s="9" t="n">
        <v>1.33</v>
      </c>
      <c r="N282" s="9" t="n">
        <v>-0.61</v>
      </c>
      <c r="O282" s="9" t="n">
        <v>-1.53</v>
      </c>
      <c r="P282" s="9" t="n">
        <v>-0.63</v>
      </c>
      <c r="Q282" s="58" t="n">
        <f aca="false">TRIMMEAN(B282:P282,2/COUNT(B282:P282))</f>
        <v>-0.575</v>
      </c>
    </row>
    <row r="283" customFormat="false" ht="15.75" hidden="false" customHeight="true" outlineLevel="0" collapsed="false">
      <c r="A283" s="57" t="s">
        <v>426</v>
      </c>
      <c r="B283" s="9" t="n">
        <v>2.9</v>
      </c>
      <c r="C283" s="9" t="n">
        <v>-0.72</v>
      </c>
      <c r="D283" s="9"/>
      <c r="E283" s="9"/>
      <c r="F283" s="9" t="n">
        <v>-1.68</v>
      </c>
      <c r="G283" s="9" t="n">
        <v>1.38</v>
      </c>
      <c r="H283" s="9"/>
      <c r="I283" s="9"/>
      <c r="J283" s="9" t="n">
        <v>1.17</v>
      </c>
      <c r="K283" s="9" t="n">
        <v>0.67</v>
      </c>
      <c r="L283" s="9" t="n">
        <v>0.13</v>
      </c>
      <c r="M283" s="9" t="n">
        <v>0.38</v>
      </c>
      <c r="N283" s="9"/>
      <c r="O283" s="9"/>
      <c r="P283" s="9"/>
      <c r="Q283" s="58" t="n">
        <f aca="false">TRIMMEAN(B283:P283,2/COUNT(B283:P283))</f>
        <v>0.501666666666667</v>
      </c>
    </row>
    <row r="284" customFormat="false" ht="15.75" hidden="false" customHeight="true" outlineLevel="0" collapsed="false">
      <c r="A284" s="59" t="s">
        <v>427</v>
      </c>
      <c r="B284" s="9" t="n">
        <v>0.39</v>
      </c>
      <c r="C284" s="9" t="n">
        <v>-0.68</v>
      </c>
      <c r="D284" s="9" t="n">
        <v>-1.85</v>
      </c>
      <c r="E284" s="9" t="n">
        <v>-2.23</v>
      </c>
      <c r="F284" s="9"/>
      <c r="G284" s="9" t="n">
        <v>-0.21</v>
      </c>
      <c r="H284" s="9" t="n">
        <v>0.05</v>
      </c>
      <c r="I284" s="9"/>
      <c r="J284" s="9" t="n">
        <v>0.27</v>
      </c>
      <c r="K284" s="9" t="n">
        <v>0.28</v>
      </c>
      <c r="L284" s="9"/>
      <c r="M284" s="9"/>
      <c r="N284" s="9"/>
      <c r="O284" s="9"/>
      <c r="P284" s="9"/>
      <c r="Q284" s="58" t="n">
        <f aca="false">TRIMMEAN(B284:P284,2/COUNT(B284:P284))</f>
        <v>-0.356666666666667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-1.02</v>
      </c>
      <c r="D286" s="9"/>
      <c r="E286" s="9" t="n">
        <v>-0.95</v>
      </c>
      <c r="F286" s="9" t="n">
        <v>0.57</v>
      </c>
      <c r="G286" s="9"/>
      <c r="H286" s="9" t="n">
        <v>1.85</v>
      </c>
      <c r="I286" s="9"/>
      <c r="J286" s="9"/>
      <c r="K286" s="9" t="n">
        <v>0.12</v>
      </c>
      <c r="L286" s="9"/>
      <c r="M286" s="9"/>
      <c r="N286" s="9"/>
      <c r="O286" s="9"/>
      <c r="P286" s="9"/>
      <c r="Q286" s="58" t="n">
        <f aca="false">TRIMMEAN(B286:P286,2/COUNT(B286:P286))</f>
        <v>-0.0866666666666667</v>
      </c>
    </row>
    <row r="287" customFormat="false" ht="15.75" hidden="false" customHeight="true" outlineLevel="0" collapsed="false">
      <c r="A287" s="57" t="s">
        <v>430</v>
      </c>
      <c r="B287" s="9"/>
      <c r="C287" s="9" t="n">
        <v>0.6</v>
      </c>
      <c r="D287" s="9"/>
      <c r="E287" s="9" t="n">
        <v>-0.2</v>
      </c>
      <c r="F287" s="9" t="n">
        <v>-1.17</v>
      </c>
      <c r="G287" s="9"/>
      <c r="H287" s="9" t="n">
        <v>0.98</v>
      </c>
      <c r="I287" s="9"/>
      <c r="J287" s="9"/>
      <c r="K287" s="9" t="n">
        <v>-0.02</v>
      </c>
      <c r="L287" s="9" t="n">
        <v>0.1</v>
      </c>
      <c r="M287" s="9"/>
      <c r="N287" s="9" t="n">
        <v>-1.05</v>
      </c>
      <c r="O287" s="9" t="n">
        <v>-0.31</v>
      </c>
      <c r="P287" s="9" t="n">
        <v>-1.97</v>
      </c>
      <c r="Q287" s="58" t="n">
        <f aca="false">TRIMMEAN(B287:P287,2/COUNT(B287:P287))</f>
        <v>-0.292857142857143</v>
      </c>
    </row>
    <row r="288" customFormat="false" ht="15.75" hidden="false" customHeight="true" outlineLevel="0" collapsed="false">
      <c r="A288" s="59" t="s">
        <v>431</v>
      </c>
      <c r="B288" s="9"/>
      <c r="C288" s="9" t="n">
        <v>-0.38</v>
      </c>
      <c r="D288" s="9"/>
      <c r="E288" s="9" t="n">
        <v>0.84</v>
      </c>
      <c r="F288" s="9" t="n">
        <v>0.37</v>
      </c>
      <c r="G288" s="9"/>
      <c r="H288" s="9" t="n">
        <v>-2.25</v>
      </c>
      <c r="I288" s="9"/>
      <c r="J288" s="9"/>
      <c r="K288" s="9" t="n">
        <v>0.7</v>
      </c>
      <c r="L288" s="9" t="n">
        <v>0.25</v>
      </c>
      <c r="M288" s="9" t="n">
        <v>0.03</v>
      </c>
      <c r="N288" s="9" t="n">
        <v>1.16</v>
      </c>
      <c r="O288" s="9"/>
      <c r="P288" s="9" t="n">
        <v>0.54</v>
      </c>
      <c r="Q288" s="58" t="n">
        <f aca="false">TRIMMEAN(B288:P288,2/COUNT(B288:P288))</f>
        <v>0.335714285714286</v>
      </c>
    </row>
    <row r="289" customFormat="false" ht="15.75" hidden="false" customHeight="true" outlineLevel="0" collapsed="false">
      <c r="A289" s="57" t="s">
        <v>432</v>
      </c>
      <c r="B289" s="9" t="n">
        <v>0.33</v>
      </c>
      <c r="C289" s="9" t="n">
        <v>-0.15</v>
      </c>
      <c r="D289" s="9"/>
      <c r="E289" s="9" t="n">
        <v>0.07</v>
      </c>
      <c r="F289" s="9" t="n">
        <v>-1.64</v>
      </c>
      <c r="G289" s="9" t="n">
        <v>-0.17</v>
      </c>
      <c r="H289" s="9"/>
      <c r="I289" s="9"/>
      <c r="J289" s="9" t="n">
        <v>-0.47</v>
      </c>
      <c r="K289" s="9" t="n">
        <v>0.27</v>
      </c>
      <c r="L289" s="9" t="n">
        <v>-0.71</v>
      </c>
      <c r="M289" s="9" t="n">
        <v>0.08</v>
      </c>
      <c r="N289" s="9"/>
      <c r="O289" s="9"/>
      <c r="P289" s="9"/>
      <c r="Q289" s="58" t="n">
        <f aca="false">TRIMMEAN(B289:P289,2/COUNT(B289:P289))</f>
        <v>-0.154285714285714</v>
      </c>
    </row>
    <row r="290" customFormat="false" ht="15.75" hidden="false" customHeight="true" outlineLevel="0" collapsed="false">
      <c r="A290" s="59" t="s">
        <v>433</v>
      </c>
      <c r="B290" s="9"/>
      <c r="C290" s="9" t="n">
        <v>-0.68</v>
      </c>
      <c r="D290" s="9"/>
      <c r="E290" s="9" t="n">
        <v>-1.52</v>
      </c>
      <c r="F290" s="9" t="n">
        <v>-1.44</v>
      </c>
      <c r="G290" s="9"/>
      <c r="H290" s="9" t="n">
        <v>-0.66</v>
      </c>
      <c r="I290" s="9"/>
      <c r="J290" s="9"/>
      <c r="K290" s="9" t="n">
        <v>-2.27</v>
      </c>
      <c r="L290" s="9" t="n">
        <v>-0.63</v>
      </c>
      <c r="M290" s="9" t="n">
        <v>0.7</v>
      </c>
      <c r="N290" s="9" t="n">
        <v>-0.22</v>
      </c>
      <c r="O290" s="9" t="n">
        <v>0.84</v>
      </c>
      <c r="P290" s="9" t="n">
        <v>-0.48</v>
      </c>
      <c r="Q290" s="58" t="n">
        <f aca="false">TRIMMEAN(B290:P290,2/COUNT(B290:P290))</f>
        <v>-0.61625</v>
      </c>
    </row>
    <row r="291" customFormat="false" ht="15.75" hidden="false" customHeight="true" outlineLevel="0" collapsed="false">
      <c r="A291" s="57" t="s">
        <v>434</v>
      </c>
      <c r="B291" s="9" t="n">
        <v>1.79</v>
      </c>
      <c r="C291" s="9" t="n">
        <v>-1.36</v>
      </c>
      <c r="D291" s="9" t="n">
        <v>0.96</v>
      </c>
      <c r="E291" s="9"/>
      <c r="F291" s="9"/>
      <c r="G291" s="9"/>
      <c r="H291" s="9" t="n">
        <v>-1.38</v>
      </c>
      <c r="I291" s="9"/>
      <c r="J291" s="9"/>
      <c r="K291" s="9" t="n">
        <v>0.47</v>
      </c>
      <c r="L291" s="9" t="n">
        <v>-2.08</v>
      </c>
      <c r="M291" s="9" t="n">
        <v>-0.29</v>
      </c>
      <c r="N291" s="9"/>
      <c r="O291" s="9" t="n">
        <v>1.11</v>
      </c>
      <c r="P291" s="9" t="n">
        <v>-0.2</v>
      </c>
      <c r="Q291" s="58" t="n">
        <f aca="false">TRIMMEAN(B291:P291,2/COUNT(B291:P291))</f>
        <v>-0.0985714285714286</v>
      </c>
    </row>
    <row r="292" customFormat="false" ht="15.75" hidden="false" customHeight="true" outlineLevel="0" collapsed="false">
      <c r="A292" s="57" t="s">
        <v>435</v>
      </c>
      <c r="B292" s="9" t="n">
        <v>-1.62</v>
      </c>
      <c r="C292" s="9" t="n">
        <v>-0.48</v>
      </c>
      <c r="D292" s="9"/>
      <c r="E292" s="9" t="n">
        <v>-0.82</v>
      </c>
      <c r="F292" s="9"/>
      <c r="G292" s="9" t="n">
        <v>-1.54</v>
      </c>
      <c r="H292" s="9"/>
      <c r="I292" s="9"/>
      <c r="J292" s="9"/>
      <c r="K292" s="9" t="n">
        <v>-0.63</v>
      </c>
      <c r="L292" s="9" t="n">
        <v>-1.04</v>
      </c>
      <c r="M292" s="9" t="n">
        <v>-0.27</v>
      </c>
      <c r="N292" s="9"/>
      <c r="O292" s="9"/>
      <c r="P292" s="9"/>
      <c r="Q292" s="58" t="n">
        <f aca="false">TRIMMEAN(B292:P292,2/COUNT(B292:P292))</f>
        <v>-0.902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-0.72</v>
      </c>
      <c r="D294" s="9"/>
      <c r="E294" s="9" t="n">
        <v>0.98</v>
      </c>
      <c r="F294" s="9" t="n">
        <v>0.25</v>
      </c>
      <c r="G294" s="9"/>
      <c r="H294" s="9" t="n">
        <v>0</v>
      </c>
      <c r="I294" s="9"/>
      <c r="J294" s="9"/>
      <c r="K294" s="9" t="n">
        <v>1.45</v>
      </c>
      <c r="L294" s="9" t="n">
        <v>0.1</v>
      </c>
      <c r="M294" s="9" t="n">
        <v>-0.47</v>
      </c>
      <c r="N294" s="9" t="n">
        <v>0.24</v>
      </c>
      <c r="O294" s="9" t="n">
        <v>0.63</v>
      </c>
      <c r="P294" s="9" t="n">
        <v>-0.26</v>
      </c>
      <c r="Q294" s="58" t="n">
        <f aca="false">TRIMMEAN(B294:P294,2/COUNT(B294:P294))</f>
        <v>0.18375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-0.4</v>
      </c>
      <c r="C297" s="9" t="n">
        <v>-0.1</v>
      </c>
      <c r="D297" s="9" t="n">
        <v>-0.05</v>
      </c>
      <c r="E297" s="9"/>
      <c r="F297" s="9" t="n">
        <v>0.55</v>
      </c>
      <c r="G297" s="9" t="n">
        <v>0.37</v>
      </c>
      <c r="H297" s="9"/>
      <c r="I297" s="9"/>
      <c r="J297" s="9" t="n">
        <v>-1.27</v>
      </c>
      <c r="K297" s="9" t="n">
        <v>1.23</v>
      </c>
      <c r="L297" s="9" t="n">
        <v>-1.47</v>
      </c>
      <c r="M297" s="9" t="n">
        <v>1.29</v>
      </c>
      <c r="N297" s="9"/>
      <c r="O297" s="9"/>
      <c r="P297" s="9"/>
      <c r="Q297" s="58" t="n">
        <f aca="false">TRIMMEAN(B297:P297,2/COUNT(B297:P297))</f>
        <v>0.0471428571428571</v>
      </c>
    </row>
    <row r="298" customFormat="false" ht="15.75" hidden="false" customHeight="true" outlineLevel="0" collapsed="false">
      <c r="A298" s="57" t="s">
        <v>441</v>
      </c>
      <c r="B298" s="9"/>
      <c r="C298" s="9" t="n">
        <v>0.04</v>
      </c>
      <c r="D298" s="9"/>
      <c r="E298" s="9" t="n">
        <v>-0.99</v>
      </c>
      <c r="F298" s="9"/>
      <c r="G298" s="9" t="n">
        <v>1.86</v>
      </c>
      <c r="H298" s="9" t="n">
        <v>0.43</v>
      </c>
      <c r="I298" s="9"/>
      <c r="J298" s="9" t="n">
        <v>-2.27</v>
      </c>
      <c r="K298" s="9" t="n">
        <v>2.69</v>
      </c>
      <c r="L298" s="9" t="n">
        <v>0.59</v>
      </c>
      <c r="M298" s="9" t="n">
        <v>-0.01</v>
      </c>
      <c r="N298" s="9"/>
      <c r="O298" s="9"/>
      <c r="P298" s="9"/>
      <c r="Q298" s="58" t="n">
        <f aca="false">TRIMMEAN(B298:P298,2/COUNT(B298:P298))</f>
        <v>0.32</v>
      </c>
    </row>
    <row r="299" customFormat="false" ht="15.75" hidden="false" customHeight="true" outlineLevel="0" collapsed="false">
      <c r="A299" s="59" t="s">
        <v>442</v>
      </c>
      <c r="B299" s="9"/>
      <c r="C299" s="9" t="n">
        <v>-0.81</v>
      </c>
      <c r="D299" s="9"/>
      <c r="E299" s="9" t="n">
        <v>0</v>
      </c>
      <c r="F299" s="9"/>
      <c r="G299" s="9"/>
      <c r="H299" s="9"/>
      <c r="I299" s="9"/>
      <c r="J299" s="9"/>
      <c r="K299" s="9" t="n">
        <v>0.42</v>
      </c>
      <c r="L299" s="9" t="n">
        <v>0.1</v>
      </c>
      <c r="M299" s="9" t="n">
        <v>1.11</v>
      </c>
      <c r="N299" s="9" t="n">
        <v>-1.95</v>
      </c>
      <c r="O299" s="9" t="n">
        <v>-2.38</v>
      </c>
      <c r="P299" s="9" t="n">
        <v>-5.49</v>
      </c>
      <c r="Q299" s="58" t="n">
        <f aca="false">TRIMMEAN(B299:P299,2/COUNT(B299:P299))</f>
        <v>-0.77</v>
      </c>
    </row>
    <row r="300" customFormat="false" ht="15.75" hidden="false" customHeight="true" outlineLevel="0" collapsed="false">
      <c r="A300" s="59" t="s">
        <v>443</v>
      </c>
      <c r="B300" s="9" t="n">
        <v>0.34</v>
      </c>
      <c r="C300" s="9" t="n">
        <v>-0.55</v>
      </c>
      <c r="D300" s="9" t="n">
        <v>-0.99</v>
      </c>
      <c r="E300" s="9"/>
      <c r="F300" s="9" t="n">
        <v>1.8</v>
      </c>
      <c r="G300" s="9" t="n">
        <v>-0.4</v>
      </c>
      <c r="H300" s="9"/>
      <c r="I300" s="9" t="n">
        <v>1.2</v>
      </c>
      <c r="J300" s="9" t="n">
        <v>-2.14</v>
      </c>
      <c r="K300" s="9"/>
      <c r="L300" s="9"/>
      <c r="M300" s="9" t="n">
        <v>0.15</v>
      </c>
      <c r="N300" s="9" t="n">
        <v>0.68</v>
      </c>
      <c r="O300" s="9"/>
      <c r="P300" s="9"/>
      <c r="Q300" s="58" t="n">
        <f aca="false">TRIMMEAN(B300:P300,2/COUNT(B300:P300))</f>
        <v>0.0614285714285714</v>
      </c>
    </row>
    <row r="301" customFormat="false" ht="15.75" hidden="false" customHeight="true" outlineLevel="0" collapsed="false">
      <c r="A301" s="57" t="s">
        <v>444</v>
      </c>
      <c r="B301" s="9" t="n">
        <v>2.11</v>
      </c>
      <c r="C301" s="9"/>
      <c r="D301" s="9"/>
      <c r="E301" s="9"/>
      <c r="F301" s="9" t="n">
        <v>0.34</v>
      </c>
      <c r="G301" s="9" t="n">
        <v>-1.99</v>
      </c>
      <c r="H301" s="9"/>
      <c r="I301" s="9"/>
      <c r="J301" s="9" t="n">
        <v>0.54</v>
      </c>
      <c r="K301" s="9" t="n">
        <v>1.5</v>
      </c>
      <c r="L301" s="9" t="n">
        <v>1.76</v>
      </c>
      <c r="M301" s="9"/>
      <c r="N301" s="9"/>
      <c r="O301" s="9"/>
      <c r="P301" s="9"/>
      <c r="Q301" s="58" t="n">
        <f aca="false">TRIMMEAN(B301:P301,2/COUNT(B301:P301))</f>
        <v>1.035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 t="n">
        <v>0.92</v>
      </c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-0.64</v>
      </c>
      <c r="D303" s="9"/>
      <c r="E303" s="9" t="n">
        <v>-0.45</v>
      </c>
      <c r="F303" s="9" t="n">
        <v>-0.84</v>
      </c>
      <c r="G303" s="9"/>
      <c r="H303" s="9" t="n">
        <v>-0.25</v>
      </c>
      <c r="I303" s="9" t="n">
        <v>-0.61</v>
      </c>
      <c r="J303" s="9"/>
      <c r="K303" s="9" t="n">
        <v>-0.26</v>
      </c>
      <c r="L303" s="9" t="n">
        <v>0.12</v>
      </c>
      <c r="M303" s="9" t="n">
        <v>0.71</v>
      </c>
      <c r="N303" s="9" t="n">
        <v>0.41</v>
      </c>
      <c r="O303" s="9" t="n">
        <v>0.53</v>
      </c>
      <c r="P303" s="9" t="n">
        <v>-1.15</v>
      </c>
      <c r="Q303" s="58" t="n">
        <f aca="false">TRIMMEAN(B303:P303,2/COUNT(B303:P303))</f>
        <v>-0.221111111111111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0.24</v>
      </c>
      <c r="C305" s="9" t="n">
        <v>-0.95</v>
      </c>
      <c r="D305" s="9" t="n">
        <v>-1.07</v>
      </c>
      <c r="E305" s="9"/>
      <c r="F305" s="9" t="n">
        <v>0.6</v>
      </c>
      <c r="G305" s="9" t="n">
        <v>-0.34</v>
      </c>
      <c r="H305" s="9" t="n">
        <v>0.25</v>
      </c>
      <c r="I305" s="9" t="n">
        <v>0.74</v>
      </c>
      <c r="J305" s="9"/>
      <c r="K305" s="9" t="n">
        <v>0.39</v>
      </c>
      <c r="L305" s="9" t="n">
        <v>0.31</v>
      </c>
      <c r="M305" s="9"/>
      <c r="N305" s="9" t="n">
        <v>-0.05</v>
      </c>
      <c r="O305" s="9" t="n">
        <v>-1.05</v>
      </c>
      <c r="P305" s="9"/>
      <c r="Q305" s="58" t="n">
        <f aca="false">TRIMMEAN(B305:P305,2/COUNT(B305:P305))</f>
        <v>-0.0666666666666667</v>
      </c>
    </row>
    <row r="306" customFormat="false" ht="15.75" hidden="false" customHeight="true" outlineLevel="0" collapsed="false">
      <c r="A306" s="59" t="s">
        <v>449</v>
      </c>
      <c r="B306" s="9" t="n">
        <v>1.88</v>
      </c>
      <c r="C306" s="9" t="n">
        <v>-0.42</v>
      </c>
      <c r="D306" s="9" t="n">
        <v>0.42</v>
      </c>
      <c r="E306" s="9"/>
      <c r="F306" s="9"/>
      <c r="G306" s="9" t="n">
        <v>-0.95</v>
      </c>
      <c r="H306" s="9"/>
      <c r="I306" s="9" t="n">
        <v>-0.53</v>
      </c>
      <c r="J306" s="9" t="n">
        <v>-0.87</v>
      </c>
      <c r="K306" s="9"/>
      <c r="L306" s="9"/>
      <c r="M306" s="9" t="n">
        <v>0.16</v>
      </c>
      <c r="N306" s="9"/>
      <c r="O306" s="9" t="n">
        <v>0.03</v>
      </c>
      <c r="P306" s="9" t="n">
        <v>-1.9</v>
      </c>
      <c r="Q306" s="58" t="n">
        <f aca="false">TRIMMEAN(B306:P306,2/COUNT(B306:P306))</f>
        <v>-0.308571428571429</v>
      </c>
    </row>
    <row r="307" customFormat="false" ht="15.75" hidden="false" customHeight="true" outlineLevel="0" collapsed="false">
      <c r="A307" s="59" t="s">
        <v>450</v>
      </c>
      <c r="B307" s="9"/>
      <c r="C307" s="9" t="n">
        <v>-1.05</v>
      </c>
      <c r="D307" s="9"/>
      <c r="E307" s="9" t="n">
        <v>0.94</v>
      </c>
      <c r="F307" s="9"/>
      <c r="G307" s="9"/>
      <c r="H307" s="9"/>
      <c r="I307" s="9"/>
      <c r="J307" s="9"/>
      <c r="K307" s="9" t="n">
        <v>-1</v>
      </c>
      <c r="L307" s="9"/>
      <c r="M307" s="9" t="n">
        <v>-0.22</v>
      </c>
      <c r="N307" s="9"/>
      <c r="O307" s="9"/>
      <c r="P307" s="9"/>
      <c r="Q307" s="58" t="n">
        <f aca="false">TRIMMEAN(B307:P307,2/COUNT(B307:P307))</f>
        <v>-0.61</v>
      </c>
    </row>
    <row r="308" customFormat="false" ht="15.75" hidden="false" customHeight="true" outlineLevel="0" collapsed="false">
      <c r="A308" s="60" t="s">
        <v>451</v>
      </c>
      <c r="B308" s="61"/>
      <c r="C308" s="61" t="n">
        <v>-0.61</v>
      </c>
      <c r="D308" s="61"/>
      <c r="E308" s="61" t="n">
        <v>-0.04</v>
      </c>
      <c r="F308" s="61" t="n">
        <v>-0.2</v>
      </c>
      <c r="G308" s="61"/>
      <c r="H308" s="61" t="n">
        <v>-0.03</v>
      </c>
      <c r="I308" s="61"/>
      <c r="J308" s="61"/>
      <c r="K308" s="61" t="n">
        <v>0.81</v>
      </c>
      <c r="L308" s="61" t="n">
        <v>-0.9</v>
      </c>
      <c r="M308" s="61" t="n">
        <v>0.12</v>
      </c>
      <c r="N308" s="61" t="n">
        <v>0.07</v>
      </c>
      <c r="O308" s="61" t="n">
        <v>0.13</v>
      </c>
      <c r="P308" s="61" t="n">
        <v>1.8</v>
      </c>
      <c r="Q308" s="58" t="n">
        <f aca="false">TRIMMEAN(B308:P308,2/COUNT(B308:P308))</f>
        <v>0.03125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 t="n">
        <v>0.79</v>
      </c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#VALUE!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7" activePane="bottomLeft" state="frozen"/>
      <selection pane="topLeft" activeCell="A1" activeCellId="0" sqref="A1"/>
      <selection pane="bottomLeft" activeCell="F302" activeCellId="0" sqref="F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2.29"/>
    <col collapsed="false" customWidth="true" hidden="false" outlineLevel="0" max="10" min="10" style="51" width="12.14"/>
    <col collapsed="false" customWidth="true" hidden="false" outlineLevel="0" max="11" min="11" style="1" width="11.28"/>
    <col collapsed="false" customWidth="true" hidden="false" outlineLevel="0" max="12" min="12" style="1" width="11"/>
    <col collapsed="false" customWidth="true" hidden="false" outlineLevel="0" max="13" min="13" style="1" width="10.14"/>
    <col collapsed="false" customWidth="true" hidden="false" outlineLevel="0" max="14" min="14" style="51" width="10.86"/>
    <col collapsed="false" customWidth="true" hidden="false" outlineLevel="0" max="16" min="15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46145</v>
      </c>
      <c r="C1" s="54" t="n">
        <v>46152</v>
      </c>
      <c r="D1" s="54" t="n">
        <v>46159</v>
      </c>
      <c r="E1" s="54" t="n">
        <v>46166</v>
      </c>
      <c r="F1" s="54" t="n">
        <v>46173</v>
      </c>
      <c r="G1" s="54" t="n">
        <v>46180</v>
      </c>
      <c r="H1" s="54" t="n">
        <v>46187</v>
      </c>
      <c r="I1" s="54" t="n">
        <v>46194</v>
      </c>
      <c r="J1" s="54" t="n">
        <v>46201</v>
      </c>
      <c r="K1" s="54" t="n">
        <v>46208</v>
      </c>
      <c r="L1" s="54" t="n">
        <v>46215</v>
      </c>
      <c r="M1" s="54" t="n">
        <v>46222</v>
      </c>
      <c r="N1" s="54" t="n">
        <v>46229</v>
      </c>
      <c r="O1" s="54" t="n">
        <v>46236</v>
      </c>
      <c r="P1" s="54" t="n">
        <v>46243</v>
      </c>
      <c r="Q1" s="53" t="s">
        <v>454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 t="s">
        <v>49</v>
      </c>
      <c r="C2" s="9" t="n">
        <v>0.51</v>
      </c>
      <c r="D2" s="9" t="n">
        <v>0.58</v>
      </c>
      <c r="E2" s="9"/>
      <c r="F2" s="9" t="n">
        <v>-0.11</v>
      </c>
      <c r="G2" s="9" t="n">
        <v>-1.37</v>
      </c>
      <c r="H2" s="9"/>
      <c r="I2" s="9" t="n">
        <v>0.54</v>
      </c>
      <c r="J2" s="9" t="n">
        <v>0.05</v>
      </c>
      <c r="K2" s="9"/>
      <c r="L2" s="9" t="n">
        <v>-0.03</v>
      </c>
      <c r="M2" s="9" t="n">
        <v>0.24</v>
      </c>
      <c r="N2" s="9"/>
      <c r="O2" s="9"/>
      <c r="P2" s="9"/>
      <c r="Q2" s="58" t="n">
        <f aca="false">TRIMMEAN(B2:P2,2/COUNT(B2:P2))</f>
        <v>0.2</v>
      </c>
    </row>
    <row r="3" customFormat="false" ht="15.75" hidden="false" customHeight="true" outlineLevel="0" collapsed="false">
      <c r="A3" s="57" t="s">
        <v>147</v>
      </c>
      <c r="B3" s="9" t="n">
        <v>0.3</v>
      </c>
      <c r="C3" s="9" t="n">
        <v>-0.99</v>
      </c>
      <c r="D3" s="9"/>
      <c r="E3" s="9" t="n">
        <v>0.03</v>
      </c>
      <c r="F3" s="9" t="n">
        <v>-0.05</v>
      </c>
      <c r="G3" s="9" t="n">
        <v>-0.4</v>
      </c>
      <c r="H3" s="9"/>
      <c r="I3" s="9"/>
      <c r="J3" s="9" t="n">
        <v>-0.16</v>
      </c>
      <c r="K3" s="9" t="n">
        <v>-0.52</v>
      </c>
      <c r="L3" s="9" t="n">
        <v>-0.07</v>
      </c>
      <c r="M3" s="9"/>
      <c r="N3" s="9"/>
      <c r="O3" s="9"/>
      <c r="P3" s="9"/>
      <c r="Q3" s="58" t="n">
        <f aca="false">TRIMMEAN(B3:P3,2/COUNT(B3:P3))</f>
        <v>-0.195</v>
      </c>
    </row>
    <row r="4" customFormat="false" ht="15.75" hidden="false" customHeight="true" outlineLevel="0" collapsed="false">
      <c r="A4" s="57" t="s">
        <v>148</v>
      </c>
      <c r="B4" s="9" t="n">
        <v>0</v>
      </c>
      <c r="C4" s="9" t="n">
        <v>0.35</v>
      </c>
      <c r="D4" s="9" t="n">
        <v>0.39</v>
      </c>
      <c r="E4" s="9"/>
      <c r="F4" s="9"/>
      <c r="G4" s="9" t="n">
        <v>-0.71</v>
      </c>
      <c r="H4" s="9"/>
      <c r="I4" s="9"/>
      <c r="J4" s="9" t="n">
        <v>0.5</v>
      </c>
      <c r="K4" s="9" t="n">
        <v>-0.37</v>
      </c>
      <c r="L4" s="9" t="n">
        <v>0.96</v>
      </c>
      <c r="M4" s="9" t="n">
        <v>-0.24</v>
      </c>
      <c r="N4" s="9"/>
      <c r="O4" s="9"/>
      <c r="P4" s="9"/>
      <c r="Q4" s="58" t="n">
        <f aca="false">TRIMMEAN(B4:P4,2/COUNT(B4:P4))</f>
        <v>0.105</v>
      </c>
    </row>
    <row r="5" customFormat="false" ht="15.75" hidden="false" customHeight="true" outlineLevel="0" collapsed="false">
      <c r="A5" s="57" t="s">
        <v>149</v>
      </c>
      <c r="B5" s="9"/>
      <c r="C5" s="9"/>
      <c r="D5" s="9" t="n">
        <v>0.39</v>
      </c>
      <c r="E5" s="9" t="n">
        <v>0.38</v>
      </c>
      <c r="F5" s="9" t="n">
        <v>0.24</v>
      </c>
      <c r="G5" s="9"/>
      <c r="H5" s="9" t="n">
        <v>-1.34</v>
      </c>
      <c r="I5" s="9"/>
      <c r="J5" s="9"/>
      <c r="K5" s="9" t="n">
        <v>-0.05</v>
      </c>
      <c r="L5" s="9" t="n">
        <v>0.03</v>
      </c>
      <c r="M5" s="9" t="n">
        <v>0.06</v>
      </c>
      <c r="N5" s="9" t="n">
        <v>0.02</v>
      </c>
      <c r="O5" s="9" t="n">
        <v>-0.65</v>
      </c>
      <c r="P5" s="9" t="n">
        <v>0.02</v>
      </c>
      <c r="Q5" s="58" t="n">
        <f aca="false">TRIMMEAN(B5:P5,2/COUNT(B5:P5))</f>
        <v>0.00625</v>
      </c>
    </row>
    <row r="6" customFormat="false" ht="15.75" hidden="false" customHeight="true" outlineLevel="0" collapsed="false">
      <c r="A6" s="59" t="s">
        <v>150</v>
      </c>
      <c r="B6" s="9" t="n">
        <v>-0.13</v>
      </c>
      <c r="C6" s="9"/>
      <c r="D6" s="9" t="n">
        <v>0.47</v>
      </c>
      <c r="E6" s="9" t="n">
        <v>-0.03</v>
      </c>
      <c r="F6" s="9" t="n">
        <v>0.88</v>
      </c>
      <c r="G6" s="9"/>
      <c r="H6" s="9" t="n">
        <v>0.09</v>
      </c>
      <c r="I6" s="9"/>
      <c r="J6" s="9"/>
      <c r="K6" s="9" t="n">
        <v>0.18</v>
      </c>
      <c r="L6" s="9" t="n">
        <v>0.08</v>
      </c>
      <c r="M6" s="9" t="n">
        <v>-0.18</v>
      </c>
      <c r="N6" s="9" t="n">
        <v>0</v>
      </c>
      <c r="O6" s="9" t="n">
        <v>0</v>
      </c>
      <c r="P6" s="9" t="n">
        <v>0.28</v>
      </c>
      <c r="Q6" s="58" t="n">
        <f aca="false">TRIMMEAN(B6:P6,2/COUNT(B6:P6))</f>
        <v>0.104444444444444</v>
      </c>
    </row>
    <row r="7" customFormat="false" ht="15.75" hidden="false" customHeight="true" outlineLevel="0" collapsed="false">
      <c r="A7" s="59" t="s">
        <v>151</v>
      </c>
      <c r="B7" s="9" t="n">
        <v>-0.15</v>
      </c>
      <c r="C7" s="9" t="n">
        <v>0.13</v>
      </c>
      <c r="D7" s="9" t="n">
        <v>0.54</v>
      </c>
      <c r="E7" s="9"/>
      <c r="F7" s="9"/>
      <c r="G7" s="9" t="n">
        <v>-2.1</v>
      </c>
      <c r="H7" s="9"/>
      <c r="I7" s="9" t="n">
        <v>-1.12</v>
      </c>
      <c r="J7" s="9" t="n">
        <v>1.42</v>
      </c>
      <c r="K7" s="9" t="n">
        <v>0.08</v>
      </c>
      <c r="L7" s="9"/>
      <c r="M7" s="9" t="n">
        <v>-0.39</v>
      </c>
      <c r="N7" s="9"/>
      <c r="O7" s="9"/>
      <c r="P7" s="9"/>
      <c r="Q7" s="58" t="n">
        <f aca="false">TRIMMEAN(B7:P7,2/COUNT(B7:P7))</f>
        <v>-0.151666666666667</v>
      </c>
    </row>
    <row r="8" customFormat="false" ht="15.75" hidden="false" customHeight="true" outlineLevel="0" collapsed="false">
      <c r="A8" s="59" t="s">
        <v>152</v>
      </c>
      <c r="B8" s="9" t="n">
        <v>1.21</v>
      </c>
      <c r="C8" s="9" t="n">
        <v>1.09</v>
      </c>
      <c r="D8" s="9" t="n">
        <v>0.61</v>
      </c>
      <c r="E8" s="9"/>
      <c r="F8" s="9" t="n">
        <v>0.22</v>
      </c>
      <c r="G8" s="9" t="n">
        <v>-0.25</v>
      </c>
      <c r="H8" s="9"/>
      <c r="I8" s="9" t="n">
        <v>-0.32</v>
      </c>
      <c r="J8" s="9" t="n">
        <v>0.49</v>
      </c>
      <c r="K8" s="9"/>
      <c r="L8" s="9"/>
      <c r="M8" s="9" t="n">
        <v>0.67</v>
      </c>
      <c r="N8" s="9"/>
      <c r="O8" s="9" t="n">
        <v>0.38</v>
      </c>
      <c r="P8" s="9"/>
      <c r="Q8" s="58" t="n">
        <f aca="false">TRIMMEAN(B8:P8,2/COUNT(B8:P8))</f>
        <v>0.458571428571429</v>
      </c>
    </row>
    <row r="9" customFormat="false" ht="15.75" hidden="false" customHeight="true" outlineLevel="0" collapsed="false">
      <c r="A9" s="59" t="s">
        <v>153</v>
      </c>
      <c r="B9" s="9"/>
      <c r="C9" s="9" t="n">
        <v>0.19</v>
      </c>
      <c r="D9" s="9"/>
      <c r="E9" s="9" t="n">
        <v>-0.3</v>
      </c>
      <c r="F9" s="9" t="n">
        <v>-0.28</v>
      </c>
      <c r="G9" s="9"/>
      <c r="H9" s="9"/>
      <c r="I9" s="9" t="n">
        <v>0.53</v>
      </c>
      <c r="J9" s="9"/>
      <c r="K9" s="9" t="n">
        <v>0.03</v>
      </c>
      <c r="L9" s="9" t="n">
        <v>1.33</v>
      </c>
      <c r="M9" s="9"/>
      <c r="N9" s="9" t="n">
        <v>0.02</v>
      </c>
      <c r="O9" s="9" t="n">
        <v>0.38</v>
      </c>
      <c r="P9" s="9" t="n">
        <v>-0.23</v>
      </c>
      <c r="Q9" s="58" t="n">
        <f aca="false">TRIMMEAN(B9:P9,2/COUNT(B9:P9))</f>
        <v>0.0914285714285714</v>
      </c>
    </row>
    <row r="10" customFormat="false" ht="15.75" hidden="false" customHeight="true" outlineLevel="0" collapsed="false">
      <c r="A10" s="59" t="s">
        <v>154</v>
      </c>
      <c r="B10" s="9" t="n">
        <v>-1.2</v>
      </c>
      <c r="C10" s="9"/>
      <c r="D10" s="9" t="n">
        <v>-0.18</v>
      </c>
      <c r="E10" s="9" t="n">
        <v>-0.78</v>
      </c>
      <c r="F10" s="9" t="n">
        <v>-0.17</v>
      </c>
      <c r="G10" s="9"/>
      <c r="H10" s="9" t="n">
        <v>-0.37</v>
      </c>
      <c r="I10" s="9"/>
      <c r="J10" s="9"/>
      <c r="K10" s="9" t="n">
        <v>-1.13</v>
      </c>
      <c r="L10" s="9" t="n">
        <v>-1.72</v>
      </c>
      <c r="M10" s="9" t="n">
        <v>-0.78</v>
      </c>
      <c r="N10" s="9" t="n">
        <v>-0.17</v>
      </c>
      <c r="O10" s="9" t="n">
        <v>0.16</v>
      </c>
      <c r="P10" s="9" t="n">
        <v>-0.79</v>
      </c>
      <c r="Q10" s="58" t="n">
        <f aca="false">TRIMMEAN(B10:P10,2/COUNT(B10:P10))</f>
        <v>-0.618888888888889</v>
      </c>
    </row>
    <row r="11" customFormat="false" ht="15.75" hidden="false" customHeight="true" outlineLevel="0" collapsed="false">
      <c r="A11" s="57" t="s">
        <v>155</v>
      </c>
      <c r="B11" s="9" t="n">
        <v>-0.09</v>
      </c>
      <c r="C11" s="9" t="n">
        <v>-0.52</v>
      </c>
      <c r="D11" s="9"/>
      <c r="E11" s="9"/>
      <c r="F11" s="9"/>
      <c r="G11" s="9" t="n">
        <v>-0.45</v>
      </c>
      <c r="H11" s="9"/>
      <c r="I11" s="9"/>
      <c r="J11" s="9" t="n">
        <v>-0.04</v>
      </c>
      <c r="K11" s="9" t="n">
        <v>-0.22</v>
      </c>
      <c r="L11" s="9" t="n">
        <v>0.78</v>
      </c>
      <c r="M11" s="9" t="n">
        <v>-1.26</v>
      </c>
      <c r="N11" s="9"/>
      <c r="O11" s="9"/>
      <c r="P11" s="9"/>
      <c r="Q11" s="58" t="n">
        <f aca="false">TRIMMEAN(B11:P11,2/COUNT(B11:P11))</f>
        <v>-0.264</v>
      </c>
    </row>
    <row r="12" customFormat="false" ht="15.75" hidden="false" customHeight="true" outlineLevel="0" collapsed="false">
      <c r="A12" s="59" t="s">
        <v>156</v>
      </c>
      <c r="B12" s="9" t="n">
        <v>0.38</v>
      </c>
      <c r="C12" s="9" t="n">
        <v>-0.18</v>
      </c>
      <c r="D12" s="9" t="n">
        <v>-0.42</v>
      </c>
      <c r="E12" s="9"/>
      <c r="F12" s="9" t="n">
        <v>-0.1</v>
      </c>
      <c r="G12" s="9" t="n">
        <v>1.03</v>
      </c>
      <c r="H12" s="9"/>
      <c r="I12" s="9" t="n">
        <v>0.33</v>
      </c>
      <c r="J12" s="9" t="n">
        <v>1.18</v>
      </c>
      <c r="K12" s="9" t="n">
        <v>0.27</v>
      </c>
      <c r="L12" s="9"/>
      <c r="M12" s="9" t="n">
        <v>-0.59</v>
      </c>
      <c r="N12" s="9"/>
      <c r="O12" s="9" t="n">
        <v>-0.12</v>
      </c>
      <c r="P12" s="9" t="n">
        <v>-0.14</v>
      </c>
      <c r="Q12" s="58" t="n">
        <f aca="false">TRIMMEAN(B12:P12,2/COUNT(B12:P12))</f>
        <v>0.116666666666667</v>
      </c>
    </row>
    <row r="13" customFormat="false" ht="15.75" hidden="false" customHeight="true" outlineLevel="0" collapsed="false">
      <c r="A13" s="57" t="s">
        <v>157</v>
      </c>
      <c r="B13" s="9"/>
      <c r="C13" s="9"/>
      <c r="D13" s="9" t="n">
        <v>-0.34</v>
      </c>
      <c r="E13" s="9" t="n">
        <v>0.03</v>
      </c>
      <c r="F13" s="9" t="n">
        <v>-0.54</v>
      </c>
      <c r="G13" s="9"/>
      <c r="H13" s="9" t="n">
        <v>-0.23</v>
      </c>
      <c r="I13" s="9" t="n">
        <v>-0.35</v>
      </c>
      <c r="J13" s="9"/>
      <c r="K13" s="9" t="n">
        <v>-0.72</v>
      </c>
      <c r="L13" s="9" t="n">
        <v>-0.02</v>
      </c>
      <c r="M13" s="9" t="n">
        <v>0.78</v>
      </c>
      <c r="N13" s="9" t="n">
        <v>-1.25</v>
      </c>
      <c r="O13" s="9" t="n">
        <v>-0.38</v>
      </c>
      <c r="P13" s="9" t="n">
        <v>-0.33</v>
      </c>
      <c r="Q13" s="58" t="n">
        <f aca="false">TRIMMEAN(B13:P13,2/COUNT(B13:P13))</f>
        <v>-0.32</v>
      </c>
    </row>
    <row r="14" customFormat="false" ht="15.75" hidden="false" customHeight="true" outlineLevel="0" collapsed="false">
      <c r="A14" s="59" t="s">
        <v>158</v>
      </c>
      <c r="B14" s="9" t="n">
        <v>0.32</v>
      </c>
      <c r="C14" s="9" t="n">
        <v>0.28</v>
      </c>
      <c r="D14" s="9" t="n">
        <v>-0.66</v>
      </c>
      <c r="E14" s="9"/>
      <c r="F14" s="9"/>
      <c r="G14" s="9" t="n">
        <v>0.12</v>
      </c>
      <c r="H14" s="9" t="n">
        <v>0.02</v>
      </c>
      <c r="I14" s="9" t="n">
        <v>-0.15</v>
      </c>
      <c r="J14" s="9" t="n">
        <v>-0.12</v>
      </c>
      <c r="K14" s="9" t="n">
        <v>-0.6</v>
      </c>
      <c r="L14" s="9"/>
      <c r="M14" s="9" t="n">
        <v>0.36</v>
      </c>
      <c r="N14" s="9"/>
      <c r="O14" s="9" t="n">
        <v>0.69</v>
      </c>
      <c r="P14" s="9"/>
      <c r="Q14" s="58" t="n">
        <f aca="false">TRIMMEAN(B14:P14,2/COUNT(B14:P14))</f>
        <v>0.02875</v>
      </c>
    </row>
    <row r="15" customFormat="false" ht="15.75" hidden="false" customHeight="true" outlineLevel="0" collapsed="false">
      <c r="A15" s="59" t="s">
        <v>159</v>
      </c>
      <c r="B15" s="9"/>
      <c r="C15" s="9" t="n">
        <v>0.47</v>
      </c>
      <c r="D15" s="9"/>
      <c r="E15" s="9" t="n">
        <v>-0.26</v>
      </c>
      <c r="F15" s="9"/>
      <c r="G15" s="9"/>
      <c r="H15" s="9"/>
      <c r="I15" s="9"/>
      <c r="J15" s="9"/>
      <c r="K15" s="9" t="n">
        <v>0.26</v>
      </c>
      <c r="L15" s="9"/>
      <c r="M15" s="9" t="n">
        <v>0.19</v>
      </c>
      <c r="N15" s="9"/>
      <c r="O15" s="9"/>
      <c r="P15" s="9" t="n">
        <v>-0.63</v>
      </c>
      <c r="Q15" s="58" t="n">
        <f aca="false">TRIMMEAN(B15:P15,2/COUNT(B15:P15))</f>
        <v>0.0633333333333333</v>
      </c>
    </row>
    <row r="16" customFormat="false" ht="15.75" hidden="false" customHeight="true" outlineLevel="0" collapsed="false">
      <c r="A16" s="57" t="s">
        <v>160</v>
      </c>
      <c r="B16" s="9"/>
      <c r="C16" s="9" t="n">
        <v>0.4</v>
      </c>
      <c r="D16" s="9" t="n">
        <v>-0.93</v>
      </c>
      <c r="E16" s="9" t="n">
        <v>-0.74</v>
      </c>
      <c r="F16" s="9" t="n">
        <v>-0.85</v>
      </c>
      <c r="G16" s="9"/>
      <c r="H16" s="9" t="n">
        <v>-1.13</v>
      </c>
      <c r="I16" s="9"/>
      <c r="J16" s="9"/>
      <c r="K16" s="9"/>
      <c r="L16" s="9" t="n">
        <v>0.4</v>
      </c>
      <c r="M16" s="9" t="n">
        <v>-0.47</v>
      </c>
      <c r="N16" s="9"/>
      <c r="O16" s="9"/>
      <c r="P16" s="9"/>
      <c r="Q16" s="58" t="n">
        <f aca="false">TRIMMEAN(B16:P16,2/COUNT(B16:P16))</f>
        <v>-0.518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-0.43</v>
      </c>
      <c r="C19" s="9" t="n">
        <v>0.42</v>
      </c>
      <c r="D19" s="9" t="n">
        <v>0.32</v>
      </c>
      <c r="E19" s="9"/>
      <c r="F19" s="9"/>
      <c r="G19" s="9" t="n">
        <v>0.56</v>
      </c>
      <c r="H19" s="9" t="n">
        <v>0.64</v>
      </c>
      <c r="I19" s="9" t="n">
        <v>0.44</v>
      </c>
      <c r="J19" s="9" t="n">
        <v>-0.63</v>
      </c>
      <c r="K19" s="9"/>
      <c r="L19" s="9"/>
      <c r="M19" s="9" t="n">
        <v>0.02</v>
      </c>
      <c r="N19" s="9"/>
      <c r="O19" s="9"/>
      <c r="P19" s="9"/>
      <c r="Q19" s="58" t="n">
        <f aca="false">TRIMMEAN(B19:P19,2/COUNT(B19:P19))</f>
        <v>0.221666666666667</v>
      </c>
    </row>
    <row r="20" customFormat="false" ht="15.75" hidden="false" customHeight="true" outlineLevel="0" collapsed="false">
      <c r="A20" s="57" t="s">
        <v>164</v>
      </c>
      <c r="B20" s="9" t="n">
        <v>-0.64</v>
      </c>
      <c r="C20" s="9" t="n">
        <v>0.9</v>
      </c>
      <c r="D20" s="9" t="n">
        <v>-1.01</v>
      </c>
      <c r="E20" s="9"/>
      <c r="F20" s="9" t="n">
        <v>0.53</v>
      </c>
      <c r="G20" s="9" t="n">
        <v>-1.11</v>
      </c>
      <c r="H20" s="9" t="n">
        <v>0.26</v>
      </c>
      <c r="I20" s="9"/>
      <c r="J20" s="9" t="n">
        <v>-0.13</v>
      </c>
      <c r="K20" s="9" t="n">
        <v>0.63</v>
      </c>
      <c r="L20" s="9" t="n">
        <v>-0.12</v>
      </c>
      <c r="M20" s="9"/>
      <c r="N20" s="9" t="n">
        <v>0.58</v>
      </c>
      <c r="O20" s="9" t="n">
        <v>-1.09</v>
      </c>
      <c r="P20" s="9" t="n">
        <v>0.26</v>
      </c>
      <c r="Q20" s="58" t="n">
        <f aca="false">TRIMMEAN(B20:P20,2/COUNT(B20:P20))</f>
        <v>-0.073</v>
      </c>
    </row>
    <row r="21" customFormat="false" ht="15.75" hidden="false" customHeight="true" outlineLevel="0" collapsed="false">
      <c r="A21" s="59" t="s">
        <v>165</v>
      </c>
      <c r="B21" s="9"/>
      <c r="C21" s="9" t="n">
        <v>0.61</v>
      </c>
      <c r="D21" s="9"/>
      <c r="E21" s="9" t="n">
        <v>-3.13</v>
      </c>
      <c r="F21" s="9"/>
      <c r="G21" s="9"/>
      <c r="H21" s="9" t="n">
        <v>-1.08</v>
      </c>
      <c r="I21" s="9"/>
      <c r="J21" s="9"/>
      <c r="K21" s="9" t="n">
        <v>0.09</v>
      </c>
      <c r="L21" s="9" t="n">
        <v>0.01</v>
      </c>
      <c r="M21" s="9" t="n">
        <v>0.34</v>
      </c>
      <c r="N21" s="9" t="n">
        <v>-0.74</v>
      </c>
      <c r="O21" s="9" t="n">
        <v>1.01</v>
      </c>
      <c r="P21" s="9" t="n">
        <v>-0.04</v>
      </c>
      <c r="Q21" s="58" t="n">
        <f aca="false">TRIMMEAN(B21:P21,2/COUNT(B21:P21))</f>
        <v>-0.115714285714286</v>
      </c>
    </row>
    <row r="22" customFormat="false" ht="15.75" hidden="false" customHeight="true" outlineLevel="0" collapsed="false">
      <c r="A22" s="57" t="s">
        <v>166</v>
      </c>
      <c r="B22" s="9"/>
      <c r="C22" s="9" t="n">
        <v>-0.44</v>
      </c>
      <c r="D22" s="9"/>
      <c r="E22" s="9"/>
      <c r="F22" s="9" t="n">
        <v>-0.27</v>
      </c>
      <c r="G22" s="9" t="n">
        <v>-0.1</v>
      </c>
      <c r="H22" s="9"/>
      <c r="I22" s="9" t="n">
        <v>-0.07</v>
      </c>
      <c r="J22" s="9"/>
      <c r="K22" s="9"/>
      <c r="L22" s="9" t="n">
        <v>0.13</v>
      </c>
      <c r="M22" s="9" t="n">
        <v>-0.4</v>
      </c>
      <c r="N22" s="9"/>
      <c r="O22" s="9"/>
      <c r="P22" s="9"/>
      <c r="Q22" s="58" t="n">
        <f aca="false">TRIMMEAN(B22:P22,2/COUNT(B22:P22))</f>
        <v>-0.21</v>
      </c>
    </row>
    <row r="23" customFormat="false" ht="15.75" hidden="false" customHeight="true" outlineLevel="0" collapsed="false">
      <c r="A23" s="57" t="s">
        <v>167</v>
      </c>
      <c r="B23" s="9"/>
      <c r="C23" s="9" t="n">
        <v>0.08</v>
      </c>
      <c r="D23" s="9" t="n">
        <v>0.63</v>
      </c>
      <c r="E23" s="9"/>
      <c r="F23" s="9"/>
      <c r="G23" s="9" t="n">
        <v>0.12</v>
      </c>
      <c r="H23" s="9"/>
      <c r="I23" s="9" t="n">
        <v>-0.82</v>
      </c>
      <c r="J23" s="9" t="n">
        <v>-0.15</v>
      </c>
      <c r="K23" s="9"/>
      <c r="L23" s="9" t="n">
        <v>1.03</v>
      </c>
      <c r="M23" s="9" t="n">
        <v>0.08</v>
      </c>
      <c r="N23" s="9"/>
      <c r="O23" s="9" t="n">
        <v>-0.01</v>
      </c>
      <c r="P23" s="9"/>
      <c r="Q23" s="58" t="n">
        <f aca="false">TRIMMEAN(B23:P23,2/COUNT(B23:P23))</f>
        <v>0.125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0.45</v>
      </c>
      <c r="C25" s="9"/>
      <c r="D25" s="9" t="n">
        <v>0.16</v>
      </c>
      <c r="E25" s="9"/>
      <c r="F25" s="9" t="n">
        <v>0</v>
      </c>
      <c r="G25" s="9"/>
      <c r="H25" s="9" t="n">
        <v>0.37</v>
      </c>
      <c r="I25" s="9"/>
      <c r="J25" s="9"/>
      <c r="K25" s="9"/>
      <c r="L25" s="9" t="n">
        <v>0.37</v>
      </c>
      <c r="M25" s="9"/>
      <c r="N25" s="9" t="n">
        <v>0.25</v>
      </c>
      <c r="O25" s="9" t="n">
        <v>-0.17</v>
      </c>
      <c r="P25" s="9" t="n">
        <v>0.41</v>
      </c>
      <c r="Q25" s="58" t="n">
        <f aca="false">TRIMMEAN(B25:P25,2/COUNT(B25:P25))</f>
        <v>0.26</v>
      </c>
    </row>
    <row r="26" customFormat="false" ht="15.75" hidden="false" customHeight="true" outlineLevel="0" collapsed="false">
      <c r="A26" s="57" t="s">
        <v>170</v>
      </c>
      <c r="B26" s="9" t="n">
        <v>0.7</v>
      </c>
      <c r="C26" s="9" t="n">
        <v>-0.1</v>
      </c>
      <c r="D26" s="9" t="n">
        <v>0.15</v>
      </c>
      <c r="E26" s="9"/>
      <c r="F26" s="9"/>
      <c r="G26" s="9" t="n">
        <v>0.14</v>
      </c>
      <c r="H26" s="9" t="n">
        <v>0.73</v>
      </c>
      <c r="I26" s="9" t="n">
        <v>0.82</v>
      </c>
      <c r="J26" s="9" t="n">
        <v>1.12</v>
      </c>
      <c r="K26" s="9"/>
      <c r="L26" s="9" t="n">
        <v>-1.22</v>
      </c>
      <c r="M26" s="9" t="n">
        <v>0.38</v>
      </c>
      <c r="N26" s="9"/>
      <c r="O26" s="9"/>
      <c r="P26" s="9" t="n">
        <v>0.14</v>
      </c>
      <c r="Q26" s="58" t="n">
        <f aca="false">TRIMMEAN(B26:P26,2/COUNT(B26:P26))</f>
        <v>0.37</v>
      </c>
    </row>
    <row r="27" customFormat="false" ht="15.75" hidden="false" customHeight="true" outlineLevel="0" collapsed="false">
      <c r="A27" s="57" t="s">
        <v>171</v>
      </c>
      <c r="B27" s="9" t="n">
        <v>0.37</v>
      </c>
      <c r="C27" s="9" t="n">
        <v>0.25</v>
      </c>
      <c r="D27" s="9"/>
      <c r="E27" s="9" t="n">
        <v>-0.32</v>
      </c>
      <c r="F27" s="9" t="n">
        <v>-0.5</v>
      </c>
      <c r="G27" s="9" t="n">
        <v>0.54</v>
      </c>
      <c r="H27" s="9"/>
      <c r="I27" s="9"/>
      <c r="J27" s="9" t="n">
        <v>0.26</v>
      </c>
      <c r="K27" s="9" t="n">
        <v>-1.48</v>
      </c>
      <c r="L27" s="9" t="n">
        <v>-0.16</v>
      </c>
      <c r="M27" s="9" t="n">
        <v>-0.49</v>
      </c>
      <c r="N27" s="9"/>
      <c r="O27" s="9"/>
      <c r="P27" s="9"/>
      <c r="Q27" s="58" t="n">
        <f aca="false">TRIMMEAN(B27:P27,2/COUNT(B27:P27))</f>
        <v>-0.0842857142857143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 t="n">
        <v>-0.72</v>
      </c>
      <c r="F28" s="9"/>
      <c r="G28" s="9"/>
      <c r="H28" s="9"/>
      <c r="I28" s="9"/>
      <c r="J28" s="9"/>
      <c r="K28" s="9" t="n">
        <v>0.15</v>
      </c>
      <c r="L28" s="9" t="n">
        <v>-0.45</v>
      </c>
      <c r="M28" s="9" t="n">
        <v>-0.62</v>
      </c>
      <c r="N28" s="9" t="n">
        <v>-0.46</v>
      </c>
      <c r="O28" s="9"/>
      <c r="P28" s="9"/>
      <c r="Q28" s="58" t="n">
        <f aca="false">TRIMMEAN(B28:P28,2/COUNT(B28:P28))</f>
        <v>-0.51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-0.48</v>
      </c>
      <c r="D30" s="9"/>
      <c r="E30" s="9" t="n">
        <v>-0.45</v>
      </c>
      <c r="F30" s="9" t="n">
        <v>-0.76</v>
      </c>
      <c r="G30" s="9"/>
      <c r="H30" s="9" t="n">
        <v>0.09</v>
      </c>
      <c r="I30" s="9"/>
      <c r="J30" s="9"/>
      <c r="K30" s="9" t="n">
        <v>-0.15</v>
      </c>
      <c r="L30" s="9" t="n">
        <v>0.59</v>
      </c>
      <c r="M30" s="9" t="n">
        <v>-0.77</v>
      </c>
      <c r="N30" s="9" t="n">
        <v>0.43</v>
      </c>
      <c r="O30" s="9" t="n">
        <v>-0.14</v>
      </c>
      <c r="P30" s="9" t="n">
        <v>0.36</v>
      </c>
      <c r="Q30" s="58" t="n">
        <f aca="false">TRIMMEAN(B30:P30,2/COUNT(B30:P30))</f>
        <v>-0.1375</v>
      </c>
    </row>
    <row r="31" customFormat="false" ht="15.75" hidden="false" customHeight="true" outlineLevel="0" collapsed="false">
      <c r="A31" s="59" t="s">
        <v>175</v>
      </c>
      <c r="B31" s="9"/>
      <c r="C31" s="9" t="n">
        <v>-0.56</v>
      </c>
      <c r="D31" s="9"/>
      <c r="E31" s="9" t="n">
        <v>-0.18</v>
      </c>
      <c r="F31" s="9" t="n">
        <v>-0.14</v>
      </c>
      <c r="G31" s="9"/>
      <c r="H31" s="9" t="n">
        <v>0.18</v>
      </c>
      <c r="I31" s="9"/>
      <c r="J31" s="9"/>
      <c r="K31" s="9" t="n">
        <v>-0.27</v>
      </c>
      <c r="L31" s="9" t="n">
        <v>0.45</v>
      </c>
      <c r="M31" s="9" t="n">
        <v>0.23</v>
      </c>
      <c r="N31" s="9" t="n">
        <v>-0.89</v>
      </c>
      <c r="O31" s="9" t="n">
        <v>0.57</v>
      </c>
      <c r="P31" s="9" t="n">
        <v>-0.04</v>
      </c>
      <c r="Q31" s="58" t="n">
        <f aca="false">TRIMMEAN(B31:P31,2/COUNT(B31:P31))</f>
        <v>-0.04125</v>
      </c>
    </row>
    <row r="32" customFormat="false" ht="15.75" hidden="false" customHeight="true" outlineLevel="0" collapsed="false">
      <c r="A32" s="57" t="s">
        <v>176</v>
      </c>
      <c r="B32" s="9"/>
      <c r="C32" s="9"/>
      <c r="D32" s="9" t="n">
        <v>0.13</v>
      </c>
      <c r="E32" s="9" t="n">
        <v>-0.3</v>
      </c>
      <c r="F32" s="9"/>
      <c r="G32" s="9" t="n">
        <v>1.45</v>
      </c>
      <c r="H32" s="9" t="n">
        <v>1.28</v>
      </c>
      <c r="I32" s="9" t="n">
        <v>0.77</v>
      </c>
      <c r="J32" s="9" t="n">
        <v>1.12</v>
      </c>
      <c r="K32" s="9"/>
      <c r="L32" s="9" t="n">
        <v>-0.14</v>
      </c>
      <c r="M32" s="9" t="n">
        <v>0.03</v>
      </c>
      <c r="N32" s="9"/>
      <c r="O32" s="9" t="n">
        <v>0.05</v>
      </c>
      <c r="P32" s="9"/>
      <c r="Q32" s="58" t="n">
        <f aca="false">TRIMMEAN(B32:P32,2/COUNT(B32:P32))</f>
        <v>0.462857142857143</v>
      </c>
    </row>
    <row r="33" customFormat="false" ht="15.75" hidden="false" customHeight="true" outlineLevel="0" collapsed="false">
      <c r="A33" s="57" t="s">
        <v>177</v>
      </c>
      <c r="B33" s="9"/>
      <c r="C33" s="9" t="n">
        <v>0.31</v>
      </c>
      <c r="D33" s="9"/>
      <c r="E33" s="9" t="n">
        <v>0.11</v>
      </c>
      <c r="F33" s="9" t="n">
        <v>0.65</v>
      </c>
      <c r="G33" s="9" t="n">
        <v>0.84</v>
      </c>
      <c r="H33" s="9" t="n">
        <v>-0.41</v>
      </c>
      <c r="I33" s="9"/>
      <c r="J33" s="9" t="n">
        <v>0.71</v>
      </c>
      <c r="K33" s="9" t="n">
        <v>-0.3</v>
      </c>
      <c r="L33" s="9" t="n">
        <v>0.08</v>
      </c>
      <c r="M33" s="9" t="n">
        <v>0.26</v>
      </c>
      <c r="N33" s="9"/>
      <c r="O33" s="9" t="n">
        <v>0.46</v>
      </c>
      <c r="P33" s="9" t="n">
        <v>0.46</v>
      </c>
      <c r="Q33" s="58" t="n">
        <f aca="false">TRIMMEAN(B33:P33,2/COUNT(B33:P33))</f>
        <v>0.304444444444444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-0.4</v>
      </c>
      <c r="C35" s="9" t="n">
        <v>0.7</v>
      </c>
      <c r="D35" s="9" t="n">
        <v>0.2</v>
      </c>
      <c r="E35" s="9"/>
      <c r="F35" s="9"/>
      <c r="G35" s="9" t="n">
        <v>-0.91</v>
      </c>
      <c r="H35" s="9" t="n">
        <v>0.42</v>
      </c>
      <c r="I35" s="9" t="n">
        <v>0.36</v>
      </c>
      <c r="J35" s="9" t="n">
        <v>1.02</v>
      </c>
      <c r="K35" s="9"/>
      <c r="L35" s="9" t="n">
        <v>-0.22</v>
      </c>
      <c r="M35" s="9" t="n">
        <v>-0.29</v>
      </c>
      <c r="N35" s="9" t="n">
        <v>-0.01</v>
      </c>
      <c r="O35" s="9" t="n">
        <v>-0.84</v>
      </c>
      <c r="P35" s="9"/>
      <c r="Q35" s="58" t="n">
        <f aca="false">TRIMMEAN(B35:P35,2/COUNT(B35:P35))</f>
        <v>-0.00888888888888889</v>
      </c>
    </row>
    <row r="36" customFormat="false" ht="15.75" hidden="false" customHeight="true" outlineLevel="0" collapsed="false">
      <c r="A36" s="57" t="s">
        <v>180</v>
      </c>
      <c r="B36" s="9" t="n">
        <v>-0.43</v>
      </c>
      <c r="C36" s="9" t="n">
        <v>0.74</v>
      </c>
      <c r="D36" s="9" t="n">
        <v>-1.02</v>
      </c>
      <c r="E36" s="9" t="n">
        <v>-1.17</v>
      </c>
      <c r="F36" s="9" t="n">
        <v>-0.22</v>
      </c>
      <c r="G36" s="9" t="n">
        <v>-1.65</v>
      </c>
      <c r="H36" s="9"/>
      <c r="I36" s="9" t="n">
        <v>0.44</v>
      </c>
      <c r="J36" s="9"/>
      <c r="K36" s="9" t="n">
        <v>0.32</v>
      </c>
      <c r="L36" s="9" t="n">
        <v>-0.37</v>
      </c>
      <c r="M36" s="9" t="n">
        <v>0.26</v>
      </c>
      <c r="N36" s="9" t="n">
        <v>0.9</v>
      </c>
      <c r="O36" s="9" t="n">
        <v>-1.05</v>
      </c>
      <c r="P36" s="9" t="n">
        <v>0.38</v>
      </c>
      <c r="Q36" s="58" t="n">
        <f aca="false">TRIMMEAN(B36:P36,2/COUNT(B36:P36))</f>
        <v>-0.192727272727273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 t="n">
        <v>-0.07</v>
      </c>
      <c r="F37" s="9"/>
      <c r="G37" s="9"/>
      <c r="H37" s="9"/>
      <c r="I37" s="9"/>
      <c r="J37" s="9"/>
      <c r="K37" s="9"/>
      <c r="L37" s="9" t="n">
        <v>-0.33</v>
      </c>
      <c r="M37" s="9" t="n">
        <v>0.62</v>
      </c>
      <c r="N37" s="9"/>
      <c r="O37" s="9"/>
      <c r="P37" s="9"/>
      <c r="Q37" s="58" t="n">
        <f aca="false">TRIMMEAN(B37:P37,2/COUNT(B37:P37))</f>
        <v>-0.07</v>
      </c>
    </row>
    <row r="38" customFormat="false" ht="15.75" hidden="false" customHeight="true" outlineLevel="0" collapsed="false">
      <c r="A38" s="57" t="s">
        <v>182</v>
      </c>
      <c r="B38" s="9" t="n">
        <v>0.24</v>
      </c>
      <c r="C38" s="9" t="n">
        <v>0.13</v>
      </c>
      <c r="D38" s="9"/>
      <c r="E38" s="9" t="n">
        <v>0.25</v>
      </c>
      <c r="F38" s="9" t="n">
        <v>0.36</v>
      </c>
      <c r="G38" s="9" t="n">
        <v>0.44</v>
      </c>
      <c r="H38" s="9"/>
      <c r="I38" s="9"/>
      <c r="J38" s="9" t="n">
        <v>0.1</v>
      </c>
      <c r="K38" s="9" t="n">
        <v>-1.2</v>
      </c>
      <c r="L38" s="9" t="n">
        <v>-1.05</v>
      </c>
      <c r="M38" s="9" t="n">
        <v>-0.75</v>
      </c>
      <c r="N38" s="9"/>
      <c r="O38" s="9"/>
      <c r="P38" s="9"/>
      <c r="Q38" s="58" t="n">
        <f aca="false">TRIMMEAN(B38:P38,2/COUNT(B38:P38))</f>
        <v>-0.102857142857143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-0.91</v>
      </c>
      <c r="C40" s="9" t="n">
        <v>-1.41</v>
      </c>
      <c r="D40" s="9"/>
      <c r="E40" s="9" t="n">
        <v>-1.18</v>
      </c>
      <c r="F40" s="9" t="n">
        <v>0.61</v>
      </c>
      <c r="G40" s="9"/>
      <c r="H40" s="9" t="n">
        <v>-0.12</v>
      </c>
      <c r="I40" s="9"/>
      <c r="J40" s="9"/>
      <c r="K40" s="9" t="n">
        <v>0.12</v>
      </c>
      <c r="L40" s="9" t="n">
        <v>0.21</v>
      </c>
      <c r="M40" s="9" t="n">
        <v>0.45</v>
      </c>
      <c r="N40" s="9" t="n">
        <v>-0.4</v>
      </c>
      <c r="O40" s="9" t="n">
        <v>-0.2</v>
      </c>
      <c r="P40" s="9" t="n">
        <v>-0.24</v>
      </c>
      <c r="Q40" s="58" t="n">
        <f aca="false">TRIMMEAN(B40:P40,2/COUNT(B40:P40))</f>
        <v>-0.252222222222222</v>
      </c>
    </row>
    <row r="41" customFormat="false" ht="15.75" hidden="false" customHeight="true" outlineLevel="0" collapsed="false">
      <c r="A41" s="57" t="s">
        <v>185</v>
      </c>
      <c r="B41" s="9"/>
      <c r="C41" s="9" t="n">
        <v>-1.11</v>
      </c>
      <c r="D41" s="9"/>
      <c r="E41" s="9" t="n">
        <v>-0.27</v>
      </c>
      <c r="F41" s="9" t="n">
        <v>0.75</v>
      </c>
      <c r="G41" s="9"/>
      <c r="H41" s="9" t="n">
        <v>-0.3</v>
      </c>
      <c r="I41" s="9"/>
      <c r="J41" s="9"/>
      <c r="K41" s="9"/>
      <c r="L41" s="9" t="n">
        <v>0.6</v>
      </c>
      <c r="M41" s="9"/>
      <c r="N41" s="9" t="n">
        <v>-0.25</v>
      </c>
      <c r="O41" s="9" t="n">
        <v>-1.12</v>
      </c>
      <c r="P41" s="9" t="n">
        <v>-1.33</v>
      </c>
      <c r="Q41" s="58" t="n">
        <f aca="false">TRIMMEAN(B41:P41,2/COUNT(B41:P41))</f>
        <v>-0.408333333333333</v>
      </c>
    </row>
    <row r="42" customFormat="false" ht="15.75" hidden="false" customHeight="true" outlineLevel="0" collapsed="false">
      <c r="A42" s="59" t="s">
        <v>186</v>
      </c>
      <c r="B42" s="9" t="n">
        <v>0.46</v>
      </c>
      <c r="C42" s="9" t="n">
        <v>0.65</v>
      </c>
      <c r="D42" s="9" t="n">
        <v>0.67</v>
      </c>
      <c r="E42" s="9"/>
      <c r="F42" s="9"/>
      <c r="G42" s="9" t="n">
        <v>1.62</v>
      </c>
      <c r="H42" s="9"/>
      <c r="I42" s="9" t="n">
        <v>1.62</v>
      </c>
      <c r="J42" s="9" t="n">
        <v>0.51</v>
      </c>
      <c r="K42" s="9"/>
      <c r="L42" s="9"/>
      <c r="M42" s="9" t="n">
        <v>1.03</v>
      </c>
      <c r="N42" s="9"/>
      <c r="O42" s="9"/>
      <c r="P42" s="9" t="n">
        <v>0.12</v>
      </c>
      <c r="Q42" s="58" t="n">
        <f aca="false">TRIMMEAN(B42:P42,2/COUNT(B42:P42))</f>
        <v>0.823333333333333</v>
      </c>
    </row>
    <row r="43" customFormat="false" ht="15.75" hidden="false" customHeight="true" outlineLevel="0" collapsed="false">
      <c r="A43" s="59" t="s">
        <v>187</v>
      </c>
      <c r="B43" s="9"/>
      <c r="C43" s="9"/>
      <c r="D43" s="9" t="n">
        <v>-2.14</v>
      </c>
      <c r="E43" s="9"/>
      <c r="F43" s="9" t="n">
        <v>0.18</v>
      </c>
      <c r="G43" s="9" t="n">
        <v>-0.24</v>
      </c>
      <c r="H43" s="9"/>
      <c r="I43" s="9" t="n">
        <v>0.14</v>
      </c>
      <c r="J43" s="9"/>
      <c r="K43" s="9"/>
      <c r="L43" s="9"/>
      <c r="M43" s="9" t="n">
        <v>0.79</v>
      </c>
      <c r="N43" s="9"/>
      <c r="O43" s="9"/>
      <c r="P43" s="9"/>
      <c r="Q43" s="58" t="n">
        <f aca="false">TRIMMEAN(B43:P43,2/COUNT(B43:P43))</f>
        <v>0.0266666666666667</v>
      </c>
    </row>
    <row r="44" customFormat="false" ht="15.75" hidden="false" customHeight="true" outlineLevel="0" collapsed="false">
      <c r="A44" s="57" t="s">
        <v>188</v>
      </c>
      <c r="B44" s="9" t="n">
        <v>0.17</v>
      </c>
      <c r="C44" s="9" t="n">
        <v>1.22</v>
      </c>
      <c r="D44" s="9"/>
      <c r="E44" s="9"/>
      <c r="F44" s="9" t="n">
        <v>-0.12</v>
      </c>
      <c r="G44" s="9" t="n">
        <v>0.1</v>
      </c>
      <c r="H44" s="9"/>
      <c r="I44" s="9"/>
      <c r="J44" s="9" t="n">
        <v>-0.66</v>
      </c>
      <c r="K44" s="9" t="n">
        <v>0.29</v>
      </c>
      <c r="L44" s="9" t="n">
        <v>-0.24</v>
      </c>
      <c r="M44" s="9" t="n">
        <v>0.77</v>
      </c>
      <c r="N44" s="9"/>
      <c r="O44" s="9"/>
      <c r="P44" s="9"/>
      <c r="Q44" s="58" t="n">
        <f aca="false">TRIMMEAN(B44:P44,2/COUNT(B44:P44))</f>
        <v>0.161666666666667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 t="n">
        <v>-0.18</v>
      </c>
      <c r="E46" s="9"/>
      <c r="F46" s="9"/>
      <c r="G46" s="9"/>
      <c r="H46" s="9"/>
      <c r="I46" s="9"/>
      <c r="J46" s="9"/>
      <c r="K46" s="9"/>
      <c r="L46" s="9"/>
      <c r="M46" s="9" t="n">
        <v>0.14</v>
      </c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0.36</v>
      </c>
      <c r="D48" s="9"/>
      <c r="E48" s="9" t="n">
        <v>-0.38</v>
      </c>
      <c r="F48" s="9" t="n">
        <v>0.11</v>
      </c>
      <c r="G48" s="9"/>
      <c r="H48" s="9" t="n">
        <v>-0.5</v>
      </c>
      <c r="I48" s="9"/>
      <c r="J48" s="9"/>
      <c r="K48" s="9" t="n">
        <v>-0.31</v>
      </c>
      <c r="L48" s="9" t="n">
        <v>0</v>
      </c>
      <c r="M48" s="9" t="n">
        <v>-0.32</v>
      </c>
      <c r="N48" s="9" t="n">
        <v>0.55</v>
      </c>
      <c r="O48" s="9" t="n">
        <v>-0.38</v>
      </c>
      <c r="P48" s="9" t="n">
        <v>-0.1</v>
      </c>
      <c r="Q48" s="58" t="n">
        <f aca="false">TRIMMEAN(B48:P48,2/COUNT(B48:P48))</f>
        <v>-0.1275</v>
      </c>
    </row>
    <row r="49" customFormat="false" ht="15.75" hidden="false" customHeight="true" outlineLevel="0" collapsed="false">
      <c r="A49" s="59" t="s">
        <v>193</v>
      </c>
      <c r="B49" s="9"/>
      <c r="C49" s="9"/>
      <c r="D49" s="9" t="n">
        <v>-1.26</v>
      </c>
      <c r="E49" s="9"/>
      <c r="F49" s="9"/>
      <c r="G49" s="9"/>
      <c r="H49" s="9"/>
      <c r="I49" s="9"/>
      <c r="J49" s="9"/>
      <c r="K49" s="9"/>
      <c r="L49" s="9"/>
      <c r="M49" s="9" t="n">
        <v>0.1</v>
      </c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0.84</v>
      </c>
      <c r="D50" s="9"/>
      <c r="E50" s="9" t="n">
        <v>0.83</v>
      </c>
      <c r="F50" s="9" t="n">
        <v>1.18</v>
      </c>
      <c r="G50" s="9"/>
      <c r="H50" s="9" t="n">
        <v>0.14</v>
      </c>
      <c r="I50" s="9" t="n">
        <v>-1.4</v>
      </c>
      <c r="J50" s="9"/>
      <c r="K50" s="9" t="n">
        <v>0.51</v>
      </c>
      <c r="L50" s="9" t="n">
        <v>1.27</v>
      </c>
      <c r="M50" s="9"/>
      <c r="N50" s="9" t="n">
        <v>0.77</v>
      </c>
      <c r="O50" s="9" t="n">
        <v>0.66</v>
      </c>
      <c r="P50" s="9" t="n">
        <v>-1.37</v>
      </c>
      <c r="Q50" s="58" t="n">
        <f aca="false">TRIMMEAN(B50:P50,2/COUNT(B50:P50))</f>
        <v>0.445</v>
      </c>
    </row>
    <row r="51" customFormat="false" ht="15.75" hidden="false" customHeight="true" outlineLevel="0" collapsed="false">
      <c r="A51" s="59" t="s">
        <v>195</v>
      </c>
      <c r="B51" s="9"/>
      <c r="C51" s="9" t="n">
        <v>-0.5</v>
      </c>
      <c r="D51" s="9"/>
      <c r="E51" s="9" t="n">
        <v>0.24</v>
      </c>
      <c r="F51" s="9"/>
      <c r="G51" s="9"/>
      <c r="H51" s="9"/>
      <c r="I51" s="9"/>
      <c r="J51" s="9"/>
      <c r="K51" s="9" t="n">
        <v>0.36</v>
      </c>
      <c r="L51" s="9" t="n">
        <v>-0.14</v>
      </c>
      <c r="M51" s="9" t="n">
        <v>-0.58</v>
      </c>
      <c r="N51" s="9" t="n">
        <v>-0.09</v>
      </c>
      <c r="O51" s="9"/>
      <c r="P51" s="9"/>
      <c r="Q51" s="58" t="n">
        <f aca="false">TRIMMEAN(B51:P51,2/COUNT(B51:P51))</f>
        <v>-0.1225</v>
      </c>
    </row>
    <row r="52" customFormat="false" ht="15.75" hidden="false" customHeight="true" outlineLevel="0" collapsed="false">
      <c r="A52" s="59" t="s">
        <v>196</v>
      </c>
      <c r="B52" s="9"/>
      <c r="C52" s="9" t="n">
        <v>0.68</v>
      </c>
      <c r="D52" s="9"/>
      <c r="E52" s="9" t="n">
        <v>-0.04</v>
      </c>
      <c r="F52" s="9" t="n">
        <v>1.1</v>
      </c>
      <c r="G52" s="9"/>
      <c r="H52" s="9" t="n">
        <v>-0.5</v>
      </c>
      <c r="I52" s="9"/>
      <c r="J52" s="9"/>
      <c r="K52" s="9" t="n">
        <v>0.19</v>
      </c>
      <c r="L52" s="9" t="n">
        <v>-0.7</v>
      </c>
      <c r="M52" s="9" t="n">
        <v>1.11</v>
      </c>
      <c r="N52" s="9" t="n">
        <v>0.37</v>
      </c>
      <c r="O52" s="9" t="n">
        <v>0.53</v>
      </c>
      <c r="P52" s="9" t="n">
        <v>-0.29</v>
      </c>
      <c r="Q52" s="58" t="n">
        <f aca="false">TRIMMEAN(B52:P52,2/COUNT(B52:P52))</f>
        <v>0.255</v>
      </c>
    </row>
    <row r="53" customFormat="false" ht="15.75" hidden="false" customHeight="true" outlineLevel="0" collapsed="false">
      <c r="A53" s="57" t="s">
        <v>197</v>
      </c>
      <c r="B53" s="9" t="n">
        <v>0.63</v>
      </c>
      <c r="C53" s="9" t="n">
        <v>-0.39</v>
      </c>
      <c r="D53" s="9"/>
      <c r="E53" s="9" t="n">
        <v>-1.07</v>
      </c>
      <c r="F53" s="9" t="n">
        <v>0.8</v>
      </c>
      <c r="G53" s="9" t="n">
        <v>-0.34</v>
      </c>
      <c r="H53" s="9"/>
      <c r="I53" s="9" t="n">
        <v>0.07</v>
      </c>
      <c r="J53" s="9"/>
      <c r="K53" s="9" t="n">
        <v>-0.04</v>
      </c>
      <c r="L53" s="9" t="n">
        <v>0.77</v>
      </c>
      <c r="M53" s="9" t="n">
        <v>0.79</v>
      </c>
      <c r="N53" s="9"/>
      <c r="O53" s="9"/>
      <c r="P53" s="9"/>
      <c r="Q53" s="58" t="n">
        <f aca="false">TRIMMEAN(B53:P53,2/COUNT(B53:P53))</f>
        <v>0.212857142857143</v>
      </c>
    </row>
    <row r="54" customFormat="false" ht="15.75" hidden="false" customHeight="true" outlineLevel="0" collapsed="false">
      <c r="A54" s="57" t="s">
        <v>198</v>
      </c>
      <c r="B54" s="9" t="n">
        <v>-0.84</v>
      </c>
      <c r="C54" s="9" t="n">
        <v>-0.23</v>
      </c>
      <c r="D54" s="9" t="n">
        <v>-0.04</v>
      </c>
      <c r="E54" s="9"/>
      <c r="F54" s="9" t="n">
        <v>0.37</v>
      </c>
      <c r="G54" s="9" t="n">
        <v>-0.3</v>
      </c>
      <c r="H54" s="9"/>
      <c r="I54" s="9" t="n">
        <v>-0.57</v>
      </c>
      <c r="J54" s="9" t="n">
        <v>0.79</v>
      </c>
      <c r="K54" s="9"/>
      <c r="L54" s="9" t="n">
        <v>-0.15</v>
      </c>
      <c r="M54" s="9" t="n">
        <v>0.47</v>
      </c>
      <c r="N54" s="9"/>
      <c r="O54" s="9" t="n">
        <v>-0.17</v>
      </c>
      <c r="P54" s="9" t="n">
        <v>0.71</v>
      </c>
      <c r="Q54" s="58" t="n">
        <f aca="false">TRIMMEAN(B54:P54,2/COUNT(B54:P54))</f>
        <v>0.01</v>
      </c>
    </row>
    <row r="55" customFormat="false" ht="15.75" hidden="false" customHeight="true" outlineLevel="0" collapsed="false">
      <c r="A55" s="57" t="s">
        <v>199</v>
      </c>
      <c r="B55" s="9"/>
      <c r="C55" s="9" t="n">
        <v>0.42</v>
      </c>
      <c r="D55" s="9"/>
      <c r="E55" s="9" t="n">
        <v>0.01</v>
      </c>
      <c r="F55" s="9" t="n">
        <v>-0.73</v>
      </c>
      <c r="G55" s="9"/>
      <c r="H55" s="9" t="n">
        <v>-1.26</v>
      </c>
      <c r="I55" s="9"/>
      <c r="J55" s="9"/>
      <c r="K55" s="9" t="n">
        <v>-0.51</v>
      </c>
      <c r="L55" s="9" t="n">
        <v>-0.03</v>
      </c>
      <c r="M55" s="9" t="n">
        <v>-0.73</v>
      </c>
      <c r="N55" s="9" t="n">
        <v>0.24</v>
      </c>
      <c r="O55" s="9" t="n">
        <v>-0.19</v>
      </c>
      <c r="P55" s="9" t="n">
        <v>0.04</v>
      </c>
      <c r="Q55" s="58" t="n">
        <f aca="false">TRIMMEAN(B55:P55,2/COUNT(B55:P55))</f>
        <v>-0.2375</v>
      </c>
    </row>
    <row r="56" customFormat="false" ht="15.75" hidden="false" customHeight="true" outlineLevel="0" collapsed="false">
      <c r="A56" s="57" t="s">
        <v>200</v>
      </c>
      <c r="B56" s="9" t="n">
        <v>0.61</v>
      </c>
      <c r="C56" s="9" t="n">
        <v>-0.11</v>
      </c>
      <c r="D56" s="9"/>
      <c r="E56" s="9" t="n">
        <v>0.27</v>
      </c>
      <c r="F56" s="9" t="n">
        <v>-2.4</v>
      </c>
      <c r="G56" s="9" t="n">
        <v>-0.13</v>
      </c>
      <c r="H56" s="9"/>
      <c r="I56" s="9"/>
      <c r="J56" s="9" t="n">
        <v>-0.62</v>
      </c>
      <c r="K56" s="9" t="n">
        <v>0.32</v>
      </c>
      <c r="L56" s="9" t="n">
        <v>-0.13</v>
      </c>
      <c r="M56" s="9" t="n">
        <v>0.73</v>
      </c>
      <c r="N56" s="9"/>
      <c r="O56" s="9"/>
      <c r="P56" s="9"/>
      <c r="Q56" s="58" t="n">
        <f aca="false">TRIMMEAN(B56:P56,2/COUNT(B56:P56))</f>
        <v>0.03</v>
      </c>
    </row>
    <row r="57" customFormat="false" ht="15.75" hidden="false" customHeight="true" outlineLevel="0" collapsed="false">
      <c r="A57" s="57" t="s">
        <v>201</v>
      </c>
      <c r="B57" s="9" t="n">
        <v>0.66</v>
      </c>
      <c r="C57" s="9" t="n">
        <v>0.51</v>
      </c>
      <c r="D57" s="9" t="n">
        <v>0</v>
      </c>
      <c r="E57" s="9"/>
      <c r="F57" s="9"/>
      <c r="G57" s="9" t="n">
        <v>-0.44</v>
      </c>
      <c r="H57" s="9"/>
      <c r="I57" s="9" t="n">
        <v>0.83</v>
      </c>
      <c r="J57" s="9" t="n">
        <v>0.52</v>
      </c>
      <c r="K57" s="9"/>
      <c r="L57" s="9" t="n">
        <v>0.82</v>
      </c>
      <c r="M57" s="9" t="n">
        <v>-0.26</v>
      </c>
      <c r="N57" s="9"/>
      <c r="O57" s="9" t="n">
        <v>0.58</v>
      </c>
      <c r="P57" s="9" t="n">
        <v>2.12</v>
      </c>
      <c r="Q57" s="58" t="n">
        <f aca="false">TRIMMEAN(B57:P57,2/COUNT(B57:P57))</f>
        <v>0.4575</v>
      </c>
    </row>
    <row r="58" customFormat="false" ht="15.75" hidden="false" customHeight="true" outlineLevel="0" collapsed="false">
      <c r="A58" s="59" t="s">
        <v>202</v>
      </c>
      <c r="B58" s="9"/>
      <c r="C58" s="9" t="n">
        <v>1.04</v>
      </c>
      <c r="D58" s="9"/>
      <c r="E58" s="9" t="n">
        <v>0.54</v>
      </c>
      <c r="F58" s="9" t="n">
        <v>-0.37</v>
      </c>
      <c r="G58" s="9"/>
      <c r="H58" s="9" t="n">
        <v>0.47</v>
      </c>
      <c r="I58" s="9"/>
      <c r="J58" s="9"/>
      <c r="K58" s="9" t="n">
        <v>0.2</v>
      </c>
      <c r="L58" s="9"/>
      <c r="M58" s="9"/>
      <c r="N58" s="9"/>
      <c r="O58" s="9"/>
      <c r="P58" s="9"/>
      <c r="Q58" s="58" t="n">
        <f aca="false">TRIMMEAN(B58:P58,2/COUNT(B58:P58))</f>
        <v>0.403333333333333</v>
      </c>
    </row>
    <row r="59" customFormat="false" ht="15.75" hidden="false" customHeight="true" outlineLevel="0" collapsed="false">
      <c r="A59" s="57" t="s">
        <v>203</v>
      </c>
      <c r="B59" s="9" t="n">
        <v>0.08</v>
      </c>
      <c r="C59" s="9" t="n">
        <v>-0.81</v>
      </c>
      <c r="D59" s="9"/>
      <c r="E59" s="9" t="n">
        <v>-0.99</v>
      </c>
      <c r="F59" s="9" t="n">
        <v>0.15</v>
      </c>
      <c r="G59" s="9" t="n">
        <v>0.22</v>
      </c>
      <c r="H59" s="9"/>
      <c r="I59" s="9"/>
      <c r="J59" s="9" t="n">
        <v>0.33</v>
      </c>
      <c r="K59" s="9" t="n">
        <v>-0.46</v>
      </c>
      <c r="L59" s="9" t="n">
        <v>0.26</v>
      </c>
      <c r="M59" s="9"/>
      <c r="N59" s="9"/>
      <c r="O59" s="9"/>
      <c r="P59" s="9"/>
      <c r="Q59" s="58" t="n">
        <f aca="false">TRIMMEAN(B59:P59,2/COUNT(B59:P59))</f>
        <v>-0.0933333333333333</v>
      </c>
    </row>
    <row r="60" customFormat="false" ht="15.75" hidden="false" customHeight="true" outlineLevel="0" collapsed="false">
      <c r="A60" s="59" t="s">
        <v>204</v>
      </c>
      <c r="B60" s="9"/>
      <c r="C60" s="9" t="n">
        <v>0.92</v>
      </c>
      <c r="D60" s="9"/>
      <c r="E60" s="9" t="n">
        <v>0.6</v>
      </c>
      <c r="F60" s="9" t="n">
        <v>-0.28</v>
      </c>
      <c r="G60" s="9" t="n">
        <v>0.33</v>
      </c>
      <c r="H60" s="9" t="n">
        <v>-0.03</v>
      </c>
      <c r="I60" s="9"/>
      <c r="J60" s="9" t="n">
        <v>0.18</v>
      </c>
      <c r="K60" s="9" t="n">
        <v>-1.06</v>
      </c>
      <c r="L60" s="9"/>
      <c r="M60" s="9"/>
      <c r="N60" s="9" t="n">
        <v>0.3</v>
      </c>
      <c r="O60" s="9" t="n">
        <v>0.81</v>
      </c>
      <c r="P60" s="9" t="n">
        <v>1.14</v>
      </c>
      <c r="Q60" s="58" t="n">
        <f aca="false">TRIMMEAN(B60:P60,2/COUNT(B60:P60))</f>
        <v>0.35375</v>
      </c>
    </row>
    <row r="61" customFormat="false" ht="15.75" hidden="false" customHeight="true" outlineLevel="0" collapsed="false">
      <c r="A61" s="59" t="s">
        <v>205</v>
      </c>
      <c r="B61" s="9"/>
      <c r="C61" s="9" t="n">
        <v>-0.74</v>
      </c>
      <c r="D61" s="9"/>
      <c r="E61" s="9" t="n">
        <v>0.55</v>
      </c>
      <c r="F61" s="9" t="n">
        <v>-0.45</v>
      </c>
      <c r="G61" s="9"/>
      <c r="H61" s="9" t="n">
        <v>-0.11</v>
      </c>
      <c r="I61" s="9"/>
      <c r="J61" s="9"/>
      <c r="K61" s="9" t="n">
        <v>-0.1</v>
      </c>
      <c r="L61" s="9" t="n">
        <v>-0.39</v>
      </c>
      <c r="M61" s="9" t="n">
        <v>0.49</v>
      </c>
      <c r="N61" s="9" t="n">
        <v>-0.52</v>
      </c>
      <c r="O61" s="9" t="n">
        <v>0.58</v>
      </c>
      <c r="P61" s="9" t="n">
        <v>-0.22</v>
      </c>
      <c r="Q61" s="58" t="n">
        <f aca="false">TRIMMEAN(B61:P61,2/COUNT(B61:P61))</f>
        <v>-0.09375</v>
      </c>
    </row>
    <row r="62" customFormat="false" ht="15.75" hidden="false" customHeight="true" outlineLevel="0" collapsed="false">
      <c r="A62" s="59" t="s">
        <v>206</v>
      </c>
      <c r="B62" s="9"/>
      <c r="C62" s="9" t="n">
        <v>-0.04</v>
      </c>
      <c r="D62" s="9" t="n">
        <v>-1.51</v>
      </c>
      <c r="E62" s="9" t="n">
        <v>0.04</v>
      </c>
      <c r="F62" s="9" t="n">
        <v>-0.25</v>
      </c>
      <c r="G62" s="9"/>
      <c r="H62" s="9" t="n">
        <v>-0.11</v>
      </c>
      <c r="I62" s="9"/>
      <c r="J62" s="9"/>
      <c r="K62" s="9" t="n">
        <v>0.1</v>
      </c>
      <c r="L62" s="9" t="n">
        <v>0.05</v>
      </c>
      <c r="M62" s="9"/>
      <c r="N62" s="9" t="n">
        <v>1.54</v>
      </c>
      <c r="O62" s="9" t="n">
        <v>-0.2</v>
      </c>
      <c r="P62" s="9" t="n">
        <v>-0.4</v>
      </c>
      <c r="Q62" s="58" t="n">
        <f aca="false">TRIMMEAN(B62:P62,2/COUNT(B62:P62))</f>
        <v>-0.10125</v>
      </c>
    </row>
    <row r="63" customFormat="false" ht="15.75" hidden="false" customHeight="true" outlineLevel="0" collapsed="false">
      <c r="A63" s="57" t="s">
        <v>207</v>
      </c>
      <c r="B63" s="9" t="n">
        <v>0.26</v>
      </c>
      <c r="C63" s="9" t="n">
        <v>0.2</v>
      </c>
      <c r="D63" s="9" t="n">
        <v>-0.81</v>
      </c>
      <c r="E63" s="9"/>
      <c r="F63" s="9"/>
      <c r="G63" s="9" t="n">
        <v>0.82</v>
      </c>
      <c r="H63" s="9" t="n">
        <v>-0.1</v>
      </c>
      <c r="I63" s="9" t="n">
        <v>-0.1</v>
      </c>
      <c r="J63" s="9" t="n">
        <v>0.21</v>
      </c>
      <c r="K63" s="9"/>
      <c r="L63" s="9" t="n">
        <v>-0.25</v>
      </c>
      <c r="M63" s="9" t="n">
        <v>0.5</v>
      </c>
      <c r="N63" s="9"/>
      <c r="O63" s="9"/>
      <c r="P63" s="9" t="n">
        <v>-0.88</v>
      </c>
      <c r="Q63" s="58" t="n">
        <f aca="false">TRIMMEAN(B63:P63,2/COUNT(B63:P63))</f>
        <v>-0.01125</v>
      </c>
    </row>
    <row r="64" customFormat="false" ht="15.75" hidden="false" customHeight="true" outlineLevel="0" collapsed="false">
      <c r="A64" s="57" t="s">
        <v>208</v>
      </c>
      <c r="B64" s="9"/>
      <c r="C64" s="9" t="n">
        <v>0.78</v>
      </c>
      <c r="D64" s="9" t="n">
        <v>0.92</v>
      </c>
      <c r="E64" s="9"/>
      <c r="F64" s="9"/>
      <c r="G64" s="9" t="n">
        <v>1.52</v>
      </c>
      <c r="H64" s="9" t="n">
        <v>0.13</v>
      </c>
      <c r="I64" s="9" t="n">
        <v>1.27</v>
      </c>
      <c r="J64" s="9" t="n">
        <v>1.18</v>
      </c>
      <c r="K64" s="9"/>
      <c r="L64" s="9" t="n">
        <v>-0.26</v>
      </c>
      <c r="M64" s="9" t="n">
        <v>-1.03</v>
      </c>
      <c r="N64" s="9"/>
      <c r="O64" s="9"/>
      <c r="P64" s="9"/>
      <c r="Q64" s="58" t="n">
        <f aca="false">TRIMMEAN(B64:P64,2/COUNT(B64:P64))</f>
        <v>0.67</v>
      </c>
    </row>
    <row r="65" customFormat="false" ht="15.75" hidden="false" customHeight="true" outlineLevel="0" collapsed="false">
      <c r="A65" s="57" t="s">
        <v>209</v>
      </c>
      <c r="B65" s="9" t="n">
        <v>0.33</v>
      </c>
      <c r="C65" s="9" t="n">
        <v>0.41</v>
      </c>
      <c r="D65" s="9" t="n">
        <v>-0.27</v>
      </c>
      <c r="E65" s="9"/>
      <c r="F65" s="9"/>
      <c r="G65" s="9" t="n">
        <v>1.66</v>
      </c>
      <c r="H65" s="9" t="n">
        <v>-0.14</v>
      </c>
      <c r="I65" s="9" t="n">
        <v>0.68</v>
      </c>
      <c r="J65" s="9" t="n">
        <v>0.51</v>
      </c>
      <c r="K65" s="9"/>
      <c r="L65" s="9" t="n">
        <v>0.55</v>
      </c>
      <c r="M65" s="9" t="n">
        <v>0.6</v>
      </c>
      <c r="N65" s="9"/>
      <c r="O65" s="9"/>
      <c r="P65" s="9"/>
      <c r="Q65" s="58" t="n">
        <f aca="false">TRIMMEAN(B65:P65,2/COUNT(B65:P65))</f>
        <v>0.42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-0.39</v>
      </c>
      <c r="C67" s="9" t="n">
        <v>-0.96</v>
      </c>
      <c r="D67" s="9"/>
      <c r="E67" s="9" t="n">
        <v>0.47</v>
      </c>
      <c r="F67" s="9" t="n">
        <v>0.37</v>
      </c>
      <c r="G67" s="9" t="n">
        <v>-0.54</v>
      </c>
      <c r="H67" s="9"/>
      <c r="I67" s="9"/>
      <c r="J67" s="9" t="n">
        <v>-0.47</v>
      </c>
      <c r="K67" s="9"/>
      <c r="L67" s="9" t="n">
        <v>0.04</v>
      </c>
      <c r="M67" s="9"/>
      <c r="N67" s="9"/>
      <c r="O67" s="9"/>
      <c r="P67" s="9"/>
      <c r="Q67" s="58" t="n">
        <f aca="false">TRIMMEAN(B67:P67,2/COUNT(B67:P67))</f>
        <v>-0.198</v>
      </c>
    </row>
    <row r="68" customFormat="false" ht="15.75" hidden="false" customHeight="true" outlineLevel="0" collapsed="false">
      <c r="A68" s="59" t="s">
        <v>212</v>
      </c>
      <c r="B68" s="9" t="n">
        <v>-0.12</v>
      </c>
      <c r="C68" s="9" t="n">
        <v>0.57</v>
      </c>
      <c r="D68" s="9" t="n">
        <v>0.19</v>
      </c>
      <c r="E68" s="9"/>
      <c r="F68" s="9" t="n">
        <v>0</v>
      </c>
      <c r="G68" s="9" t="n">
        <v>-1.2</v>
      </c>
      <c r="H68" s="9"/>
      <c r="I68" s="9" t="n">
        <v>0.02</v>
      </c>
      <c r="J68" s="9" t="n">
        <v>0.5</v>
      </c>
      <c r="K68" s="9" t="n">
        <v>0.38</v>
      </c>
      <c r="L68" s="9"/>
      <c r="M68" s="9" t="n">
        <v>-0.76</v>
      </c>
      <c r="N68" s="9"/>
      <c r="O68" s="9" t="n">
        <v>-0.06</v>
      </c>
      <c r="P68" s="9"/>
      <c r="Q68" s="58" t="n">
        <f aca="false">TRIMMEAN(B68:P68,2/COUNT(B68:P68))</f>
        <v>0.01875</v>
      </c>
    </row>
    <row r="69" customFormat="false" ht="15.75" hidden="false" customHeight="true" outlineLevel="0" collapsed="false">
      <c r="A69" s="57" t="s">
        <v>213</v>
      </c>
      <c r="B69" s="9" t="n">
        <v>-0.14</v>
      </c>
      <c r="C69" s="9" t="n">
        <v>-0.43</v>
      </c>
      <c r="D69" s="9" t="n">
        <v>0.25</v>
      </c>
      <c r="E69" s="9"/>
      <c r="F69" s="9"/>
      <c r="G69" s="9" t="n">
        <v>0.09</v>
      </c>
      <c r="H69" s="9" t="n">
        <v>-0.24</v>
      </c>
      <c r="I69" s="9" t="n">
        <v>0.42</v>
      </c>
      <c r="J69" s="9" t="n">
        <v>-0.72</v>
      </c>
      <c r="K69" s="9"/>
      <c r="L69" s="9" t="n">
        <v>0.46</v>
      </c>
      <c r="M69" s="9" t="n">
        <v>-0.55</v>
      </c>
      <c r="N69" s="9"/>
      <c r="O69" s="9"/>
      <c r="P69" s="9"/>
      <c r="Q69" s="58" t="n">
        <f aca="false">TRIMMEAN(B69:P69,2/COUNT(B69:P69))</f>
        <v>-0.0857142857142857</v>
      </c>
    </row>
    <row r="70" customFormat="false" ht="15.75" hidden="false" customHeight="true" outlineLevel="0" collapsed="false">
      <c r="A70" s="57" t="s">
        <v>214</v>
      </c>
      <c r="B70" s="9" t="n">
        <v>0.18</v>
      </c>
      <c r="C70" s="9" t="n">
        <v>0.49</v>
      </c>
      <c r="D70" s="9"/>
      <c r="E70" s="9"/>
      <c r="F70" s="9" t="n">
        <v>0.53</v>
      </c>
      <c r="G70" s="9" t="n">
        <v>0.44</v>
      </c>
      <c r="H70" s="9"/>
      <c r="I70" s="9"/>
      <c r="J70" s="9" t="n">
        <v>1.23</v>
      </c>
      <c r="K70" s="9" t="n">
        <v>0.21</v>
      </c>
      <c r="L70" s="9" t="n">
        <v>-0.34</v>
      </c>
      <c r="M70" s="9" t="n">
        <v>-0.49</v>
      </c>
      <c r="N70" s="9"/>
      <c r="O70" s="9"/>
      <c r="P70" s="9"/>
      <c r="Q70" s="58" t="n">
        <f aca="false">TRIMMEAN(B70:P70,2/COUNT(B70:P70))</f>
        <v>0.251666666666667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-0.54</v>
      </c>
      <c r="D72" s="9"/>
      <c r="E72" s="9" t="n">
        <v>-0.83</v>
      </c>
      <c r="F72" s="9" t="n">
        <v>-0.1</v>
      </c>
      <c r="G72" s="9"/>
      <c r="H72" s="9" t="n">
        <v>-0.33</v>
      </c>
      <c r="I72" s="9"/>
      <c r="J72" s="9"/>
      <c r="K72" s="9" t="n">
        <v>-0.51</v>
      </c>
      <c r="L72" s="9" t="n">
        <v>-0.12</v>
      </c>
      <c r="M72" s="9" t="n">
        <v>-0.84</v>
      </c>
      <c r="N72" s="9" t="n">
        <v>-0.31</v>
      </c>
      <c r="O72" s="9" t="n">
        <v>0.38</v>
      </c>
      <c r="P72" s="9" t="n">
        <v>-0.01</v>
      </c>
      <c r="Q72" s="58" t="n">
        <f aca="false">TRIMMEAN(B72:P72,2/COUNT(B72:P72))</f>
        <v>-0.34375</v>
      </c>
    </row>
    <row r="73" customFormat="false" ht="15.75" hidden="false" customHeight="true" outlineLevel="0" collapsed="false">
      <c r="A73" s="57" t="s">
        <v>217</v>
      </c>
      <c r="B73" s="9" t="n">
        <v>-0.6</v>
      </c>
      <c r="C73" s="9" t="n">
        <v>-0.28</v>
      </c>
      <c r="D73" s="9" t="n">
        <v>-0.53</v>
      </c>
      <c r="E73" s="9"/>
      <c r="F73" s="9" t="n">
        <v>-0.21</v>
      </c>
      <c r="G73" s="9" t="n">
        <v>-0.21</v>
      </c>
      <c r="H73" s="9"/>
      <c r="I73" s="9" t="n">
        <v>0.72</v>
      </c>
      <c r="J73" s="9" t="n">
        <v>0.37</v>
      </c>
      <c r="K73" s="9"/>
      <c r="L73" s="9" t="n">
        <v>0.31</v>
      </c>
      <c r="M73" s="9" t="n">
        <v>0.72</v>
      </c>
      <c r="N73" s="9"/>
      <c r="O73" s="9" t="n">
        <v>0.3</v>
      </c>
      <c r="P73" s="9" t="n">
        <v>-0.99</v>
      </c>
      <c r="Q73" s="58" t="n">
        <f aca="false">TRIMMEAN(B73:P73,2/COUNT(B73:P73))</f>
        <v>-0.0144444444444445</v>
      </c>
    </row>
    <row r="74" customFormat="false" ht="15.75" hidden="false" customHeight="true" outlineLevel="0" collapsed="false">
      <c r="A74" s="57" t="s">
        <v>218</v>
      </c>
      <c r="B74" s="9"/>
      <c r="C74" s="9" t="n">
        <v>0.01</v>
      </c>
      <c r="D74" s="9"/>
      <c r="E74" s="9" t="n">
        <v>0.49</v>
      </c>
      <c r="F74" s="9" t="n">
        <v>0.26</v>
      </c>
      <c r="G74" s="9"/>
      <c r="H74" s="9" t="n">
        <v>0.13</v>
      </c>
      <c r="I74" s="9"/>
      <c r="J74" s="9"/>
      <c r="K74" s="9" t="n">
        <v>0.32</v>
      </c>
      <c r="L74" s="9" t="n">
        <v>-0.14</v>
      </c>
      <c r="M74" s="9"/>
      <c r="N74" s="9" t="n">
        <v>-0.22</v>
      </c>
      <c r="O74" s="9" t="n">
        <v>0.5</v>
      </c>
      <c r="P74" s="9" t="n">
        <v>0.31</v>
      </c>
      <c r="Q74" s="58" t="n">
        <f aca="false">TRIMMEAN(B74:P74,2/COUNT(B74:P74))</f>
        <v>0.197142857142857</v>
      </c>
    </row>
    <row r="75" customFormat="false" ht="15.75" hidden="false" customHeight="true" outlineLevel="0" collapsed="false">
      <c r="A75" s="59" t="s">
        <v>219</v>
      </c>
      <c r="B75" s="9" t="n">
        <v>0.22</v>
      </c>
      <c r="C75" s="9" t="n">
        <v>-0.16</v>
      </c>
      <c r="D75" s="9" t="n">
        <v>-1.11</v>
      </c>
      <c r="E75" s="9"/>
      <c r="F75" s="9" t="n">
        <v>0.21</v>
      </c>
      <c r="G75" s="9" t="n">
        <v>0.66</v>
      </c>
      <c r="H75" s="9" t="n">
        <v>-0.3</v>
      </c>
      <c r="I75" s="9"/>
      <c r="J75" s="9" t="n">
        <v>-0.76</v>
      </c>
      <c r="K75" s="9" t="n">
        <v>0.52</v>
      </c>
      <c r="L75" s="9" t="n">
        <v>0.5</v>
      </c>
      <c r="M75" s="9"/>
      <c r="N75" s="9" t="n">
        <v>-0.85</v>
      </c>
      <c r="O75" s="9" t="n">
        <v>-0.54</v>
      </c>
      <c r="P75" s="9" t="n">
        <v>0.38</v>
      </c>
      <c r="Q75" s="58" t="n">
        <f aca="false">TRIMMEAN(B75:P75,2/COUNT(B75:P75))</f>
        <v>-0.078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 t="n">
        <v>0.22</v>
      </c>
      <c r="D77" s="9"/>
      <c r="E77" s="9" t="n">
        <v>-0.68</v>
      </c>
      <c r="F77" s="9"/>
      <c r="G77" s="9"/>
      <c r="H77" s="9"/>
      <c r="I77" s="9"/>
      <c r="J77" s="9"/>
      <c r="K77" s="9" t="n">
        <v>0.52</v>
      </c>
      <c r="L77" s="9"/>
      <c r="M77" s="9"/>
      <c r="N77" s="9"/>
      <c r="O77" s="9"/>
      <c r="P77" s="9"/>
      <c r="Q77" s="58" t="n">
        <f aca="false">TRIMMEAN(B77:P77,2/COUNT(B77:P77))</f>
        <v>0.22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 t="n">
        <v>-1.02</v>
      </c>
      <c r="F78" s="9"/>
      <c r="G78" s="9"/>
      <c r="H78" s="9"/>
      <c r="I78" s="9"/>
      <c r="J78" s="9"/>
      <c r="K78" s="9"/>
      <c r="L78" s="9" t="n">
        <v>0.37</v>
      </c>
      <c r="M78" s="9" t="n">
        <v>0.26</v>
      </c>
      <c r="N78" s="9" t="n">
        <v>-0.58</v>
      </c>
      <c r="O78" s="9"/>
      <c r="P78" s="9"/>
      <c r="Q78" s="58" t="n">
        <f aca="false">TRIMMEAN(B78:P78,2/COUNT(B78:P78))</f>
        <v>-0.16</v>
      </c>
    </row>
    <row r="79" customFormat="false" ht="15.75" hidden="false" customHeight="true" outlineLevel="0" collapsed="false">
      <c r="A79" s="57" t="s">
        <v>223</v>
      </c>
      <c r="B79" s="9" t="n">
        <v>0.08</v>
      </c>
      <c r="C79" s="9" t="n">
        <v>-0.22</v>
      </c>
      <c r="D79" s="9" t="n">
        <v>-0.08</v>
      </c>
      <c r="E79" s="9"/>
      <c r="F79" s="9"/>
      <c r="G79" s="9" t="n">
        <v>0.01</v>
      </c>
      <c r="H79" s="9"/>
      <c r="I79" s="9" t="n">
        <v>-0.47</v>
      </c>
      <c r="J79" s="9" t="n">
        <v>-0.7</v>
      </c>
      <c r="K79" s="9" t="n">
        <v>0.55</v>
      </c>
      <c r="L79" s="9" t="n">
        <v>0.07</v>
      </c>
      <c r="M79" s="9" t="n">
        <v>-0.13</v>
      </c>
      <c r="N79" s="9"/>
      <c r="O79" s="9" t="n">
        <v>-0.61</v>
      </c>
      <c r="P79" s="9"/>
      <c r="Q79" s="58" t="n">
        <f aca="false">TRIMMEAN(B79:P79,2/COUNT(B79:P79))</f>
        <v>-0.16875</v>
      </c>
    </row>
    <row r="80" customFormat="false" ht="15.75" hidden="false" customHeight="true" outlineLevel="0" collapsed="false">
      <c r="A80" s="57" t="s">
        <v>224</v>
      </c>
      <c r="B80" s="9" t="n">
        <v>0.36</v>
      </c>
      <c r="C80" s="9" t="n">
        <v>-0.06</v>
      </c>
      <c r="D80" s="9" t="n">
        <v>1.11</v>
      </c>
      <c r="E80" s="9" t="n">
        <v>-0.51</v>
      </c>
      <c r="F80" s="9" t="n">
        <v>0.51</v>
      </c>
      <c r="G80" s="9"/>
      <c r="H80" s="9" t="n">
        <v>-1.26</v>
      </c>
      <c r="I80" s="9" t="n">
        <v>0.06</v>
      </c>
      <c r="J80" s="9"/>
      <c r="K80" s="9" t="n">
        <v>0.62</v>
      </c>
      <c r="L80" s="9" t="n">
        <v>0.74</v>
      </c>
      <c r="M80" s="9" t="n">
        <v>-0.39</v>
      </c>
      <c r="N80" s="9" t="n">
        <v>-0.42</v>
      </c>
      <c r="O80" s="9" t="n">
        <v>-0.08</v>
      </c>
      <c r="P80" s="9" t="n">
        <v>-0.49</v>
      </c>
      <c r="Q80" s="58" t="n">
        <f aca="false">TRIMMEAN(B80:P80,2/COUNT(B80:P80))</f>
        <v>0.0309090909090909</v>
      </c>
    </row>
    <row r="81" customFormat="false" ht="15.75" hidden="false" customHeight="true" outlineLevel="0" collapsed="false">
      <c r="A81" s="59" t="s">
        <v>225</v>
      </c>
      <c r="B81" s="9" t="n">
        <v>0.78</v>
      </c>
      <c r="C81" s="9" t="n">
        <v>0.75</v>
      </c>
      <c r="D81" s="9" t="n">
        <v>0.4</v>
      </c>
      <c r="E81" s="9"/>
      <c r="F81" s="9" t="n">
        <v>0.75</v>
      </c>
      <c r="G81" s="9" t="n">
        <v>0.52</v>
      </c>
      <c r="H81" s="9"/>
      <c r="I81" s="9" t="n">
        <v>1.1</v>
      </c>
      <c r="J81" s="9" t="n">
        <v>0.35</v>
      </c>
      <c r="K81" s="9" t="n">
        <v>0.3</v>
      </c>
      <c r="L81" s="9"/>
      <c r="M81" s="9" t="n">
        <v>-0.08</v>
      </c>
      <c r="N81" s="9"/>
      <c r="O81" s="9" t="n">
        <v>0.52</v>
      </c>
      <c r="P81" s="9" t="n">
        <v>0.56</v>
      </c>
      <c r="Q81" s="58" t="n">
        <f aca="false">TRIMMEAN(B81:P81,2/COUNT(B81:P81))</f>
        <v>0.547777777777778</v>
      </c>
    </row>
    <row r="82" customFormat="false" ht="15.75" hidden="false" customHeight="true" outlineLevel="0" collapsed="false">
      <c r="A82" s="59" t="s">
        <v>226</v>
      </c>
      <c r="B82" s="9"/>
      <c r="C82" s="9" t="n">
        <v>-0.1</v>
      </c>
      <c r="D82" s="9"/>
      <c r="E82" s="9" t="n">
        <v>-0.57</v>
      </c>
      <c r="F82" s="9" t="n">
        <v>0.5</v>
      </c>
      <c r="G82" s="9"/>
      <c r="H82" s="9" t="n">
        <v>0</v>
      </c>
      <c r="I82" s="9"/>
      <c r="J82" s="9"/>
      <c r="K82" s="9" t="n">
        <v>-0.2</v>
      </c>
      <c r="L82" s="9" t="n">
        <v>0.05</v>
      </c>
      <c r="M82" s="9" t="n">
        <v>0.45</v>
      </c>
      <c r="N82" s="9" t="n">
        <v>0.35</v>
      </c>
      <c r="O82" s="9" t="n">
        <v>-1.36</v>
      </c>
      <c r="P82" s="9" t="n">
        <v>0.12</v>
      </c>
      <c r="Q82" s="58" t="n">
        <f aca="false">TRIMMEAN(B82:P82,2/COUNT(B82:P82))</f>
        <v>0.0125</v>
      </c>
    </row>
    <row r="83" customFormat="false" ht="15.75" hidden="false" customHeight="true" outlineLevel="0" collapsed="false">
      <c r="A83" s="59" t="s">
        <v>227</v>
      </c>
      <c r="B83" s="9"/>
      <c r="C83" s="9" t="n">
        <v>-0.42</v>
      </c>
      <c r="D83" s="9" t="n">
        <v>-0.35</v>
      </c>
      <c r="E83" s="9" t="n">
        <v>-0.14</v>
      </c>
      <c r="F83" s="9" t="n">
        <v>0.3</v>
      </c>
      <c r="G83" s="9"/>
      <c r="H83" s="9" t="n">
        <v>0.19</v>
      </c>
      <c r="I83" s="9" t="n">
        <v>-0.28</v>
      </c>
      <c r="J83" s="9"/>
      <c r="K83" s="9" t="n">
        <v>-0.12</v>
      </c>
      <c r="L83" s="9"/>
      <c r="M83" s="9"/>
      <c r="N83" s="9" t="n">
        <v>0.71</v>
      </c>
      <c r="O83" s="9" t="n">
        <v>0.09</v>
      </c>
      <c r="P83" s="9" t="n">
        <v>-0.78</v>
      </c>
      <c r="Q83" s="58" t="n">
        <f aca="false">TRIMMEAN(B83:P83,2/COUNT(B83:P83))</f>
        <v>-0.09125</v>
      </c>
    </row>
    <row r="84" customFormat="false" ht="15.75" hidden="false" customHeight="true" outlineLevel="0" collapsed="false">
      <c r="A84" s="57" t="s">
        <v>228</v>
      </c>
      <c r="B84" s="9" t="n">
        <v>0.66</v>
      </c>
      <c r="C84" s="9" t="n">
        <v>-0.29</v>
      </c>
      <c r="D84" s="9"/>
      <c r="E84" s="9" t="n">
        <v>0.32</v>
      </c>
      <c r="F84" s="9" t="n">
        <v>0.67</v>
      </c>
      <c r="G84" s="9" t="n">
        <v>-0.14</v>
      </c>
      <c r="H84" s="9"/>
      <c r="I84" s="9"/>
      <c r="J84" s="9"/>
      <c r="K84" s="9" t="n">
        <v>-0.08</v>
      </c>
      <c r="L84" s="9" t="n">
        <v>-0.31</v>
      </c>
      <c r="M84" s="9"/>
      <c r="N84" s="9"/>
      <c r="O84" s="9"/>
      <c r="P84" s="9"/>
      <c r="Q84" s="58" t="n">
        <f aca="false">TRIMMEAN(B84:P84,2/COUNT(B84:P84))</f>
        <v>0.094</v>
      </c>
    </row>
    <row r="85" customFormat="false" ht="15.75" hidden="false" customHeight="true" outlineLevel="0" collapsed="false">
      <c r="A85" s="57" t="s">
        <v>229</v>
      </c>
      <c r="B85" s="9" t="n">
        <v>-0.2</v>
      </c>
      <c r="C85" s="9"/>
      <c r="D85" s="9" t="n">
        <v>-0.35</v>
      </c>
      <c r="E85" s="9" t="n">
        <v>-0.02</v>
      </c>
      <c r="F85" s="9" t="n">
        <v>0.17</v>
      </c>
      <c r="G85" s="9" t="n">
        <v>-0.31</v>
      </c>
      <c r="H85" s="9"/>
      <c r="I85" s="9"/>
      <c r="J85" s="9" t="n">
        <v>0.48</v>
      </c>
      <c r="K85" s="9" t="n">
        <v>-1</v>
      </c>
      <c r="L85" s="9" t="n">
        <v>-0.81</v>
      </c>
      <c r="M85" s="9" t="n">
        <v>-0.77</v>
      </c>
      <c r="N85" s="9"/>
      <c r="O85" s="9"/>
      <c r="P85" s="9"/>
      <c r="Q85" s="58" t="n">
        <f aca="false">TRIMMEAN(B85:P85,2/COUNT(B85:P85))</f>
        <v>-0.327142857142857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-0.81</v>
      </c>
      <c r="D87" s="9"/>
      <c r="E87" s="9" t="n">
        <v>-0.57</v>
      </c>
      <c r="F87" s="9"/>
      <c r="G87" s="9"/>
      <c r="H87" s="9" t="n">
        <v>0.1</v>
      </c>
      <c r="I87" s="9"/>
      <c r="J87" s="9"/>
      <c r="K87" s="9" t="n">
        <v>0.21</v>
      </c>
      <c r="L87" s="9" t="n">
        <v>-0.77</v>
      </c>
      <c r="M87" s="9" t="n">
        <v>0.41</v>
      </c>
      <c r="N87" s="9" t="n">
        <v>0.31</v>
      </c>
      <c r="O87" s="9"/>
      <c r="P87" s="9"/>
      <c r="Q87" s="58" t="n">
        <f aca="false">TRIMMEAN(B87:P87,2/COUNT(B87:P87))</f>
        <v>-0.144</v>
      </c>
    </row>
    <row r="88" customFormat="false" ht="15.75" hidden="false" customHeight="true" outlineLevel="0" collapsed="false">
      <c r="A88" s="59" t="s">
        <v>232</v>
      </c>
      <c r="B88" s="9"/>
      <c r="C88" s="9" t="n">
        <v>-0.19</v>
      </c>
      <c r="D88" s="9"/>
      <c r="E88" s="9" t="n">
        <v>-0.57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0.58</v>
      </c>
      <c r="C89" s="9" t="n">
        <v>0.22</v>
      </c>
      <c r="D89" s="9" t="n">
        <v>0.58</v>
      </c>
      <c r="E89" s="9"/>
      <c r="F89" s="9" t="n">
        <v>0.73</v>
      </c>
      <c r="G89" s="9" t="n">
        <v>0.11</v>
      </c>
      <c r="H89" s="9" t="n">
        <v>0.63</v>
      </c>
      <c r="I89" s="9" t="n">
        <v>-0.84</v>
      </c>
      <c r="J89" s="9" t="n">
        <v>0.32</v>
      </c>
      <c r="K89" s="9"/>
      <c r="L89" s="9" t="n">
        <v>0.01</v>
      </c>
      <c r="M89" s="9" t="n">
        <v>1.97</v>
      </c>
      <c r="N89" s="9"/>
      <c r="O89" s="9" t="n">
        <v>1.26</v>
      </c>
      <c r="P89" s="9" t="n">
        <v>-0.33</v>
      </c>
      <c r="Q89" s="58" t="n">
        <f aca="false">TRIMMEAN(B89:P89,2/COUNT(B89:P89))</f>
        <v>0.411</v>
      </c>
    </row>
    <row r="90" customFormat="false" ht="15.75" hidden="false" customHeight="true" outlineLevel="0" collapsed="false">
      <c r="A90" s="59" t="s">
        <v>234</v>
      </c>
      <c r="B90" s="9"/>
      <c r="C90" s="9" t="n">
        <v>0.5</v>
      </c>
      <c r="D90" s="9"/>
      <c r="E90" s="9" t="n">
        <v>0.62</v>
      </c>
      <c r="F90" s="9" t="n">
        <v>0.95</v>
      </c>
      <c r="G90" s="9"/>
      <c r="H90" s="9"/>
      <c r="I90" s="9" t="n">
        <v>-2.21</v>
      </c>
      <c r="J90" s="9"/>
      <c r="K90" s="9" t="n">
        <v>-0.14</v>
      </c>
      <c r="L90" s="9" t="n">
        <v>0.92</v>
      </c>
      <c r="M90" s="9" t="n">
        <v>-0.24</v>
      </c>
      <c r="N90" s="9" t="n">
        <v>-1.19</v>
      </c>
      <c r="O90" s="9"/>
      <c r="P90" s="9"/>
      <c r="Q90" s="58" t="n">
        <f aca="false">TRIMMEAN(B90:P90,2/COUNT(B90:P90))</f>
        <v>0.0783333333333334</v>
      </c>
    </row>
    <row r="91" customFormat="false" ht="15.75" hidden="false" customHeight="true" outlineLevel="0" collapsed="false">
      <c r="A91" s="57" t="s">
        <v>235</v>
      </c>
      <c r="B91" s="9" t="n">
        <v>0.35</v>
      </c>
      <c r="C91" s="9" t="n">
        <v>0.54</v>
      </c>
      <c r="D91" s="9" t="n">
        <v>-0.08</v>
      </c>
      <c r="E91" s="9"/>
      <c r="F91" s="9" t="n">
        <v>-0.3</v>
      </c>
      <c r="G91" s="9" t="n">
        <v>-0.87</v>
      </c>
      <c r="H91" s="9"/>
      <c r="I91" s="9" t="n">
        <v>0.22</v>
      </c>
      <c r="J91" s="9" t="n">
        <v>0.27</v>
      </c>
      <c r="K91" s="9"/>
      <c r="L91" s="9" t="n">
        <v>0.02</v>
      </c>
      <c r="M91" s="9" t="n">
        <v>-0.6</v>
      </c>
      <c r="N91" s="9" t="n">
        <v>1.17</v>
      </c>
      <c r="O91" s="9"/>
      <c r="P91" s="9" t="n">
        <v>0.11</v>
      </c>
      <c r="Q91" s="58" t="n">
        <f aca="false">TRIMMEAN(B91:P91,2/COUNT(B91:P91))</f>
        <v>0.0588888888888889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1.1</v>
      </c>
      <c r="E92" s="9"/>
      <c r="F92" s="9"/>
      <c r="G92" s="9"/>
      <c r="H92" s="9" t="n">
        <v>0.75</v>
      </c>
      <c r="I92" s="9" t="n">
        <v>-0.6</v>
      </c>
      <c r="J92" s="9"/>
      <c r="K92" s="9"/>
      <c r="L92" s="9" t="n">
        <v>0.45</v>
      </c>
      <c r="M92" s="9" t="n">
        <v>-0.21</v>
      </c>
      <c r="N92" s="9"/>
      <c r="O92" s="9"/>
      <c r="P92" s="9"/>
      <c r="Q92" s="58" t="n">
        <f aca="false">TRIMMEAN(B92:P92,2/COUNT(B92:P92))</f>
        <v>0.33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-0.5</v>
      </c>
      <c r="E94" s="9"/>
      <c r="F94" s="9"/>
      <c r="G94" s="9" t="n">
        <v>0.49</v>
      </c>
      <c r="H94" s="9"/>
      <c r="I94" s="9" t="n">
        <v>0.85</v>
      </c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0.49</v>
      </c>
    </row>
    <row r="95" customFormat="false" ht="15.75" hidden="false" customHeight="true" outlineLevel="0" collapsed="false">
      <c r="A95" s="59" t="s">
        <v>239</v>
      </c>
      <c r="B95" s="9" t="n">
        <v>0.69</v>
      </c>
      <c r="C95" s="9"/>
      <c r="D95" s="9" t="n">
        <v>0.83</v>
      </c>
      <c r="E95" s="9"/>
      <c r="F95" s="9" t="n">
        <v>-0.35</v>
      </c>
      <c r="G95" s="9" t="n">
        <v>-0.48</v>
      </c>
      <c r="H95" s="9"/>
      <c r="I95" s="9" t="n">
        <v>-0.62</v>
      </c>
      <c r="J95" s="9" t="n">
        <v>-0.57</v>
      </c>
      <c r="K95" s="9"/>
      <c r="L95" s="9"/>
      <c r="M95" s="9" t="n">
        <v>0.83</v>
      </c>
      <c r="N95" s="9"/>
      <c r="O95" s="9" t="n">
        <v>-0.99</v>
      </c>
      <c r="P95" s="9"/>
      <c r="Q95" s="58" t="n">
        <f aca="false">TRIMMEAN(B95:P95,2/COUNT(B95:P95))</f>
        <v>-0.0833333333333333</v>
      </c>
    </row>
    <row r="96" customFormat="false" ht="15.75" hidden="false" customHeight="true" outlineLevel="0" collapsed="false">
      <c r="A96" s="57" t="s">
        <v>240</v>
      </c>
      <c r="B96" s="9" t="n">
        <v>0.11</v>
      </c>
      <c r="C96" s="9" t="n">
        <v>0.02</v>
      </c>
      <c r="D96" s="9"/>
      <c r="E96" s="9" t="n">
        <v>-0.73</v>
      </c>
      <c r="F96" s="9" t="n">
        <v>-0.73</v>
      </c>
      <c r="G96" s="9" t="n">
        <v>-0.2</v>
      </c>
      <c r="H96" s="9"/>
      <c r="I96" s="9" t="n">
        <v>-0.68</v>
      </c>
      <c r="J96" s="9" t="n">
        <v>-0.71</v>
      </c>
      <c r="K96" s="9" t="n">
        <v>-0.28</v>
      </c>
      <c r="L96" s="9" t="n">
        <v>-0.55</v>
      </c>
      <c r="M96" s="9"/>
      <c r="N96" s="9"/>
      <c r="O96" s="9"/>
      <c r="P96" s="9"/>
      <c r="Q96" s="58" t="n">
        <f aca="false">TRIMMEAN(B96:P96,2/COUNT(B96:P96))</f>
        <v>-0.447142857142857</v>
      </c>
    </row>
    <row r="97" customFormat="false" ht="15.75" hidden="false" customHeight="true" outlineLevel="0" collapsed="false">
      <c r="A97" s="59" t="s">
        <v>241</v>
      </c>
      <c r="B97" s="9"/>
      <c r="C97" s="9" t="n">
        <v>0.12</v>
      </c>
      <c r="D97" s="9" t="n">
        <v>-0.44</v>
      </c>
      <c r="E97" s="9" t="n">
        <v>0.16</v>
      </c>
      <c r="F97" s="9" t="n">
        <v>0.04</v>
      </c>
      <c r="G97" s="9"/>
      <c r="H97" s="9" t="n">
        <v>-0.65</v>
      </c>
      <c r="I97" s="9"/>
      <c r="J97" s="9"/>
      <c r="K97" s="9" t="n">
        <v>0.04</v>
      </c>
      <c r="L97" s="9"/>
      <c r="M97" s="9" t="n">
        <v>-0.61</v>
      </c>
      <c r="N97" s="9" t="n">
        <v>-0.55</v>
      </c>
      <c r="O97" s="9" t="n">
        <v>-0.15</v>
      </c>
      <c r="P97" s="9"/>
      <c r="Q97" s="58" t="n">
        <f aca="false">TRIMMEAN(B97:P97,2/COUNT(B97:P97))</f>
        <v>-0.221428571428571</v>
      </c>
    </row>
    <row r="98" customFormat="false" ht="15.75" hidden="false" customHeight="true" outlineLevel="0" collapsed="false">
      <c r="A98" s="59" t="s">
        <v>242</v>
      </c>
      <c r="B98" s="9"/>
      <c r="C98" s="9" t="n">
        <v>-0.12</v>
      </c>
      <c r="D98" s="9"/>
      <c r="E98" s="9" t="n">
        <v>-0.5</v>
      </c>
      <c r="F98" s="9"/>
      <c r="G98" s="9"/>
      <c r="H98" s="9"/>
      <c r="I98" s="9" t="n">
        <v>-0.61</v>
      </c>
      <c r="J98" s="9"/>
      <c r="K98" s="9" t="n">
        <v>0.47</v>
      </c>
      <c r="L98" s="9" t="n">
        <v>0.22</v>
      </c>
      <c r="M98" s="9" t="n">
        <v>0.39</v>
      </c>
      <c r="N98" s="9" t="n">
        <v>-0.15</v>
      </c>
      <c r="O98" s="9"/>
      <c r="P98" s="9"/>
      <c r="Q98" s="58" t="n">
        <f aca="false">TRIMMEAN(B98:P98,2/COUNT(B98:P98))</f>
        <v>-0.032</v>
      </c>
    </row>
    <row r="99" customFormat="false" ht="15.75" hidden="false" customHeight="true" outlineLevel="0" collapsed="false">
      <c r="A99" s="57" t="s">
        <v>243</v>
      </c>
      <c r="B99" s="9"/>
      <c r="C99" s="9" t="n">
        <v>-0.29</v>
      </c>
      <c r="D99" s="9" t="n">
        <v>1.13</v>
      </c>
      <c r="E99" s="9" t="n">
        <v>-1.89</v>
      </c>
      <c r="F99" s="9" t="n">
        <v>-0.52</v>
      </c>
      <c r="G99" s="9"/>
      <c r="H99" s="9" t="n">
        <v>-0.18</v>
      </c>
      <c r="I99" s="9"/>
      <c r="J99" s="9"/>
      <c r="K99" s="9" t="n">
        <v>1.03</v>
      </c>
      <c r="L99" s="9" t="n">
        <v>-0.09</v>
      </c>
      <c r="M99" s="9" t="n">
        <v>0.77</v>
      </c>
      <c r="N99" s="9" t="n">
        <v>-0.45</v>
      </c>
      <c r="O99" s="9" t="n">
        <v>-1.11</v>
      </c>
      <c r="P99" s="9" t="n">
        <v>0.05</v>
      </c>
      <c r="Q99" s="58" t="n">
        <f aca="false">TRIMMEAN(B99:P99,2/COUNT(B99:P99))</f>
        <v>-0.0877777777777778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 t="n">
        <v>-0.26</v>
      </c>
      <c r="F100" s="9" t="n">
        <v>0.15</v>
      </c>
      <c r="G100" s="9" t="n">
        <v>-0.65</v>
      </c>
      <c r="H100" s="9"/>
      <c r="I100" s="9"/>
      <c r="J100" s="9" t="n">
        <v>0.03</v>
      </c>
      <c r="K100" s="9" t="n">
        <v>-0.05</v>
      </c>
      <c r="L100" s="9" t="n">
        <v>-0.02</v>
      </c>
      <c r="M100" s="9"/>
      <c r="N100" s="9"/>
      <c r="O100" s="9"/>
      <c r="P100" s="9"/>
      <c r="Q100" s="58" t="n">
        <f aca="false">TRIMMEAN(B100:P100,2/COUNT(B100:P100))</f>
        <v>-0.075</v>
      </c>
    </row>
    <row r="101" customFormat="false" ht="15.75" hidden="false" customHeight="true" outlineLevel="0" collapsed="false">
      <c r="A101" s="57" t="s">
        <v>245</v>
      </c>
      <c r="B101" s="9" t="n">
        <v>-0.54</v>
      </c>
      <c r="C101" s="9"/>
      <c r="D101" s="9" t="n">
        <v>0</v>
      </c>
      <c r="E101" s="9" t="n">
        <v>-0.51</v>
      </c>
      <c r="F101" s="9" t="n">
        <v>0.03</v>
      </c>
      <c r="G101" s="9" t="n">
        <v>-0.21</v>
      </c>
      <c r="H101" s="9"/>
      <c r="I101" s="9"/>
      <c r="J101" s="9" t="n">
        <v>-0.13</v>
      </c>
      <c r="K101" s="9" t="n">
        <v>-1.53</v>
      </c>
      <c r="L101" s="9" t="n">
        <v>-0.8</v>
      </c>
      <c r="M101" s="9" t="n">
        <v>-0.79</v>
      </c>
      <c r="N101" s="9"/>
      <c r="O101" s="9"/>
      <c r="P101" s="9"/>
      <c r="Q101" s="58" t="n">
        <f aca="false">TRIMMEAN(B101:P101,2/COUNT(B101:P101))</f>
        <v>-0.425714285714286</v>
      </c>
    </row>
    <row r="102" customFormat="false" ht="15.75" hidden="false" customHeight="true" outlineLevel="0" collapsed="false">
      <c r="A102" s="59" t="s">
        <v>246</v>
      </c>
      <c r="B102" s="9"/>
      <c r="C102" s="9" t="n">
        <v>-0.54</v>
      </c>
      <c r="D102" s="9"/>
      <c r="E102" s="9" t="n">
        <v>1.06</v>
      </c>
      <c r="F102" s="9" t="n">
        <v>-0.57</v>
      </c>
      <c r="G102" s="9"/>
      <c r="H102" s="9" t="n">
        <v>0.08</v>
      </c>
      <c r="I102" s="9"/>
      <c r="J102" s="9"/>
      <c r="K102" s="9" t="n">
        <v>-0.39</v>
      </c>
      <c r="L102" s="9" t="n">
        <v>0.35</v>
      </c>
      <c r="M102" s="9" t="n">
        <v>-0.1</v>
      </c>
      <c r="N102" s="9" t="n">
        <v>-0.42</v>
      </c>
      <c r="O102" s="9" t="n">
        <v>1.05</v>
      </c>
      <c r="P102" s="9" t="n">
        <v>-0.5</v>
      </c>
      <c r="Q102" s="58" t="n">
        <f aca="false">TRIMMEAN(B102:P102,2/COUNT(B102:P102))</f>
        <v>-0.05875</v>
      </c>
    </row>
    <row r="103" customFormat="false" ht="15.75" hidden="false" customHeight="true" outlineLevel="0" collapsed="false">
      <c r="A103" s="59" t="s">
        <v>247</v>
      </c>
      <c r="B103" s="9" t="n">
        <v>-0.02</v>
      </c>
      <c r="C103" s="9" t="n">
        <v>0.23</v>
      </c>
      <c r="D103" s="9" t="n">
        <v>-0.26</v>
      </c>
      <c r="E103" s="9" t="n">
        <v>-0.38</v>
      </c>
      <c r="F103" s="9" t="n">
        <v>-0.28</v>
      </c>
      <c r="G103" s="9" t="n">
        <v>-1.62</v>
      </c>
      <c r="H103" s="9"/>
      <c r="I103" s="9" t="n">
        <v>-0.02</v>
      </c>
      <c r="J103" s="9" t="n">
        <v>0.22</v>
      </c>
      <c r="K103" s="9" t="n">
        <v>0.47</v>
      </c>
      <c r="L103" s="9"/>
      <c r="M103" s="9" t="n">
        <v>-0.03</v>
      </c>
      <c r="N103" s="9"/>
      <c r="O103" s="9" t="n">
        <v>0</v>
      </c>
      <c r="P103" s="9" t="n">
        <v>0.55</v>
      </c>
      <c r="Q103" s="58" t="n">
        <f aca="false">TRIMMEAN(B103:P103,2/COUNT(B103:P103))</f>
        <v>-0.00700000000000001</v>
      </c>
    </row>
    <row r="104" customFormat="false" ht="15.75" hidden="false" customHeight="true" outlineLevel="0" collapsed="false">
      <c r="A104" s="59" t="s">
        <v>248</v>
      </c>
      <c r="B104" s="9"/>
      <c r="C104" s="9" t="n">
        <v>-0.25</v>
      </c>
      <c r="D104" s="9"/>
      <c r="E104" s="9" t="n">
        <v>-0.11</v>
      </c>
      <c r="F104" s="9" t="n">
        <v>-0.43</v>
      </c>
      <c r="G104" s="9"/>
      <c r="H104" s="9" t="n">
        <v>-1.22</v>
      </c>
      <c r="I104" s="9"/>
      <c r="J104" s="9"/>
      <c r="K104" s="9" t="n">
        <v>0.12</v>
      </c>
      <c r="L104" s="9" t="n">
        <v>-0.04</v>
      </c>
      <c r="M104" s="9"/>
      <c r="N104" s="9" t="n">
        <v>-0.1</v>
      </c>
      <c r="O104" s="9" t="n">
        <v>-0.28</v>
      </c>
      <c r="P104" s="9" t="n">
        <v>-0.06</v>
      </c>
      <c r="Q104" s="58" t="n">
        <f aca="false">TRIMMEAN(B104:P104,2/COUNT(B104:P104))</f>
        <v>-0.181428571428571</v>
      </c>
    </row>
    <row r="105" customFormat="false" ht="15.75" hidden="false" customHeight="true" outlineLevel="0" collapsed="false">
      <c r="A105" s="59" t="s">
        <v>249</v>
      </c>
      <c r="B105" s="9"/>
      <c r="C105" s="9" t="n">
        <v>-0.53</v>
      </c>
      <c r="D105" s="9" t="n">
        <v>0.17</v>
      </c>
      <c r="E105" s="9" t="n">
        <v>0.66</v>
      </c>
      <c r="F105" s="9" t="n">
        <v>0.49</v>
      </c>
      <c r="G105" s="9"/>
      <c r="H105" s="9" t="n">
        <v>-0.53</v>
      </c>
      <c r="I105" s="9"/>
      <c r="J105" s="9"/>
      <c r="K105" s="9" t="n">
        <v>-0.13</v>
      </c>
      <c r="L105" s="9" t="n">
        <v>-0.34</v>
      </c>
      <c r="M105" s="9" t="n">
        <v>-0.48</v>
      </c>
      <c r="N105" s="9" t="n">
        <v>0.75</v>
      </c>
      <c r="O105" s="9" t="n">
        <v>0.54</v>
      </c>
      <c r="P105" s="9" t="n">
        <v>-0.19</v>
      </c>
      <c r="Q105" s="58" t="n">
        <f aca="false">TRIMMEAN(B105:P105,2/COUNT(B105:P105))</f>
        <v>0.0211111111111111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 t="n">
        <v>-0.44</v>
      </c>
      <c r="F106" s="9" t="n">
        <v>0.15</v>
      </c>
      <c r="G106" s="9"/>
      <c r="H106" s="9" t="n">
        <v>0.11</v>
      </c>
      <c r="I106" s="9"/>
      <c r="J106" s="9"/>
      <c r="K106" s="9"/>
      <c r="L106" s="9" t="n">
        <v>-0.42</v>
      </c>
      <c r="M106" s="9" t="n">
        <v>-1.93</v>
      </c>
      <c r="N106" s="9" t="n">
        <v>-1.22</v>
      </c>
      <c r="O106" s="9"/>
      <c r="P106" s="9"/>
      <c r="Q106" s="58" t="n">
        <f aca="false">TRIMMEAN(B106:P106,2/COUNT(B106:P106))</f>
        <v>-0.4925</v>
      </c>
    </row>
    <row r="107" customFormat="false" ht="15.75" hidden="false" customHeight="true" outlineLevel="0" collapsed="false">
      <c r="A107" s="59" t="s">
        <v>251</v>
      </c>
      <c r="B107" s="9" t="n">
        <v>-0.04</v>
      </c>
      <c r="C107" s="9" t="n">
        <v>-0.08</v>
      </c>
      <c r="D107" s="9" t="n">
        <v>0.52</v>
      </c>
      <c r="E107" s="9" t="n">
        <v>-0.35</v>
      </c>
      <c r="F107" s="9" t="n">
        <v>-0.93</v>
      </c>
      <c r="G107" s="9" t="n">
        <v>0.09</v>
      </c>
      <c r="H107" s="9" t="n">
        <v>-0.14</v>
      </c>
      <c r="I107" s="9"/>
      <c r="J107" s="9" t="n">
        <v>0.43</v>
      </c>
      <c r="K107" s="9" t="n">
        <v>-0.18</v>
      </c>
      <c r="L107" s="9" t="n">
        <v>0.52</v>
      </c>
      <c r="M107" s="9"/>
      <c r="N107" s="9" t="n">
        <v>-0.72</v>
      </c>
      <c r="O107" s="9" t="n">
        <v>-0.59</v>
      </c>
      <c r="P107" s="9" t="n">
        <v>-0.08</v>
      </c>
      <c r="Q107" s="58" t="n">
        <f aca="false">TRIMMEAN(B107:P107,2/COUNT(B107:P107))</f>
        <v>-0.103636363636364</v>
      </c>
    </row>
    <row r="108" customFormat="false" ht="15.75" hidden="false" customHeight="true" outlineLevel="0" collapsed="false">
      <c r="A108" s="57" t="s">
        <v>252</v>
      </c>
      <c r="B108" s="9" t="n">
        <v>0.12</v>
      </c>
      <c r="C108" s="9" t="n">
        <v>0.75</v>
      </c>
      <c r="D108" s="9" t="n">
        <v>-0.1</v>
      </c>
      <c r="E108" s="9"/>
      <c r="F108" s="9"/>
      <c r="G108" s="9" t="n">
        <v>0.27</v>
      </c>
      <c r="H108" s="9" t="n">
        <v>-0.03</v>
      </c>
      <c r="I108" s="9" t="n">
        <v>-0.38</v>
      </c>
      <c r="J108" s="9" t="n">
        <v>0.55</v>
      </c>
      <c r="K108" s="9"/>
      <c r="L108" s="9" t="n">
        <v>0.63</v>
      </c>
      <c r="M108" s="9" t="n">
        <v>-0.09</v>
      </c>
      <c r="N108" s="9"/>
      <c r="O108" s="9" t="n">
        <v>-0.35</v>
      </c>
      <c r="P108" s="9"/>
      <c r="Q108" s="58" t="n">
        <f aca="false">TRIMMEAN(B108:P108,2/COUNT(B108:P108))</f>
        <v>0.125</v>
      </c>
    </row>
    <row r="109" customFormat="false" ht="15.75" hidden="false" customHeight="true" outlineLevel="0" collapsed="false">
      <c r="A109" s="57" t="s">
        <v>253</v>
      </c>
      <c r="B109" s="9"/>
      <c r="C109" s="9" t="n">
        <v>0</v>
      </c>
      <c r="D109" s="9" t="n">
        <v>-0.12</v>
      </c>
      <c r="E109" s="9" t="n">
        <v>0.09</v>
      </c>
      <c r="F109" s="9" t="n">
        <v>0.99</v>
      </c>
      <c r="G109" s="9"/>
      <c r="H109" s="9"/>
      <c r="I109" s="9"/>
      <c r="J109" s="9"/>
      <c r="K109" s="9"/>
      <c r="L109" s="9" t="n">
        <v>-0.42</v>
      </c>
      <c r="M109" s="9" t="n">
        <v>-1.09</v>
      </c>
      <c r="N109" s="9" t="n">
        <v>-0.03</v>
      </c>
      <c r="O109" s="9" t="n">
        <v>0.4</v>
      </c>
      <c r="P109" s="9" t="n">
        <v>0.09</v>
      </c>
      <c r="Q109" s="58" t="n">
        <f aca="false">TRIMMEAN(B109:P109,2/COUNT(B109:P109))</f>
        <v>0.00142857142857143</v>
      </c>
    </row>
    <row r="110" customFormat="false" ht="15.75" hidden="false" customHeight="true" outlineLevel="0" collapsed="false">
      <c r="A110" s="59" t="s">
        <v>254</v>
      </c>
      <c r="B110" s="9" t="n">
        <v>0.5</v>
      </c>
      <c r="C110" s="9"/>
      <c r="D110" s="9" t="n">
        <v>-0.66</v>
      </c>
      <c r="E110" s="9"/>
      <c r="F110" s="9" t="n">
        <v>-0.47</v>
      </c>
      <c r="G110" s="9"/>
      <c r="H110" s="9" t="n">
        <v>0.5</v>
      </c>
      <c r="I110" s="9"/>
      <c r="J110" s="9"/>
      <c r="K110" s="9" t="n">
        <v>0.97</v>
      </c>
      <c r="L110" s="9" t="n">
        <v>-0.03</v>
      </c>
      <c r="M110" s="9" t="n">
        <v>-0.19</v>
      </c>
      <c r="N110" s="9" t="n">
        <v>-0.85</v>
      </c>
      <c r="O110" s="9"/>
      <c r="P110" s="9"/>
      <c r="Q110" s="58" t="n">
        <f aca="false">TRIMMEAN(B110:P110,2/COUNT(B110:P110))</f>
        <v>-0.0583333333333333</v>
      </c>
    </row>
    <row r="111" customFormat="false" ht="15.75" hidden="false" customHeight="true" outlineLevel="0" collapsed="false">
      <c r="A111" s="57" t="s">
        <v>255</v>
      </c>
      <c r="B111" s="9"/>
      <c r="C111" s="9" t="n">
        <v>0.1</v>
      </c>
      <c r="D111" s="9" t="n">
        <v>-0.38</v>
      </c>
      <c r="E111" s="9" t="n">
        <v>-0.94</v>
      </c>
      <c r="F111" s="9" t="n">
        <v>0.18</v>
      </c>
      <c r="G111" s="9" t="n">
        <v>-1.34</v>
      </c>
      <c r="H111" s="9" t="n">
        <v>0.17</v>
      </c>
      <c r="I111" s="9" t="n">
        <v>-0.15</v>
      </c>
      <c r="J111" s="9"/>
      <c r="K111" s="9"/>
      <c r="L111" s="9" t="n">
        <v>-0.22</v>
      </c>
      <c r="M111" s="9" t="n">
        <v>0.1</v>
      </c>
      <c r="N111" s="9" t="n">
        <v>0.05</v>
      </c>
      <c r="O111" s="9" t="n">
        <v>-1.33</v>
      </c>
      <c r="P111" s="9" t="n">
        <v>-0.11</v>
      </c>
      <c r="Q111" s="58" t="n">
        <f aca="false">TRIMMEAN(B111:P111,2/COUNT(B111:P111))</f>
        <v>-0.271</v>
      </c>
    </row>
    <row r="112" customFormat="false" ht="15.75" hidden="false" customHeight="true" outlineLevel="0" collapsed="false">
      <c r="A112" s="57" t="s">
        <v>256</v>
      </c>
      <c r="B112" s="9" t="n">
        <v>-0.7</v>
      </c>
      <c r="C112" s="9" t="n">
        <v>-0.22</v>
      </c>
      <c r="D112" s="9"/>
      <c r="E112" s="9" t="n">
        <v>-0.38</v>
      </c>
      <c r="F112" s="9" t="n">
        <v>0.36</v>
      </c>
      <c r="G112" s="9" t="n">
        <v>-0.75</v>
      </c>
      <c r="H112" s="9"/>
      <c r="I112" s="9"/>
      <c r="J112" s="9" t="n">
        <v>-0.9</v>
      </c>
      <c r="K112" s="9" t="n">
        <v>-0.16</v>
      </c>
      <c r="L112" s="9" t="n">
        <v>0.01</v>
      </c>
      <c r="M112" s="9" t="n">
        <v>-1.6</v>
      </c>
      <c r="N112" s="9"/>
      <c r="O112" s="9"/>
      <c r="P112" s="9"/>
      <c r="Q112" s="58" t="n">
        <f aca="false">TRIMMEAN(B112:P112,2/COUNT(B112:P112))</f>
        <v>-0.442857142857143</v>
      </c>
    </row>
    <row r="113" customFormat="false" ht="15.75" hidden="false" customHeight="true" outlineLevel="0" collapsed="false">
      <c r="A113" s="59" t="s">
        <v>257</v>
      </c>
      <c r="B113" s="9"/>
      <c r="C113" s="9" t="n">
        <v>0.44</v>
      </c>
      <c r="D113" s="9"/>
      <c r="E113" s="9" t="n">
        <v>-1.27</v>
      </c>
      <c r="F113" s="9" t="n">
        <v>0.29</v>
      </c>
      <c r="G113" s="9"/>
      <c r="H113" s="9" t="n">
        <v>0.09</v>
      </c>
      <c r="I113" s="9"/>
      <c r="J113" s="9"/>
      <c r="K113" s="9" t="n">
        <v>-0.29</v>
      </c>
      <c r="L113" s="9" t="n">
        <v>0.56</v>
      </c>
      <c r="M113" s="9" t="n">
        <v>0.37</v>
      </c>
      <c r="N113" s="9" t="n">
        <v>-0.16</v>
      </c>
      <c r="O113" s="9" t="n">
        <v>0.66</v>
      </c>
      <c r="P113" s="9" t="n">
        <v>0.17</v>
      </c>
      <c r="Q113" s="58" t="n">
        <f aca="false">TRIMMEAN(B113:P113,2/COUNT(B113:P113))</f>
        <v>0.18375</v>
      </c>
    </row>
    <row r="114" customFormat="false" ht="15.75" hidden="false" customHeight="true" outlineLevel="0" collapsed="false">
      <c r="A114" s="57" t="s">
        <v>258</v>
      </c>
      <c r="B114" s="9" t="n">
        <v>-0.44</v>
      </c>
      <c r="C114" s="9"/>
      <c r="D114" s="9" t="n">
        <v>0.63</v>
      </c>
      <c r="E114" s="9"/>
      <c r="F114" s="9"/>
      <c r="G114" s="9"/>
      <c r="H114" s="9" t="n">
        <v>-0.4</v>
      </c>
      <c r="I114" s="9" t="n">
        <v>0.44</v>
      </c>
      <c r="J114" s="9" t="n">
        <v>0.65</v>
      </c>
      <c r="K114" s="9"/>
      <c r="L114" s="9" t="n">
        <v>0.61</v>
      </c>
      <c r="M114" s="9" t="n">
        <v>-0.53</v>
      </c>
      <c r="N114" s="9"/>
      <c r="O114" s="9"/>
      <c r="P114" s="9"/>
      <c r="Q114" s="58" t="n">
        <f aca="false">TRIMMEAN(B114:P114,2/COUNT(B114:P114))</f>
        <v>0.168</v>
      </c>
    </row>
    <row r="115" customFormat="false" ht="15.75" hidden="false" customHeight="true" outlineLevel="0" collapsed="false">
      <c r="A115" s="57" t="s">
        <v>259</v>
      </c>
      <c r="B115" s="9"/>
      <c r="C115" s="9" t="n">
        <v>-0.16</v>
      </c>
      <c r="D115" s="9"/>
      <c r="E115" s="9" t="n">
        <v>-0.25</v>
      </c>
      <c r="F115" s="9" t="n">
        <v>0.1</v>
      </c>
      <c r="G115" s="9" t="n">
        <v>0.11</v>
      </c>
      <c r="H115" s="9"/>
      <c r="I115" s="9"/>
      <c r="J115" s="9" t="n">
        <v>0.59</v>
      </c>
      <c r="K115" s="9" t="n">
        <v>-0.12</v>
      </c>
      <c r="L115" s="9" t="n">
        <v>0.95</v>
      </c>
      <c r="M115" s="9"/>
      <c r="N115" s="9" t="n">
        <v>-0.26</v>
      </c>
      <c r="O115" s="9" t="n">
        <v>0.48</v>
      </c>
      <c r="P115" s="9" t="n">
        <v>-0.62</v>
      </c>
      <c r="Q115" s="58" t="n">
        <f aca="false">TRIMMEAN(B115:P115,2/COUNT(B115:P115))</f>
        <v>0.06125</v>
      </c>
    </row>
    <row r="116" customFormat="false" ht="15.75" hidden="false" customHeight="true" outlineLevel="0" collapsed="false">
      <c r="A116" s="59" t="s">
        <v>260</v>
      </c>
      <c r="B116" s="9"/>
      <c r="C116" s="9" t="n">
        <v>0.75</v>
      </c>
      <c r="D116" s="9"/>
      <c r="E116" s="9" t="n">
        <v>0.86</v>
      </c>
      <c r="F116" s="9" t="n">
        <v>1.01</v>
      </c>
      <c r="G116" s="9"/>
      <c r="H116" s="9" t="n">
        <v>-0.14</v>
      </c>
      <c r="I116" s="9"/>
      <c r="J116" s="9"/>
      <c r="K116" s="9" t="n">
        <v>0.18</v>
      </c>
      <c r="L116" s="9" t="n">
        <v>1.31</v>
      </c>
      <c r="M116" s="9" t="n">
        <v>0.41</v>
      </c>
      <c r="N116" s="9" t="n">
        <v>0.38</v>
      </c>
      <c r="O116" s="9" t="n">
        <v>0.24</v>
      </c>
      <c r="P116" s="9" t="n">
        <v>-0.12</v>
      </c>
      <c r="Q116" s="58" t="n">
        <f aca="false">TRIMMEAN(B116:P116,2/COUNT(B116:P116))</f>
        <v>0.46375</v>
      </c>
    </row>
    <row r="117" customFormat="false" ht="15.75" hidden="false" customHeight="true" outlineLevel="0" collapsed="false">
      <c r="A117" s="57" t="s">
        <v>261</v>
      </c>
      <c r="B117" s="9" t="n">
        <v>-0.04</v>
      </c>
      <c r="C117" s="9" t="n">
        <v>0.99</v>
      </c>
      <c r="D117" s="9" t="n">
        <v>-0.54</v>
      </c>
      <c r="E117" s="9" t="n">
        <v>0.92</v>
      </c>
      <c r="F117" s="9" t="n">
        <v>0.18</v>
      </c>
      <c r="G117" s="9" t="n">
        <v>0.28</v>
      </c>
      <c r="H117" s="9"/>
      <c r="I117" s="9" t="n">
        <v>0.65</v>
      </c>
      <c r="J117" s="9" t="n">
        <v>-0.1</v>
      </c>
      <c r="K117" s="9" t="n">
        <v>0.57</v>
      </c>
      <c r="L117" s="9" t="n">
        <v>-0.09</v>
      </c>
      <c r="M117" s="9" t="n">
        <v>0.64</v>
      </c>
      <c r="N117" s="9" t="n">
        <v>0.01</v>
      </c>
      <c r="O117" s="9" t="n">
        <v>0.62</v>
      </c>
      <c r="P117" s="9" t="n">
        <v>0.12</v>
      </c>
      <c r="Q117" s="58" t="n">
        <f aca="false">TRIMMEAN(B117:P117,2/COUNT(B117:P117))</f>
        <v>0.313333333333333</v>
      </c>
    </row>
    <row r="118" customFormat="false" ht="15.75" hidden="false" customHeight="true" outlineLevel="0" collapsed="false">
      <c r="A118" s="59" t="s">
        <v>262</v>
      </c>
      <c r="B118" s="9"/>
      <c r="C118" s="9" t="n">
        <v>1.41</v>
      </c>
      <c r="D118" s="9" t="n">
        <v>0.04</v>
      </c>
      <c r="E118" s="9" t="n">
        <v>1.28</v>
      </c>
      <c r="F118" s="9" t="n">
        <v>0.04</v>
      </c>
      <c r="G118" s="9"/>
      <c r="H118" s="9" t="n">
        <v>0.42</v>
      </c>
      <c r="I118" s="9"/>
      <c r="J118" s="9"/>
      <c r="K118" s="9" t="n">
        <v>0.62</v>
      </c>
      <c r="L118" s="9" t="n">
        <v>0.59</v>
      </c>
      <c r="M118" s="9" t="n">
        <v>-0.65</v>
      </c>
      <c r="N118" s="9" t="n">
        <v>0.92</v>
      </c>
      <c r="O118" s="9" t="n">
        <v>-0.56</v>
      </c>
      <c r="P118" s="9" t="n">
        <v>-0.95</v>
      </c>
      <c r="Q118" s="58" t="n">
        <f aca="false">TRIMMEAN(B118:P118,2/COUNT(B118:P118))</f>
        <v>0.3</v>
      </c>
    </row>
    <row r="119" customFormat="false" ht="15.75" hidden="false" customHeight="true" outlineLevel="0" collapsed="false">
      <c r="A119" s="57" t="s">
        <v>263</v>
      </c>
      <c r="B119" s="9" t="n">
        <v>-0.63</v>
      </c>
      <c r="C119" s="9" t="n">
        <v>1.29</v>
      </c>
      <c r="D119" s="9"/>
      <c r="E119" s="9" t="n">
        <v>-0.62</v>
      </c>
      <c r="F119" s="9" t="n">
        <v>-0.51</v>
      </c>
      <c r="G119" s="9" t="n">
        <v>0.34</v>
      </c>
      <c r="H119" s="9"/>
      <c r="I119" s="9"/>
      <c r="J119" s="9" t="n">
        <v>-0.13</v>
      </c>
      <c r="K119" s="9" t="n">
        <v>-0.23</v>
      </c>
      <c r="L119" s="9" t="n">
        <v>0.17</v>
      </c>
      <c r="M119" s="9" t="n">
        <v>-1.07</v>
      </c>
      <c r="N119" s="9"/>
      <c r="O119" s="9"/>
      <c r="P119" s="9"/>
      <c r="Q119" s="58" t="n">
        <f aca="false">TRIMMEAN(B119:P119,2/COUNT(B119:P119))</f>
        <v>-0.23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 t="n">
        <v>-0.07</v>
      </c>
      <c r="I120" s="9" t="n">
        <v>0.68</v>
      </c>
      <c r="J120" s="9" t="n">
        <v>0.22</v>
      </c>
      <c r="K120" s="9"/>
      <c r="L120" s="9" t="n">
        <v>-0.25</v>
      </c>
      <c r="M120" s="9" t="n">
        <v>0.8</v>
      </c>
      <c r="N120" s="9" t="n">
        <v>-0.58</v>
      </c>
      <c r="O120" s="9" t="n">
        <v>0.17</v>
      </c>
      <c r="P120" s="9" t="n">
        <v>-0.25</v>
      </c>
      <c r="Q120" s="58" t="n">
        <f aca="false">TRIMMEAN(B120:P120,2/COUNT(B120:P120))</f>
        <v>0.0833333333333333</v>
      </c>
    </row>
    <row r="121" customFormat="false" ht="15.75" hidden="false" customHeight="true" outlineLevel="0" collapsed="false">
      <c r="A121" s="57" t="s">
        <v>265</v>
      </c>
      <c r="B121" s="9"/>
      <c r="C121" s="9" t="n">
        <v>-0.7</v>
      </c>
      <c r="D121" s="9" t="n">
        <v>-0.55</v>
      </c>
      <c r="E121" s="9" t="n">
        <v>-0.67</v>
      </c>
      <c r="F121" s="9" t="n">
        <v>-0.38</v>
      </c>
      <c r="G121" s="9" t="n">
        <v>1.48</v>
      </c>
      <c r="H121" s="9"/>
      <c r="I121" s="9"/>
      <c r="J121" s="9" t="n">
        <v>-0.11</v>
      </c>
      <c r="K121" s="9" t="n">
        <v>-0.06</v>
      </c>
      <c r="L121" s="9" t="n">
        <v>0.05</v>
      </c>
      <c r="M121" s="9" t="n">
        <v>0.55</v>
      </c>
      <c r="N121" s="9" t="n">
        <v>0.87</v>
      </c>
      <c r="O121" s="9"/>
      <c r="P121" s="9"/>
      <c r="Q121" s="58" t="n">
        <f aca="false">TRIMMEAN(B121:P121,2/COUNT(B121:P121))</f>
        <v>-0.0375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 t="n">
        <v>-0.3</v>
      </c>
      <c r="E122" s="9"/>
      <c r="F122" s="9" t="n">
        <v>0.54</v>
      </c>
      <c r="G122" s="9" t="n">
        <v>-0.51</v>
      </c>
      <c r="H122" s="9"/>
      <c r="I122" s="9" t="n">
        <v>-0.91</v>
      </c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-0.405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 t="n">
        <v>0.39</v>
      </c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-1.23</v>
      </c>
      <c r="C124" s="9" t="n">
        <v>-0.07</v>
      </c>
      <c r="D124" s="9"/>
      <c r="E124" s="9" t="n">
        <v>-1.14</v>
      </c>
      <c r="F124" s="9" t="n">
        <v>-0.52</v>
      </c>
      <c r="G124" s="9" t="n">
        <v>-0.28</v>
      </c>
      <c r="H124" s="9"/>
      <c r="I124" s="9"/>
      <c r="J124" s="9" t="n">
        <v>-0.09</v>
      </c>
      <c r="K124" s="9" t="n">
        <v>0.32</v>
      </c>
      <c r="L124" s="9" t="n">
        <v>0.67</v>
      </c>
      <c r="M124" s="9" t="n">
        <v>-1.56</v>
      </c>
      <c r="N124" s="9"/>
      <c r="O124" s="9"/>
      <c r="P124" s="9"/>
      <c r="Q124" s="58" t="n">
        <f aca="false">TRIMMEAN(B124:P124,2/COUNT(B124:P124))</f>
        <v>-0.43</v>
      </c>
    </row>
    <row r="125" customFormat="false" ht="15.75" hidden="false" customHeight="true" outlineLevel="0" collapsed="false">
      <c r="A125" s="59" t="s">
        <v>269</v>
      </c>
      <c r="B125" s="9"/>
      <c r="C125" s="9" t="n">
        <v>-0.11</v>
      </c>
      <c r="D125" s="9"/>
      <c r="E125" s="9" t="n">
        <v>-0.13</v>
      </c>
      <c r="F125" s="9" t="n">
        <v>0.73</v>
      </c>
      <c r="G125" s="9"/>
      <c r="H125" s="9" t="n">
        <v>0.3</v>
      </c>
      <c r="I125" s="9"/>
      <c r="J125" s="9"/>
      <c r="K125" s="9" t="n">
        <v>-0.21</v>
      </c>
      <c r="L125" s="9" t="n">
        <v>0.8</v>
      </c>
      <c r="M125" s="9" t="n">
        <v>1.93</v>
      </c>
      <c r="N125" s="9" t="n">
        <v>-0.3</v>
      </c>
      <c r="O125" s="9" t="n">
        <v>0.33</v>
      </c>
      <c r="P125" s="9" t="n">
        <v>0.42</v>
      </c>
      <c r="Q125" s="58" t="n">
        <f aca="false">TRIMMEAN(B125:P125,2/COUNT(B125:P125))</f>
        <v>0.26625</v>
      </c>
    </row>
    <row r="126" customFormat="false" ht="15.75" hidden="false" customHeight="true" outlineLevel="0" collapsed="false">
      <c r="A126" s="57" t="s">
        <v>270</v>
      </c>
      <c r="B126" s="9" t="n">
        <v>0.38</v>
      </c>
      <c r="C126" s="9" t="n">
        <v>-0.03</v>
      </c>
      <c r="D126" s="9" t="n">
        <v>-0.35</v>
      </c>
      <c r="E126" s="9" t="n">
        <v>-1.16</v>
      </c>
      <c r="F126" s="9" t="n">
        <v>0.63</v>
      </c>
      <c r="G126" s="9"/>
      <c r="H126" s="9"/>
      <c r="I126" s="9"/>
      <c r="J126" s="9" t="n">
        <v>-0.38</v>
      </c>
      <c r="K126" s="9" t="n">
        <v>-0.22</v>
      </c>
      <c r="L126" s="9" t="n">
        <v>0.42</v>
      </c>
      <c r="M126" s="9" t="n">
        <v>-0.2</v>
      </c>
      <c r="N126" s="9"/>
      <c r="O126" s="9"/>
      <c r="P126" s="9"/>
      <c r="Q126" s="58" t="n">
        <f aca="false">TRIMMEAN(B126:P126,2/COUNT(B126:P126))</f>
        <v>-0.0542857142857143</v>
      </c>
    </row>
    <row r="127" customFormat="false" ht="15.75" hidden="false" customHeight="true" outlineLevel="0" collapsed="false">
      <c r="A127" s="59" t="s">
        <v>271</v>
      </c>
      <c r="B127" s="9"/>
      <c r="C127" s="9" t="n">
        <v>0.39</v>
      </c>
      <c r="D127" s="9"/>
      <c r="E127" s="9" t="n">
        <v>0.03</v>
      </c>
      <c r="F127" s="9" t="n">
        <v>0.45</v>
      </c>
      <c r="G127" s="9"/>
      <c r="H127" s="9" t="n">
        <v>0.44</v>
      </c>
      <c r="I127" s="9"/>
      <c r="J127" s="9"/>
      <c r="K127" s="9" t="n">
        <v>0.1</v>
      </c>
      <c r="L127" s="9" t="n">
        <v>-0.58</v>
      </c>
      <c r="M127" s="9" t="n">
        <v>0.9</v>
      </c>
      <c r="N127" s="9" t="n">
        <v>-0.17</v>
      </c>
      <c r="O127" s="9" t="n">
        <v>0.02</v>
      </c>
      <c r="P127" s="9" t="n">
        <v>0.15</v>
      </c>
      <c r="Q127" s="58" t="n">
        <f aca="false">TRIMMEAN(B127:P127,2/COUNT(B127:P127))</f>
        <v>0.17625</v>
      </c>
    </row>
    <row r="128" customFormat="false" ht="15.75" hidden="false" customHeight="true" outlineLevel="0" collapsed="false">
      <c r="A128" s="57" t="s">
        <v>272</v>
      </c>
      <c r="B128" s="9" t="n">
        <v>-1.08</v>
      </c>
      <c r="C128" s="9" t="n">
        <v>0.63</v>
      </c>
      <c r="D128" s="9"/>
      <c r="E128" s="9" t="n">
        <v>-0.44</v>
      </c>
      <c r="F128" s="9" t="n">
        <v>-0.46</v>
      </c>
      <c r="G128" s="9" t="n">
        <v>0.26</v>
      </c>
      <c r="H128" s="9"/>
      <c r="I128" s="9"/>
      <c r="J128" s="9" t="n">
        <v>-0.41</v>
      </c>
      <c r="K128" s="9" t="n">
        <v>-0.98</v>
      </c>
      <c r="L128" s="9" t="n">
        <v>0.43</v>
      </c>
      <c r="M128" s="9" t="n">
        <v>0.51</v>
      </c>
      <c r="N128" s="9"/>
      <c r="O128" s="9"/>
      <c r="P128" s="9"/>
      <c r="Q128" s="58" t="n">
        <f aca="false">TRIMMEAN(B128:P128,2/COUNT(B128:P128))</f>
        <v>-0.155714285714286</v>
      </c>
    </row>
    <row r="129" customFormat="false" ht="15.75" hidden="false" customHeight="true" outlineLevel="0" collapsed="false">
      <c r="A129" s="57" t="s">
        <v>273</v>
      </c>
      <c r="B129" s="9"/>
      <c r="C129" s="9" t="n">
        <v>-0.46</v>
      </c>
      <c r="D129" s="9" t="n">
        <v>-0.16</v>
      </c>
      <c r="E129" s="9" t="n">
        <v>-0.84</v>
      </c>
      <c r="F129" s="9" t="n">
        <v>-0.99</v>
      </c>
      <c r="G129" s="9"/>
      <c r="H129" s="9" t="n">
        <v>0.54</v>
      </c>
      <c r="I129" s="9" t="n">
        <v>-0.61</v>
      </c>
      <c r="J129" s="9"/>
      <c r="K129" s="9" t="n">
        <v>-0.84</v>
      </c>
      <c r="L129" s="9" t="n">
        <v>0.27</v>
      </c>
      <c r="M129" s="9" t="n">
        <v>0.53</v>
      </c>
      <c r="N129" s="9" t="n">
        <v>0.48</v>
      </c>
      <c r="O129" s="9" t="n">
        <v>-0.69</v>
      </c>
      <c r="P129" s="9" t="n">
        <v>-0.08</v>
      </c>
      <c r="Q129" s="58" t="n">
        <f aca="false">TRIMMEAN(B129:P129,2/COUNT(B129:P129))</f>
        <v>-0.24</v>
      </c>
    </row>
    <row r="130" customFormat="false" ht="15.75" hidden="false" customHeight="true" outlineLevel="0" collapsed="false">
      <c r="A130" s="59" t="s">
        <v>274</v>
      </c>
      <c r="B130" s="9"/>
      <c r="C130" s="9" t="n">
        <v>-0.23</v>
      </c>
      <c r="D130" s="9"/>
      <c r="E130" s="9" t="n">
        <v>0.67</v>
      </c>
      <c r="F130" s="9"/>
      <c r="G130" s="9"/>
      <c r="H130" s="9"/>
      <c r="I130" s="9"/>
      <c r="J130" s="9"/>
      <c r="K130" s="9" t="n">
        <v>0.03</v>
      </c>
      <c r="L130" s="9" t="n">
        <v>-0.38</v>
      </c>
      <c r="M130" s="9" t="n">
        <v>0.06</v>
      </c>
      <c r="N130" s="9"/>
      <c r="O130" s="9"/>
      <c r="P130" s="9"/>
      <c r="Q130" s="58" t="n">
        <f aca="false">TRIMMEAN(B130:P130,2/COUNT(B130:P130))</f>
        <v>-0.0466666666666667</v>
      </c>
    </row>
    <row r="131" customFormat="false" ht="15.75" hidden="false" customHeight="true" outlineLevel="0" collapsed="false">
      <c r="A131" s="57" t="s">
        <v>275</v>
      </c>
      <c r="B131" s="9" t="n">
        <v>0.52</v>
      </c>
      <c r="C131" s="9" t="n">
        <v>-0.2</v>
      </c>
      <c r="D131" s="9" t="n">
        <v>0.22</v>
      </c>
      <c r="E131" s="9"/>
      <c r="F131" s="9" t="n">
        <v>0.16</v>
      </c>
      <c r="G131" s="9" t="n">
        <v>-0.21</v>
      </c>
      <c r="H131" s="9"/>
      <c r="I131" s="9" t="n">
        <v>0.66</v>
      </c>
      <c r="J131" s="9" t="n">
        <v>0.12</v>
      </c>
      <c r="K131" s="9" t="n">
        <v>-0.34</v>
      </c>
      <c r="L131" s="9" t="n">
        <v>-0.3</v>
      </c>
      <c r="M131" s="9" t="n">
        <v>0.09</v>
      </c>
      <c r="N131" s="9" t="n">
        <v>-0.16</v>
      </c>
      <c r="O131" s="9" t="n">
        <v>0.62</v>
      </c>
      <c r="P131" s="9" t="n">
        <v>-0.47</v>
      </c>
      <c r="Q131" s="58" t="n">
        <f aca="false">TRIMMEAN(B131:P131,2/COUNT(B131:P131))</f>
        <v>0.0472727272727273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1.28</v>
      </c>
      <c r="C133" s="9" t="n">
        <v>-0.82</v>
      </c>
      <c r="D133" s="9" t="n">
        <v>0.96</v>
      </c>
      <c r="E133" s="9" t="n">
        <v>0.92</v>
      </c>
      <c r="F133" s="9"/>
      <c r="G133" s="9" t="n">
        <v>0.48</v>
      </c>
      <c r="H133" s="9"/>
      <c r="I133" s="9" t="n">
        <v>-0.96</v>
      </c>
      <c r="J133" s="9" t="n">
        <v>-0.35</v>
      </c>
      <c r="K133" s="9"/>
      <c r="L133" s="9" t="n">
        <v>0.51</v>
      </c>
      <c r="M133" s="9" t="n">
        <v>0.98</v>
      </c>
      <c r="N133" s="9"/>
      <c r="O133" s="9" t="n">
        <v>0.32</v>
      </c>
      <c r="P133" s="9"/>
      <c r="Q133" s="58" t="n">
        <f aca="false">TRIMMEAN(B133:P133,2/COUNT(B133:P133))</f>
        <v>0.375</v>
      </c>
    </row>
    <row r="134" customFormat="false" ht="15.75" hidden="false" customHeight="true" outlineLevel="0" collapsed="false">
      <c r="A134" s="57" t="s">
        <v>13</v>
      </c>
      <c r="B134" s="9"/>
      <c r="C134" s="9" t="n">
        <v>-0.14</v>
      </c>
      <c r="D134" s="9"/>
      <c r="E134" s="9" t="n">
        <v>0.4</v>
      </c>
      <c r="F134" s="9" t="n">
        <v>-0.29</v>
      </c>
      <c r="G134" s="9"/>
      <c r="H134" s="9" t="n">
        <v>0.78</v>
      </c>
      <c r="I134" s="9" t="n">
        <v>0.65</v>
      </c>
      <c r="J134" s="9"/>
      <c r="K134" s="9" t="n">
        <v>-0.24</v>
      </c>
      <c r="L134" s="9" t="n">
        <v>0.33</v>
      </c>
      <c r="M134" s="9" t="n">
        <v>-0.32</v>
      </c>
      <c r="N134" s="9" t="n">
        <v>0.7</v>
      </c>
      <c r="O134" s="9"/>
      <c r="P134" s="9" t="n">
        <v>-0.19</v>
      </c>
      <c r="Q134" s="58" t="n">
        <f aca="false">TRIMMEAN(B134:P134,2/COUNT(B134:P134))</f>
        <v>0.1525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 t="n">
        <v>0.54</v>
      </c>
      <c r="E135" s="9" t="n">
        <v>1.04</v>
      </c>
      <c r="F135" s="9" t="n">
        <v>-0.5</v>
      </c>
      <c r="G135" s="9"/>
      <c r="H135" s="9" t="n">
        <v>0.13</v>
      </c>
      <c r="I135" s="9" t="n">
        <v>0.19</v>
      </c>
      <c r="J135" s="9"/>
      <c r="K135" s="9"/>
      <c r="L135" s="9" t="n">
        <v>-0.38</v>
      </c>
      <c r="M135" s="9"/>
      <c r="N135" s="9" t="n">
        <v>0.35</v>
      </c>
      <c r="O135" s="9" t="n">
        <v>0.42</v>
      </c>
      <c r="P135" s="9" t="n">
        <v>-0.63</v>
      </c>
      <c r="Q135" s="58" t="n">
        <f aca="false">TRIMMEAN(B135:P135,2/COUNT(B135:P135))</f>
        <v>0.107142857142857</v>
      </c>
    </row>
    <row r="136" customFormat="false" ht="15.75" hidden="false" customHeight="true" outlineLevel="0" collapsed="false">
      <c r="A136" s="57" t="s">
        <v>279</v>
      </c>
      <c r="B136" s="9" t="n">
        <v>-0.74</v>
      </c>
      <c r="C136" s="9" t="n">
        <v>-0.26</v>
      </c>
      <c r="D136" s="9" t="n">
        <v>0.09</v>
      </c>
      <c r="E136" s="9"/>
      <c r="F136" s="9"/>
      <c r="G136" s="9" t="n">
        <v>0.24</v>
      </c>
      <c r="H136" s="9"/>
      <c r="I136" s="9" t="n">
        <v>0.64</v>
      </c>
      <c r="J136" s="9" t="n">
        <v>-0.38</v>
      </c>
      <c r="K136" s="9"/>
      <c r="L136" s="9" t="n">
        <v>0.4</v>
      </c>
      <c r="M136" s="9" t="n">
        <v>0.82</v>
      </c>
      <c r="N136" s="9" t="n">
        <v>-0.24</v>
      </c>
      <c r="O136" s="9"/>
      <c r="P136" s="9"/>
      <c r="Q136" s="58" t="n">
        <f aca="false">TRIMMEAN(B136:P136,2/COUNT(B136:P136))</f>
        <v>0.07</v>
      </c>
    </row>
    <row r="137" customFormat="false" ht="15.75" hidden="false" customHeight="true" outlineLevel="0" collapsed="false">
      <c r="A137" s="59" t="s">
        <v>280</v>
      </c>
      <c r="B137" s="9"/>
      <c r="C137" s="9" t="n">
        <v>0.84</v>
      </c>
      <c r="D137" s="9"/>
      <c r="E137" s="9" t="n">
        <v>0.77</v>
      </c>
      <c r="F137" s="9" t="n">
        <v>0.07</v>
      </c>
      <c r="G137" s="9"/>
      <c r="H137" s="9" t="n">
        <v>0.38</v>
      </c>
      <c r="I137" s="9"/>
      <c r="J137" s="9"/>
      <c r="K137" s="9" t="n">
        <v>0.32</v>
      </c>
      <c r="L137" s="9" t="n">
        <v>0.07</v>
      </c>
      <c r="M137" s="9"/>
      <c r="N137" s="9" t="n">
        <v>0.22</v>
      </c>
      <c r="O137" s="9" t="n">
        <v>-0.09</v>
      </c>
      <c r="P137" s="9" t="n">
        <v>-0.25</v>
      </c>
      <c r="Q137" s="58" t="n">
        <f aca="false">TRIMMEAN(B137:P137,2/COUNT(B137:P137))</f>
        <v>0.248571428571429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 t="n">
        <v>-0.57</v>
      </c>
      <c r="J138" s="9" t="n">
        <v>-0.14</v>
      </c>
      <c r="K138" s="9"/>
      <c r="L138" s="9" t="n">
        <v>-1.76</v>
      </c>
      <c r="M138" s="9" t="n">
        <v>0.62</v>
      </c>
      <c r="N138" s="9" t="n">
        <v>-0.91</v>
      </c>
      <c r="O138" s="9" t="n">
        <v>-0.21</v>
      </c>
      <c r="P138" s="9"/>
      <c r="Q138" s="58" t="n">
        <f aca="false">TRIMMEAN(B138:P138,2/COUNT(B138:P138))</f>
        <v>-0.4575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0.05</v>
      </c>
      <c r="D140" s="9" t="n">
        <v>0.86</v>
      </c>
      <c r="E140" s="9" t="n">
        <v>0.32</v>
      </c>
      <c r="F140" s="9"/>
      <c r="G140" s="9"/>
      <c r="H140" s="9" t="n">
        <v>-0.63</v>
      </c>
      <c r="I140" s="9" t="n">
        <v>0.17</v>
      </c>
      <c r="J140" s="9"/>
      <c r="K140" s="9"/>
      <c r="L140" s="9" t="n">
        <v>0.48</v>
      </c>
      <c r="M140" s="9" t="n">
        <v>-0.18</v>
      </c>
      <c r="N140" s="9"/>
      <c r="O140" s="9"/>
      <c r="P140" s="9" t="n">
        <v>-0.26</v>
      </c>
      <c r="Q140" s="58" t="n">
        <f aca="false">TRIMMEAN(B140:P140,2/COUNT(B140:P140))</f>
        <v>0.0966666666666667</v>
      </c>
    </row>
    <row r="141" customFormat="false" ht="15.75" hidden="false" customHeight="true" outlineLevel="0" collapsed="false">
      <c r="A141" s="59" t="s">
        <v>284</v>
      </c>
      <c r="B141" s="9"/>
      <c r="C141" s="9" t="n">
        <v>-0.31</v>
      </c>
      <c r="D141" s="9"/>
      <c r="E141" s="9" t="n">
        <v>-0.53</v>
      </c>
      <c r="F141" s="9" t="n">
        <v>0.04</v>
      </c>
      <c r="G141" s="9"/>
      <c r="H141" s="9"/>
      <c r="I141" s="9"/>
      <c r="J141" s="9"/>
      <c r="K141" s="9" t="n">
        <v>0.74</v>
      </c>
      <c r="L141" s="9" t="n">
        <v>0.1</v>
      </c>
      <c r="M141" s="9"/>
      <c r="N141" s="9" t="n">
        <v>-0.16</v>
      </c>
      <c r="O141" s="9" t="n">
        <v>0.21</v>
      </c>
      <c r="P141" s="9" t="n">
        <v>-0.06</v>
      </c>
      <c r="Q141" s="58" t="n">
        <f aca="false">TRIMMEAN(B141:P141,2/COUNT(B141:P141))</f>
        <v>-0.03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 t="n">
        <v>0.31</v>
      </c>
      <c r="J142" s="9"/>
      <c r="K142" s="9" t="n">
        <v>-0.19</v>
      </c>
      <c r="L142" s="9" t="n">
        <v>0.86</v>
      </c>
      <c r="M142" s="9"/>
      <c r="N142" s="9" t="n">
        <v>-0.33</v>
      </c>
      <c r="O142" s="9" t="n">
        <v>0.4</v>
      </c>
      <c r="P142" s="9" t="n">
        <v>0.58</v>
      </c>
      <c r="Q142" s="58" t="n">
        <f aca="false">TRIMMEAN(B142:P142,2/COUNT(B142:P142))</f>
        <v>0.275</v>
      </c>
    </row>
    <row r="143" customFormat="false" ht="15.75" hidden="false" customHeight="true" outlineLevel="0" collapsed="false">
      <c r="A143" s="57" t="s">
        <v>286</v>
      </c>
      <c r="B143" s="9" t="n">
        <v>1.01</v>
      </c>
      <c r="C143" s="9" t="n">
        <v>-0.75</v>
      </c>
      <c r="D143" s="9"/>
      <c r="E143" s="9"/>
      <c r="F143" s="9"/>
      <c r="G143" s="9"/>
      <c r="H143" s="9"/>
      <c r="I143" s="9"/>
      <c r="J143" s="9" t="n">
        <v>0.23</v>
      </c>
      <c r="K143" s="9" t="n">
        <v>-0.5</v>
      </c>
      <c r="L143" s="9" t="n">
        <v>0.28</v>
      </c>
      <c r="M143" s="9"/>
      <c r="N143" s="9"/>
      <c r="O143" s="9"/>
      <c r="P143" s="9"/>
      <c r="Q143" s="58" t="n">
        <f aca="false">TRIMMEAN(B143:P143,2/COUNT(B143:P143))</f>
        <v>0.00333333333333335</v>
      </c>
    </row>
    <row r="144" customFormat="false" ht="15.75" hidden="false" customHeight="true" outlineLevel="0" collapsed="false">
      <c r="A144" s="59" t="s">
        <v>287</v>
      </c>
      <c r="B144" s="9"/>
      <c r="C144" s="9" t="n">
        <v>1.04</v>
      </c>
      <c r="D144" s="9"/>
      <c r="E144" s="9" t="n">
        <v>-0.35</v>
      </c>
      <c r="F144" s="9" t="n">
        <v>-0.09</v>
      </c>
      <c r="G144" s="9" t="n">
        <v>0.26</v>
      </c>
      <c r="H144" s="9"/>
      <c r="I144" s="9"/>
      <c r="J144" s="9"/>
      <c r="K144" s="9" t="n">
        <v>0.91</v>
      </c>
      <c r="L144" s="9"/>
      <c r="M144" s="9"/>
      <c r="N144" s="9" t="n">
        <v>1.19</v>
      </c>
      <c r="O144" s="9" t="n">
        <v>0.22</v>
      </c>
      <c r="P144" s="9" t="n">
        <v>-0.18</v>
      </c>
      <c r="Q144" s="58" t="n">
        <f aca="false">TRIMMEAN(B144:P144,2/COUNT(B144:P144))</f>
        <v>0.36</v>
      </c>
    </row>
    <row r="145" customFormat="false" ht="15.75" hidden="false" customHeight="true" outlineLevel="0" collapsed="false">
      <c r="A145" s="57" t="s">
        <v>288</v>
      </c>
      <c r="B145" s="9" t="n">
        <v>0.11</v>
      </c>
      <c r="C145" s="9"/>
      <c r="D145" s="9"/>
      <c r="E145" s="9" t="n">
        <v>0.38</v>
      </c>
      <c r="F145" s="9"/>
      <c r="G145" s="9" t="n">
        <v>-0.21</v>
      </c>
      <c r="H145" s="9"/>
      <c r="I145" s="9"/>
      <c r="J145" s="9" t="n">
        <v>1.05</v>
      </c>
      <c r="K145" s="9" t="n">
        <v>-0.79</v>
      </c>
      <c r="L145" s="9" t="n">
        <v>-0.38</v>
      </c>
      <c r="M145" s="9" t="n">
        <v>0.16</v>
      </c>
      <c r="N145" s="9"/>
      <c r="O145" s="9"/>
      <c r="P145" s="9"/>
      <c r="Q145" s="58" t="n">
        <f aca="false">TRIMMEAN(B145:P145,2/COUNT(B145:P145))</f>
        <v>0.012</v>
      </c>
    </row>
    <row r="146" customFormat="false" ht="15.75" hidden="false" customHeight="true" outlineLevel="0" collapsed="false">
      <c r="A146" s="57" t="s">
        <v>289</v>
      </c>
      <c r="B146" s="9" t="n">
        <v>0.8</v>
      </c>
      <c r="C146" s="9" t="n">
        <v>0.12</v>
      </c>
      <c r="D146" s="9"/>
      <c r="E146" s="9" t="n">
        <v>0.59</v>
      </c>
      <c r="F146" s="9" t="n">
        <v>-1</v>
      </c>
      <c r="G146" s="9" t="n">
        <v>-0.88</v>
      </c>
      <c r="H146" s="9"/>
      <c r="I146" s="9"/>
      <c r="J146" s="9" t="n">
        <v>-0.43</v>
      </c>
      <c r="K146" s="9" t="n">
        <v>-0.59</v>
      </c>
      <c r="L146" s="9" t="n">
        <v>0.4</v>
      </c>
      <c r="M146" s="9" t="n">
        <v>-0.29</v>
      </c>
      <c r="N146" s="9"/>
      <c r="O146" s="9"/>
      <c r="P146" s="9"/>
      <c r="Q146" s="58" t="n">
        <f aca="false">TRIMMEAN(B146:P146,2/COUNT(B146:P146))</f>
        <v>-0.154285714285714</v>
      </c>
    </row>
    <row r="147" customFormat="false" ht="15.75" hidden="false" customHeight="true" outlineLevel="0" collapsed="false">
      <c r="A147" s="59" t="s">
        <v>290</v>
      </c>
      <c r="B147" s="9"/>
      <c r="C147" s="9" t="n">
        <v>-0.45</v>
      </c>
      <c r="D147" s="9"/>
      <c r="E147" s="9" t="n">
        <v>0.62</v>
      </c>
      <c r="F147" s="9"/>
      <c r="G147" s="9"/>
      <c r="H147" s="9"/>
      <c r="I147" s="9"/>
      <c r="J147" s="9"/>
      <c r="K147" s="9" t="n">
        <v>0.47</v>
      </c>
      <c r="L147" s="9" t="n">
        <v>0.58</v>
      </c>
      <c r="M147" s="9"/>
      <c r="N147" s="9"/>
      <c r="O147" s="9"/>
      <c r="P147" s="9"/>
      <c r="Q147" s="58" t="n">
        <f aca="false">TRIMMEAN(B147:P147,2/COUNT(B147:P147))</f>
        <v>0.525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0.19</v>
      </c>
      <c r="D149" s="9"/>
      <c r="E149" s="9" t="n">
        <v>-0.12</v>
      </c>
      <c r="F149" s="9" t="n">
        <v>-0.02</v>
      </c>
      <c r="G149" s="9"/>
      <c r="H149" s="9" t="n">
        <v>-0.26</v>
      </c>
      <c r="I149" s="9"/>
      <c r="J149" s="9"/>
      <c r="K149" s="9" t="n">
        <v>-1.41</v>
      </c>
      <c r="L149" s="9" t="n">
        <v>-0.5</v>
      </c>
      <c r="M149" s="9" t="n">
        <v>-1.32</v>
      </c>
      <c r="N149" s="9" t="n">
        <v>-0.04</v>
      </c>
      <c r="O149" s="9" t="n">
        <v>0.56</v>
      </c>
      <c r="P149" s="9" t="n">
        <v>-0.32</v>
      </c>
      <c r="Q149" s="58" t="n">
        <f aca="false">TRIMMEAN(B149:P149,2/COUNT(B149:P149))</f>
        <v>-0.29875</v>
      </c>
    </row>
    <row r="150" customFormat="false" ht="15.75" hidden="false" customHeight="true" outlineLevel="0" collapsed="false">
      <c r="A150" s="57" t="s">
        <v>293</v>
      </c>
      <c r="B150" s="9" t="n">
        <v>-0.87</v>
      </c>
      <c r="C150" s="9" t="n">
        <v>-0.68</v>
      </c>
      <c r="D150" s="9"/>
      <c r="E150" s="9" t="n">
        <v>-0.08</v>
      </c>
      <c r="F150" s="9" t="n">
        <v>-0.77</v>
      </c>
      <c r="G150" s="9" t="n">
        <v>0.97</v>
      </c>
      <c r="H150" s="9"/>
      <c r="I150" s="9"/>
      <c r="J150" s="9" t="n">
        <v>0.21</v>
      </c>
      <c r="K150" s="9" t="n">
        <v>-0.03</v>
      </c>
      <c r="L150" s="9" t="n">
        <v>0.05</v>
      </c>
      <c r="M150" s="9"/>
      <c r="N150" s="9"/>
      <c r="O150" s="9"/>
      <c r="P150" s="9"/>
      <c r="Q150" s="58" t="n">
        <f aca="false">TRIMMEAN(B150:P150,2/COUNT(B150:P150))</f>
        <v>-0.216666666666667</v>
      </c>
    </row>
    <row r="151" customFormat="false" ht="15.75" hidden="false" customHeight="true" outlineLevel="0" collapsed="false">
      <c r="A151" s="57" t="s">
        <v>294</v>
      </c>
      <c r="B151" s="9" t="n">
        <v>-0.03</v>
      </c>
      <c r="C151" s="9" t="n">
        <v>-0.44</v>
      </c>
      <c r="D151" s="9"/>
      <c r="E151" s="9" t="n">
        <v>0.29</v>
      </c>
      <c r="F151" s="9" t="n">
        <v>-0.13</v>
      </c>
      <c r="G151" s="9"/>
      <c r="H151" s="9"/>
      <c r="I151" s="9"/>
      <c r="J151" s="9" t="n">
        <v>-0.86</v>
      </c>
      <c r="K151" s="9" t="n">
        <v>-0.45</v>
      </c>
      <c r="L151" s="9" t="n">
        <v>-0.44</v>
      </c>
      <c r="M151" s="9" t="n">
        <v>-0.81</v>
      </c>
      <c r="N151" s="9"/>
      <c r="O151" s="9"/>
      <c r="P151" s="9"/>
      <c r="Q151" s="58" t="n">
        <f aca="false">TRIMMEAN(B151:P151,2/COUNT(B151:P151))</f>
        <v>-0.383333333333333</v>
      </c>
    </row>
    <row r="152" customFormat="false" ht="15.75" hidden="false" customHeight="true" outlineLevel="0" collapsed="false">
      <c r="A152" s="59" t="s">
        <v>295</v>
      </c>
      <c r="B152" s="9"/>
      <c r="C152" s="9" t="n">
        <v>0.78</v>
      </c>
      <c r="D152" s="9"/>
      <c r="E152" s="9" t="n">
        <v>0.25</v>
      </c>
      <c r="F152" s="9" t="n">
        <v>-0.14</v>
      </c>
      <c r="G152" s="9"/>
      <c r="H152" s="9" t="n">
        <v>-0.08</v>
      </c>
      <c r="I152" s="9"/>
      <c r="J152" s="9"/>
      <c r="K152" s="9" t="n">
        <v>0.45</v>
      </c>
      <c r="L152" s="9" t="n">
        <v>-0.59</v>
      </c>
      <c r="M152" s="9" t="n">
        <v>0.03</v>
      </c>
      <c r="N152" s="9" t="n">
        <v>0.25</v>
      </c>
      <c r="O152" s="9" t="n">
        <v>0.53</v>
      </c>
      <c r="P152" s="9" t="n">
        <v>-0.47</v>
      </c>
      <c r="Q152" s="58" t="n">
        <f aca="false">TRIMMEAN(B152:P152,2/COUNT(B152:P152))</f>
        <v>0.1025</v>
      </c>
    </row>
    <row r="153" customFormat="false" ht="15.75" hidden="false" customHeight="true" outlineLevel="0" collapsed="false">
      <c r="A153" s="57" t="s">
        <v>296</v>
      </c>
      <c r="B153" s="9"/>
      <c r="C153" s="9" t="n">
        <v>0.71</v>
      </c>
      <c r="D153" s="9"/>
      <c r="E153" s="9"/>
      <c r="F153" s="9" t="n">
        <v>-0.62</v>
      </c>
      <c r="G153" s="9"/>
      <c r="H153" s="9"/>
      <c r="I153" s="9"/>
      <c r="J153" s="9" t="n">
        <v>0.23</v>
      </c>
      <c r="K153" s="9" t="n">
        <v>-0.67</v>
      </c>
      <c r="L153" s="9" t="n">
        <v>0.39</v>
      </c>
      <c r="M153" s="9"/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 t="n">
        <v>-0.36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0.35</v>
      </c>
      <c r="C155" s="9" t="n">
        <v>0.5</v>
      </c>
      <c r="D155" s="9" t="n">
        <v>0.17</v>
      </c>
      <c r="E155" s="9"/>
      <c r="F155" s="9"/>
      <c r="G155" s="9" t="n">
        <v>0.93</v>
      </c>
      <c r="H155" s="9"/>
      <c r="I155" s="9" t="n">
        <v>-0.39</v>
      </c>
      <c r="J155" s="9" t="n">
        <v>-0.17</v>
      </c>
      <c r="K155" s="9"/>
      <c r="L155" s="9" t="n">
        <v>0.32</v>
      </c>
      <c r="M155" s="9" t="n">
        <v>-0.3</v>
      </c>
      <c r="N155" s="9"/>
      <c r="O155" s="9"/>
      <c r="P155" s="9"/>
      <c r="Q155" s="58" t="n">
        <f aca="false">TRIMMEAN(B155:P155,2/COUNT(B155:P155))</f>
        <v>0.145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 t="n">
        <v>-0.24</v>
      </c>
      <c r="E157" s="9" t="n">
        <v>-0.12</v>
      </c>
      <c r="F157" s="9" t="n">
        <v>-2.01</v>
      </c>
      <c r="G157" s="9"/>
      <c r="H157" s="9" t="n">
        <v>-0.81</v>
      </c>
      <c r="I157" s="9"/>
      <c r="J157" s="9"/>
      <c r="K157" s="9" t="n">
        <v>-0.82</v>
      </c>
      <c r="L157" s="9" t="n">
        <v>-3.19</v>
      </c>
      <c r="M157" s="9" t="n">
        <v>-1.98</v>
      </c>
      <c r="N157" s="9" t="n">
        <v>-0.76</v>
      </c>
      <c r="O157" s="9" t="n">
        <v>-0.71</v>
      </c>
      <c r="P157" s="9" t="n">
        <v>-1.44</v>
      </c>
      <c r="Q157" s="58" t="n">
        <f aca="false">TRIMMEAN(B157:P157,2/COUNT(B157:P157))</f>
        <v>-1.09625</v>
      </c>
    </row>
    <row r="158" customFormat="false" ht="15.75" hidden="false" customHeight="true" outlineLevel="0" collapsed="false">
      <c r="A158" s="57" t="s">
        <v>301</v>
      </c>
      <c r="B158" s="9" t="n">
        <v>-0.33</v>
      </c>
      <c r="C158" s="9"/>
      <c r="D158" s="9" t="n">
        <v>0.47</v>
      </c>
      <c r="E158" s="9" t="n">
        <v>0.09</v>
      </c>
      <c r="F158" s="9" t="n">
        <v>-0.38</v>
      </c>
      <c r="G158" s="9" t="n">
        <v>0</v>
      </c>
      <c r="H158" s="9"/>
      <c r="I158" s="9"/>
      <c r="J158" s="9" t="n">
        <v>-0.47</v>
      </c>
      <c r="K158" s="9"/>
      <c r="L158" s="9" t="n">
        <v>-0.22</v>
      </c>
      <c r="M158" s="9"/>
      <c r="N158" s="9"/>
      <c r="O158" s="9"/>
      <c r="P158" s="9"/>
      <c r="Q158" s="58" t="n">
        <f aca="false">TRIMMEAN(B158:P158,2/COUNT(B158:P158))</f>
        <v>-0.168</v>
      </c>
    </row>
    <row r="159" customFormat="false" ht="15.75" hidden="false" customHeight="true" outlineLevel="0" collapsed="false">
      <c r="A159" s="57" t="s">
        <v>302</v>
      </c>
      <c r="B159" s="9" t="n">
        <v>0.21</v>
      </c>
      <c r="C159" s="9" t="n">
        <v>-0.16</v>
      </c>
      <c r="D159" s="9"/>
      <c r="E159" s="9" t="n">
        <v>0.57</v>
      </c>
      <c r="F159" s="9" t="n">
        <v>-0.54</v>
      </c>
      <c r="G159" s="9" t="n">
        <v>0.83</v>
      </c>
      <c r="H159" s="9"/>
      <c r="I159" s="9"/>
      <c r="J159" s="9" t="n">
        <v>-0.6</v>
      </c>
      <c r="K159" s="9" t="n">
        <v>0.57</v>
      </c>
      <c r="L159" s="9" t="n">
        <v>0.13</v>
      </c>
      <c r="M159" s="9"/>
      <c r="N159" s="9"/>
      <c r="O159" s="9"/>
      <c r="P159" s="9"/>
      <c r="Q159" s="58" t="n">
        <f aca="false">TRIMMEAN(B159:P159,2/COUNT(B159:P159))</f>
        <v>0.13</v>
      </c>
    </row>
    <row r="160" customFormat="false" ht="15.75" hidden="false" customHeight="true" outlineLevel="0" collapsed="false">
      <c r="A160" s="59" t="s">
        <v>303</v>
      </c>
      <c r="B160" s="9" t="n">
        <v>-1.05</v>
      </c>
      <c r="C160" s="9"/>
      <c r="D160" s="9" t="n">
        <v>0.84</v>
      </c>
      <c r="E160" s="9"/>
      <c r="F160" s="9" t="n">
        <v>0.2</v>
      </c>
      <c r="G160" s="9"/>
      <c r="H160" s="9" t="n">
        <v>0.21</v>
      </c>
      <c r="I160" s="9"/>
      <c r="J160" s="9"/>
      <c r="K160" s="9" t="n">
        <v>0.58</v>
      </c>
      <c r="L160" s="9" t="n">
        <v>-0.15</v>
      </c>
      <c r="M160" s="9"/>
      <c r="N160" s="9" t="n">
        <v>-0.8</v>
      </c>
      <c r="O160" s="9" t="n">
        <v>0.88</v>
      </c>
      <c r="P160" s="9" t="n">
        <v>-0.7</v>
      </c>
      <c r="Q160" s="58" t="n">
        <f aca="false">TRIMMEAN(B160:P160,2/COUNT(B160:P160))</f>
        <v>0.0257142857142857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 t="n">
        <v>0.17</v>
      </c>
      <c r="F161" s="9"/>
      <c r="G161" s="9"/>
      <c r="H161" s="9"/>
      <c r="I161" s="9"/>
      <c r="J161" s="9"/>
      <c r="K161" s="9" t="n">
        <v>-0.79</v>
      </c>
      <c r="L161" s="9" t="n">
        <v>-0.74</v>
      </c>
      <c r="M161" s="9" t="n">
        <v>0.49</v>
      </c>
      <c r="N161" s="9" t="n">
        <v>-0.28</v>
      </c>
      <c r="O161" s="9"/>
      <c r="P161" s="9" t="n">
        <v>0.34</v>
      </c>
      <c r="Q161" s="58" t="n">
        <f aca="false">TRIMMEAN(B161:P161,2/COUNT(B161:P161))</f>
        <v>-0.1275</v>
      </c>
    </row>
    <row r="162" customFormat="false" ht="15.75" hidden="false" customHeight="true" outlineLevel="0" collapsed="false">
      <c r="A162" s="59" t="s">
        <v>305</v>
      </c>
      <c r="B162" s="9"/>
      <c r="C162" s="9" t="n">
        <v>0.01</v>
      </c>
      <c r="D162" s="9"/>
      <c r="E162" s="9" t="n">
        <v>-0.59</v>
      </c>
      <c r="F162" s="9"/>
      <c r="G162" s="9"/>
      <c r="H162" s="9" t="n">
        <v>-0.2</v>
      </c>
      <c r="I162" s="9"/>
      <c r="J162" s="9"/>
      <c r="K162" s="9" t="n">
        <v>-0.51</v>
      </c>
      <c r="L162" s="9" t="n">
        <v>-0.04</v>
      </c>
      <c r="M162" s="9" t="n">
        <v>0.21</v>
      </c>
      <c r="N162" s="9" t="n">
        <v>-0.41</v>
      </c>
      <c r="O162" s="9" t="n">
        <v>0.22</v>
      </c>
      <c r="P162" s="9" t="n">
        <v>-0.18</v>
      </c>
      <c r="Q162" s="58" t="n">
        <f aca="false">TRIMMEAN(B162:P162,2/COUNT(B162:P162))</f>
        <v>-0.16</v>
      </c>
    </row>
    <row r="163" customFormat="false" ht="15.75" hidden="false" customHeight="true" outlineLevel="0" collapsed="false">
      <c r="A163" s="57" t="s">
        <v>306</v>
      </c>
      <c r="B163" s="9" t="n">
        <v>-0.42</v>
      </c>
      <c r="C163" s="9"/>
      <c r="D163" s="9" t="n">
        <v>0.63</v>
      </c>
      <c r="E163" s="9"/>
      <c r="F163" s="9"/>
      <c r="G163" s="9" t="n">
        <v>-0.09</v>
      </c>
      <c r="H163" s="9" t="n">
        <v>0.33</v>
      </c>
      <c r="I163" s="9" t="n">
        <v>-0.27</v>
      </c>
      <c r="J163" s="9" t="n">
        <v>0.01</v>
      </c>
      <c r="K163" s="9"/>
      <c r="L163" s="9" t="n">
        <v>-0.31</v>
      </c>
      <c r="M163" s="9" t="n">
        <v>0.3</v>
      </c>
      <c r="N163" s="9"/>
      <c r="O163" s="9"/>
      <c r="P163" s="9"/>
      <c r="Q163" s="58" t="n">
        <f aca="false">TRIMMEAN(B163:P163,2/COUNT(B163:P163))</f>
        <v>-0.005</v>
      </c>
    </row>
    <row r="164" customFormat="false" ht="15.75" hidden="false" customHeight="true" outlineLevel="0" collapsed="false">
      <c r="A164" s="57" t="s">
        <v>307</v>
      </c>
      <c r="B164" s="9"/>
      <c r="C164" s="9" t="n">
        <v>0.87</v>
      </c>
      <c r="D164" s="9"/>
      <c r="E164" s="9" t="n">
        <v>-0.13</v>
      </c>
      <c r="F164" s="9" t="n">
        <v>0.27</v>
      </c>
      <c r="G164" s="9" t="n">
        <v>0.02</v>
      </c>
      <c r="H164" s="9"/>
      <c r="I164" s="9"/>
      <c r="J164" s="9" t="n">
        <v>-0.07</v>
      </c>
      <c r="K164" s="9" t="n">
        <v>-0.48</v>
      </c>
      <c r="L164" s="9" t="n">
        <v>0.52</v>
      </c>
      <c r="M164" s="9"/>
      <c r="N164" s="9"/>
      <c r="O164" s="9"/>
      <c r="P164" s="9"/>
      <c r="Q164" s="58" t="n">
        <f aca="false">TRIMMEAN(B164:P164,2/COUNT(B164:P164))</f>
        <v>0.122</v>
      </c>
    </row>
    <row r="165" customFormat="false" ht="15.75" hidden="false" customHeight="true" outlineLevel="0" collapsed="false">
      <c r="A165" s="57" t="s">
        <v>308</v>
      </c>
      <c r="B165" s="9"/>
      <c r="C165" s="9" t="n">
        <v>-0.83</v>
      </c>
      <c r="D165" s="9" t="n">
        <v>0.48</v>
      </c>
      <c r="E165" s="9"/>
      <c r="F165" s="9" t="n">
        <v>-0.08</v>
      </c>
      <c r="G165" s="9" t="n">
        <v>-0.79</v>
      </c>
      <c r="H165" s="9" t="n">
        <v>0.36</v>
      </c>
      <c r="I165" s="9" t="n">
        <v>0.58</v>
      </c>
      <c r="J165" s="9" t="n">
        <v>0.2</v>
      </c>
      <c r="K165" s="9"/>
      <c r="L165" s="9" t="n">
        <v>0.02</v>
      </c>
      <c r="M165" s="9" t="n">
        <v>0.3</v>
      </c>
      <c r="N165" s="9"/>
      <c r="O165" s="9"/>
      <c r="P165" s="9"/>
      <c r="Q165" s="58" t="n">
        <f aca="false">TRIMMEAN(B165:P165,2/COUNT(B165:P165))</f>
        <v>0.07</v>
      </c>
    </row>
    <row r="166" customFormat="false" ht="15.75" hidden="false" customHeight="true" outlineLevel="0" collapsed="false">
      <c r="A166" s="59" t="s">
        <v>309</v>
      </c>
      <c r="B166" s="9"/>
      <c r="C166" s="9" t="n">
        <v>0.66</v>
      </c>
      <c r="D166" s="9"/>
      <c r="E166" s="9" t="n">
        <v>0.55</v>
      </c>
      <c r="F166" s="9"/>
      <c r="G166" s="9"/>
      <c r="H166" s="9" t="n">
        <v>-0.02</v>
      </c>
      <c r="I166" s="9"/>
      <c r="J166" s="9"/>
      <c r="K166" s="9" t="n">
        <v>0.87</v>
      </c>
      <c r="L166" s="9" t="n">
        <v>1.1</v>
      </c>
      <c r="M166" s="9" t="n">
        <v>-0.43</v>
      </c>
      <c r="N166" s="9" t="n">
        <v>-0.64</v>
      </c>
      <c r="O166" s="9" t="n">
        <v>-0.01</v>
      </c>
      <c r="P166" s="9" t="n">
        <v>-0.22</v>
      </c>
      <c r="Q166" s="58" t="n">
        <f aca="false">TRIMMEAN(B166:P166,2/COUNT(B166:P166))</f>
        <v>0.2</v>
      </c>
    </row>
    <row r="167" customFormat="false" ht="15.75" hidden="false" customHeight="true" outlineLevel="0" collapsed="false">
      <c r="A167" s="57" t="s">
        <v>310</v>
      </c>
      <c r="B167" s="9" t="n">
        <v>0.14</v>
      </c>
      <c r="C167" s="9" t="n">
        <v>-0.47</v>
      </c>
      <c r="D167" s="9"/>
      <c r="E167" s="9" t="n">
        <v>0.45</v>
      </c>
      <c r="F167" s="9" t="n">
        <v>0.47</v>
      </c>
      <c r="G167" s="9" t="n">
        <v>0.55</v>
      </c>
      <c r="H167" s="9"/>
      <c r="I167" s="9"/>
      <c r="J167" s="9" t="n">
        <v>-1.02</v>
      </c>
      <c r="K167" s="9" t="n">
        <v>-0.01</v>
      </c>
      <c r="L167" s="9" t="n">
        <v>0.27</v>
      </c>
      <c r="M167" s="9"/>
      <c r="N167" s="9"/>
      <c r="O167" s="9"/>
      <c r="P167" s="9"/>
      <c r="Q167" s="58" t="n">
        <f aca="false">TRIMMEAN(B167:P167,2/COUNT(B167:P167))</f>
        <v>0.141666666666667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 t="n">
        <v>0.41</v>
      </c>
      <c r="F168" s="9"/>
      <c r="G168" s="9" t="n">
        <v>-0.35</v>
      </c>
      <c r="H168" s="9"/>
      <c r="I168" s="9"/>
      <c r="J168" s="9" t="n">
        <v>-0.77</v>
      </c>
      <c r="K168" s="9"/>
      <c r="L168" s="9" t="n">
        <v>-0.94</v>
      </c>
      <c r="M168" s="9"/>
      <c r="N168" s="9"/>
      <c r="O168" s="9"/>
      <c r="P168" s="9"/>
      <c r="Q168" s="58" t="n">
        <f aca="false">TRIMMEAN(B168:P168,2/COUNT(B168:P168))</f>
        <v>-0.56</v>
      </c>
    </row>
    <row r="169" customFormat="false" ht="15.75" hidden="false" customHeight="true" outlineLevel="0" collapsed="false">
      <c r="A169" s="59" t="s">
        <v>312</v>
      </c>
      <c r="B169" s="9"/>
      <c r="C169" s="9" t="n">
        <v>-1.02</v>
      </c>
      <c r="D169" s="9"/>
      <c r="E169" s="9" t="n">
        <v>-0.49</v>
      </c>
      <c r="F169" s="9" t="n">
        <v>-0.69</v>
      </c>
      <c r="G169" s="9"/>
      <c r="H169" s="9" t="n">
        <v>0.68</v>
      </c>
      <c r="I169" s="9"/>
      <c r="J169" s="9"/>
      <c r="K169" s="9" t="n">
        <v>0.5</v>
      </c>
      <c r="L169" s="9" t="n">
        <v>-0.07</v>
      </c>
      <c r="M169" s="9" t="n">
        <v>0.39</v>
      </c>
      <c r="N169" s="9" t="n">
        <v>-0.63</v>
      </c>
      <c r="O169" s="9"/>
      <c r="P169" s="9"/>
      <c r="Q169" s="58" t="n">
        <f aca="false">TRIMMEAN(B169:P169,2/COUNT(B169:P169))</f>
        <v>-0.165</v>
      </c>
    </row>
    <row r="170" customFormat="false" ht="15.75" hidden="false" customHeight="true" outlineLevel="0" collapsed="false">
      <c r="A170" s="59" t="s">
        <v>313</v>
      </c>
      <c r="B170" s="9" t="n">
        <v>0.43</v>
      </c>
      <c r="C170" s="9" t="n">
        <v>-0.08</v>
      </c>
      <c r="D170" s="9" t="n">
        <v>0.55</v>
      </c>
      <c r="E170" s="9"/>
      <c r="F170" s="9" t="n">
        <v>0.09</v>
      </c>
      <c r="G170" s="9" t="n">
        <v>0.82</v>
      </c>
      <c r="H170" s="9"/>
      <c r="I170" s="9" t="n">
        <v>0.13</v>
      </c>
      <c r="J170" s="9" t="n">
        <v>0.53</v>
      </c>
      <c r="K170" s="9"/>
      <c r="L170" s="9"/>
      <c r="M170" s="9" t="n">
        <v>0.54</v>
      </c>
      <c r="N170" s="9" t="n">
        <v>2.05</v>
      </c>
      <c r="O170" s="9" t="n">
        <v>0.49</v>
      </c>
      <c r="P170" s="9" t="n">
        <v>0.27</v>
      </c>
      <c r="Q170" s="58" t="n">
        <f aca="false">TRIMMEAN(B170:P170,2/COUNT(B170:P170))</f>
        <v>0.427777777777778</v>
      </c>
    </row>
    <row r="171" customFormat="false" ht="15.75" hidden="false" customHeight="true" outlineLevel="0" collapsed="false">
      <c r="A171" s="59" t="s">
        <v>314</v>
      </c>
      <c r="B171" s="9" t="n">
        <v>0.32</v>
      </c>
      <c r="C171" s="9" t="n">
        <v>0.52</v>
      </c>
      <c r="D171" s="9" t="n">
        <v>0.53</v>
      </c>
      <c r="E171" s="9"/>
      <c r="F171" s="9"/>
      <c r="G171" s="9" t="n">
        <v>-0.03</v>
      </c>
      <c r="H171" s="9" t="n">
        <v>-0.07</v>
      </c>
      <c r="I171" s="9"/>
      <c r="J171" s="9" t="n">
        <v>0.24</v>
      </c>
      <c r="K171" s="9" t="n">
        <v>-0.86</v>
      </c>
      <c r="L171" s="9" t="n">
        <v>0.19</v>
      </c>
      <c r="M171" s="9"/>
      <c r="N171" s="9" t="n">
        <v>0.2</v>
      </c>
      <c r="O171" s="9" t="n">
        <v>-0.6</v>
      </c>
      <c r="P171" s="9" t="n">
        <v>-0.11</v>
      </c>
      <c r="Q171" s="58" t="n">
        <f aca="false">TRIMMEAN(B171:P171,2/COUNT(B171:P171))</f>
        <v>0.0733333333333333</v>
      </c>
    </row>
    <row r="172" customFormat="false" ht="15.75" hidden="false" customHeight="true" outlineLevel="0" collapsed="false">
      <c r="A172" s="57" t="s">
        <v>315</v>
      </c>
      <c r="B172" s="9" t="n">
        <v>0.16</v>
      </c>
      <c r="C172" s="9" t="n">
        <v>-0.15</v>
      </c>
      <c r="D172" s="9" t="n">
        <v>0.11</v>
      </c>
      <c r="E172" s="9"/>
      <c r="F172" s="9" t="n">
        <v>-0.42</v>
      </c>
      <c r="G172" s="9" t="n">
        <v>0.22</v>
      </c>
      <c r="H172" s="9"/>
      <c r="I172" s="9" t="n">
        <v>-1.75</v>
      </c>
      <c r="J172" s="9" t="n">
        <v>-0.07</v>
      </c>
      <c r="K172" s="9"/>
      <c r="L172" s="9" t="n">
        <v>1.14</v>
      </c>
      <c r="M172" s="9" t="n">
        <v>-0.87</v>
      </c>
      <c r="N172" s="9"/>
      <c r="O172" s="9" t="n">
        <v>0.03</v>
      </c>
      <c r="P172" s="9" t="n">
        <v>-0.19</v>
      </c>
      <c r="Q172" s="58" t="n">
        <f aca="false">TRIMMEAN(B172:P172,2/COUNT(B172:P172))</f>
        <v>-0.131111111111111</v>
      </c>
    </row>
    <row r="173" customFormat="false" ht="15.75" hidden="false" customHeight="true" outlineLevel="0" collapsed="false">
      <c r="A173" s="57" t="s">
        <v>316</v>
      </c>
      <c r="B173" s="9"/>
      <c r="C173" s="9" t="n">
        <v>0.46</v>
      </c>
      <c r="D173" s="9" t="n">
        <v>0.33</v>
      </c>
      <c r="E173" s="9" t="n">
        <v>0</v>
      </c>
      <c r="F173" s="9" t="n">
        <v>0.65</v>
      </c>
      <c r="G173" s="9"/>
      <c r="H173" s="9" t="n">
        <v>-0.09</v>
      </c>
      <c r="I173" s="9" t="n">
        <v>0.54</v>
      </c>
      <c r="J173" s="9"/>
      <c r="K173" s="9" t="n">
        <v>-0.33</v>
      </c>
      <c r="L173" s="9" t="n">
        <v>-0.03</v>
      </c>
      <c r="M173" s="9" t="n">
        <v>0.71</v>
      </c>
      <c r="N173" s="9" t="n">
        <v>0.87</v>
      </c>
      <c r="O173" s="9" t="n">
        <v>-0.7</v>
      </c>
      <c r="P173" s="9" t="n">
        <v>-0.44</v>
      </c>
      <c r="Q173" s="58" t="n">
        <f aca="false">TRIMMEAN(B173:P173,2/COUNT(B173:P173))</f>
        <v>0.18</v>
      </c>
    </row>
    <row r="174" customFormat="false" ht="15.75" hidden="false" customHeight="true" outlineLevel="0" collapsed="false">
      <c r="A174" s="57" t="s">
        <v>317</v>
      </c>
      <c r="B174" s="9" t="n">
        <v>-0.84</v>
      </c>
      <c r="C174" s="9" t="n">
        <v>-0.81</v>
      </c>
      <c r="D174" s="9" t="n">
        <v>0.33</v>
      </c>
      <c r="E174" s="9"/>
      <c r="F174" s="9" t="n">
        <v>-0.37</v>
      </c>
      <c r="G174" s="9" t="n">
        <v>0.71</v>
      </c>
      <c r="H174" s="9"/>
      <c r="I174" s="9"/>
      <c r="J174" s="9" t="n">
        <v>0.57</v>
      </c>
      <c r="K174" s="9"/>
      <c r="L174" s="9" t="n">
        <v>-0.08</v>
      </c>
      <c r="M174" s="9" t="n">
        <v>0.06</v>
      </c>
      <c r="N174" s="9"/>
      <c r="O174" s="9"/>
      <c r="P174" s="9"/>
      <c r="Q174" s="58" t="n">
        <f aca="false">TRIMMEAN(B174:P174,2/COUNT(B174:P174))</f>
        <v>-0.05</v>
      </c>
    </row>
    <row r="175" customFormat="false" ht="15.75" hidden="false" customHeight="true" outlineLevel="0" collapsed="false">
      <c r="A175" s="57" t="s">
        <v>318</v>
      </c>
      <c r="B175" s="9"/>
      <c r="C175" s="9" t="n">
        <v>-0.03</v>
      </c>
      <c r="D175" s="9" t="n">
        <v>-0.03</v>
      </c>
      <c r="E175" s="9"/>
      <c r="F175" s="9"/>
      <c r="G175" s="9" t="n">
        <v>0.38</v>
      </c>
      <c r="H175" s="9"/>
      <c r="I175" s="9" t="n">
        <v>-0.16</v>
      </c>
      <c r="J175" s="9"/>
      <c r="K175" s="9"/>
      <c r="L175" s="9" t="n">
        <v>0.49</v>
      </c>
      <c r="M175" s="9" t="n">
        <v>-0.61</v>
      </c>
      <c r="N175" s="9"/>
      <c r="O175" s="9"/>
      <c r="P175" s="9"/>
      <c r="Q175" s="58" t="n">
        <f aca="false">TRIMMEAN(B175:P175,2/COUNT(B175:P175))</f>
        <v>0.04</v>
      </c>
    </row>
    <row r="176" customFormat="false" ht="15.75" hidden="false" customHeight="true" outlineLevel="0" collapsed="false">
      <c r="A176" s="59" t="s">
        <v>319</v>
      </c>
      <c r="B176" s="9" t="n">
        <v>-0.04</v>
      </c>
      <c r="C176" s="9" t="n">
        <v>0.48</v>
      </c>
      <c r="D176" s="9" t="n">
        <v>0.77</v>
      </c>
      <c r="E176" s="9"/>
      <c r="F176" s="9"/>
      <c r="G176" s="9" t="n">
        <v>1.28</v>
      </c>
      <c r="H176" s="9"/>
      <c r="I176" s="9" t="n">
        <v>0.62</v>
      </c>
      <c r="J176" s="9" t="n">
        <v>0.44</v>
      </c>
      <c r="K176" s="9"/>
      <c r="L176" s="9"/>
      <c r="M176" s="9" t="n">
        <v>-0.74</v>
      </c>
      <c r="N176" s="9" t="n">
        <v>-0.4</v>
      </c>
      <c r="O176" s="9"/>
      <c r="P176" s="9" t="n">
        <v>0.5</v>
      </c>
      <c r="Q176" s="58" t="n">
        <f aca="false">TRIMMEAN(B176:P176,2/COUNT(B176:P176))</f>
        <v>0.338571428571429</v>
      </c>
    </row>
    <row r="177" customFormat="false" ht="15.75" hidden="false" customHeight="true" outlineLevel="0" collapsed="false">
      <c r="A177" s="57" t="s">
        <v>320</v>
      </c>
      <c r="B177" s="9"/>
      <c r="C177" s="9" t="n">
        <v>0.33</v>
      </c>
      <c r="D177" s="9"/>
      <c r="E177" s="9" t="n">
        <v>0.6</v>
      </c>
      <c r="F177" s="9" t="n">
        <v>0.8</v>
      </c>
      <c r="G177" s="9" t="n">
        <v>0.91</v>
      </c>
      <c r="H177" s="9" t="n">
        <v>-0.15</v>
      </c>
      <c r="I177" s="9"/>
      <c r="J177" s="9" t="n">
        <v>-0.1</v>
      </c>
      <c r="K177" s="9" t="n">
        <v>0.06</v>
      </c>
      <c r="L177" s="9" t="n">
        <v>0.26</v>
      </c>
      <c r="M177" s="9"/>
      <c r="N177" s="9" t="n">
        <v>0.3</v>
      </c>
      <c r="O177" s="9" t="n">
        <v>0.12</v>
      </c>
      <c r="P177" s="9" t="n">
        <v>1.46</v>
      </c>
      <c r="Q177" s="58" t="n">
        <f aca="false">TRIMMEAN(B177:P177,2/COUNT(B177:P177))</f>
        <v>0.364444444444444</v>
      </c>
    </row>
    <row r="178" customFormat="false" ht="15.75" hidden="false" customHeight="true" outlineLevel="0" collapsed="false">
      <c r="A178" s="57" t="s">
        <v>321</v>
      </c>
      <c r="B178" s="9"/>
      <c r="C178" s="9" t="n">
        <v>-1.01</v>
      </c>
      <c r="D178" s="9"/>
      <c r="E178" s="9" t="n">
        <v>0.33</v>
      </c>
      <c r="F178" s="9" t="n">
        <v>0.11</v>
      </c>
      <c r="G178" s="9" t="n">
        <v>-1.37</v>
      </c>
      <c r="H178" s="9"/>
      <c r="I178" s="9"/>
      <c r="J178" s="9"/>
      <c r="K178" s="9" t="n">
        <v>-0.17</v>
      </c>
      <c r="L178" s="9" t="n">
        <v>0.61</v>
      </c>
      <c r="M178" s="9"/>
      <c r="N178" s="9"/>
      <c r="O178" s="9"/>
      <c r="P178" s="9"/>
      <c r="Q178" s="58" t="n">
        <f aca="false">TRIMMEAN(B178:P178,2/COUNT(B178:P178))</f>
        <v>-0.185</v>
      </c>
    </row>
    <row r="179" customFormat="false" ht="15.75" hidden="false" customHeight="true" outlineLevel="0" collapsed="false">
      <c r="A179" s="57" t="s">
        <v>322</v>
      </c>
      <c r="B179" s="9" t="n">
        <v>-0.07</v>
      </c>
      <c r="C179" s="9" t="n">
        <v>-0.66</v>
      </c>
      <c r="D179" s="9"/>
      <c r="E179" s="9"/>
      <c r="F179" s="9" t="n">
        <v>-1.36</v>
      </c>
      <c r="G179" s="9" t="n">
        <v>0.29</v>
      </c>
      <c r="H179" s="9"/>
      <c r="I179" s="9"/>
      <c r="J179" s="9" t="n">
        <v>0.64</v>
      </c>
      <c r="K179" s="9" t="n">
        <v>-0.83</v>
      </c>
      <c r="L179" s="9" t="n">
        <v>-0.51</v>
      </c>
      <c r="M179" s="9"/>
      <c r="N179" s="9"/>
      <c r="O179" s="9"/>
      <c r="P179" s="9"/>
      <c r="Q179" s="58" t="n">
        <f aca="false">TRIMMEAN(B179:P179,2/COUNT(B179:P179))</f>
        <v>-0.356</v>
      </c>
    </row>
    <row r="180" customFormat="false" ht="15.75" hidden="false" customHeight="true" outlineLevel="0" collapsed="false">
      <c r="A180" s="59" t="s">
        <v>323</v>
      </c>
      <c r="B180" s="9" t="n">
        <v>0.3</v>
      </c>
      <c r="C180" s="9"/>
      <c r="D180" s="9" t="n">
        <v>-0.54</v>
      </c>
      <c r="E180" s="9" t="n">
        <v>0.78</v>
      </c>
      <c r="F180" s="9" t="n">
        <v>-0.94</v>
      </c>
      <c r="G180" s="9"/>
      <c r="H180" s="9" t="n">
        <v>0.48</v>
      </c>
      <c r="I180" s="9" t="n">
        <v>-0.14</v>
      </c>
      <c r="J180" s="9" t="n">
        <v>-0.04</v>
      </c>
      <c r="K180" s="9" t="n">
        <v>0.25</v>
      </c>
      <c r="L180" s="9"/>
      <c r="M180" s="9" t="n">
        <v>-1.26</v>
      </c>
      <c r="N180" s="9" t="n">
        <v>0.01</v>
      </c>
      <c r="O180" s="9"/>
      <c r="P180" s="9" t="n">
        <v>0.13</v>
      </c>
      <c r="Q180" s="58" t="n">
        <f aca="false">TRIMMEAN(B180:P180,2/COUNT(B180:P180))</f>
        <v>-0.0544444444444445</v>
      </c>
    </row>
    <row r="181" customFormat="false" ht="15.75" hidden="false" customHeight="true" outlineLevel="0" collapsed="false">
      <c r="A181" s="57" t="s">
        <v>324</v>
      </c>
      <c r="B181" s="9" t="n">
        <v>-0.5</v>
      </c>
      <c r="C181" s="9" t="n">
        <v>0.45</v>
      </c>
      <c r="D181" s="9"/>
      <c r="E181" s="9"/>
      <c r="F181" s="9"/>
      <c r="G181" s="9" t="n">
        <v>0.26</v>
      </c>
      <c r="H181" s="9"/>
      <c r="I181" s="9"/>
      <c r="J181" s="9" t="n">
        <v>-0.53</v>
      </c>
      <c r="K181" s="9"/>
      <c r="L181" s="9" t="n">
        <v>-0.26</v>
      </c>
      <c r="M181" s="9" t="n">
        <v>1.28</v>
      </c>
      <c r="N181" s="9"/>
      <c r="O181" s="9"/>
      <c r="P181" s="9"/>
      <c r="Q181" s="58" t="n">
        <f aca="false">TRIMMEAN(B181:P181,2/COUNT(B181:P181))</f>
        <v>-0.0125</v>
      </c>
    </row>
    <row r="182" customFormat="false" ht="15.75" hidden="false" customHeight="true" outlineLevel="0" collapsed="false">
      <c r="A182" s="59" t="s">
        <v>325</v>
      </c>
      <c r="B182" s="9"/>
      <c r="C182" s="9" t="n">
        <v>-0.6</v>
      </c>
      <c r="D182" s="9"/>
      <c r="E182" s="9" t="n">
        <v>1.17</v>
      </c>
      <c r="F182" s="9"/>
      <c r="G182" s="9"/>
      <c r="H182" s="9"/>
      <c r="I182" s="9" t="n">
        <v>-0.8</v>
      </c>
      <c r="J182" s="9"/>
      <c r="K182" s="9"/>
      <c r="L182" s="9"/>
      <c r="M182" s="9"/>
      <c r="N182" s="9"/>
      <c r="O182" s="9"/>
      <c r="P182" s="9"/>
      <c r="Q182" s="58" t="n">
        <f aca="false">TRIMMEAN(B182:P182,2/COUNT(B182:P182))</f>
        <v>-0.6</v>
      </c>
    </row>
    <row r="183" customFormat="false" ht="15.75" hidden="false" customHeight="true" outlineLevel="0" collapsed="false">
      <c r="A183" s="57" t="s">
        <v>326</v>
      </c>
      <c r="B183" s="9"/>
      <c r="C183" s="9" t="n">
        <v>-0.32</v>
      </c>
      <c r="D183" s="9"/>
      <c r="E183" s="9" t="n">
        <v>0.21</v>
      </c>
      <c r="F183" s="9" t="n">
        <v>0.25</v>
      </c>
      <c r="G183" s="9"/>
      <c r="H183" s="9" t="n">
        <v>0.63</v>
      </c>
      <c r="I183" s="9"/>
      <c r="J183" s="9"/>
      <c r="K183" s="9" t="n">
        <v>0.48</v>
      </c>
      <c r="L183" s="9" t="n">
        <v>-1.66</v>
      </c>
      <c r="M183" s="9"/>
      <c r="N183" s="9" t="n">
        <v>-0.84</v>
      </c>
      <c r="O183" s="9"/>
      <c r="P183" s="9"/>
      <c r="Q183" s="58" t="n">
        <f aca="false">TRIMMEAN(B183:P183,2/COUNT(B183:P183))</f>
        <v>-0.044</v>
      </c>
    </row>
    <row r="184" customFormat="false" ht="15.75" hidden="false" customHeight="true" outlineLevel="0" collapsed="false">
      <c r="A184" s="59" t="s">
        <v>327</v>
      </c>
      <c r="B184" s="9" t="n">
        <v>0.73</v>
      </c>
      <c r="C184" s="9"/>
      <c r="D184" s="9" t="n">
        <v>0.29</v>
      </c>
      <c r="E184" s="9"/>
      <c r="F184" s="9"/>
      <c r="G184" s="9"/>
      <c r="H184" s="9" t="n">
        <v>0.03</v>
      </c>
      <c r="I184" s="9" t="n">
        <v>-0.46</v>
      </c>
      <c r="J184" s="9" t="n">
        <v>-0.67</v>
      </c>
      <c r="K184" s="9"/>
      <c r="L184" s="9"/>
      <c r="M184" s="9" t="n">
        <v>-0.57</v>
      </c>
      <c r="N184" s="9"/>
      <c r="O184" s="9"/>
      <c r="P184" s="9"/>
      <c r="Q184" s="58" t="n">
        <f aca="false">TRIMMEAN(B184:P184,2/COUNT(B184:P184))</f>
        <v>-0.1775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 t="n">
        <v>-0.36</v>
      </c>
      <c r="E185" s="9" t="n">
        <v>-0.74</v>
      </c>
      <c r="F185" s="9" t="n">
        <v>-0.38</v>
      </c>
      <c r="G185" s="9"/>
      <c r="H185" s="9" t="n">
        <v>0.33</v>
      </c>
      <c r="I185" s="9" t="n">
        <v>-0.6</v>
      </c>
      <c r="J185" s="9"/>
      <c r="K185" s="9" t="n">
        <v>-0.02</v>
      </c>
      <c r="L185" s="9" t="n">
        <v>0.28</v>
      </c>
      <c r="M185" s="9"/>
      <c r="N185" s="9" t="n">
        <v>-0.24</v>
      </c>
      <c r="O185" s="9" t="n">
        <v>-0.52</v>
      </c>
      <c r="P185" s="9" t="n">
        <v>0.09</v>
      </c>
      <c r="Q185" s="58" t="n">
        <f aca="false">TRIMMEAN(B185:P185,2/COUNT(B185:P185))</f>
        <v>-0.21875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-0.17</v>
      </c>
      <c r="C187" s="9" t="n">
        <v>0.34</v>
      </c>
      <c r="D187" s="9"/>
      <c r="E187" s="9" t="n">
        <v>0.44</v>
      </c>
      <c r="F187" s="9" t="n">
        <v>-0.32</v>
      </c>
      <c r="G187" s="9" t="n">
        <v>0.82</v>
      </c>
      <c r="H187" s="9"/>
      <c r="I187" s="9"/>
      <c r="J187" s="9" t="n">
        <v>1.05</v>
      </c>
      <c r="K187" s="9" t="n">
        <v>0.25</v>
      </c>
      <c r="L187" s="9" t="n">
        <v>-0.33</v>
      </c>
      <c r="M187" s="9"/>
      <c r="N187" s="9"/>
      <c r="O187" s="9"/>
      <c r="P187" s="9"/>
      <c r="Q187" s="58" t="n">
        <f aca="false">TRIMMEAN(B187:P187,2/COUNT(B187:P187))</f>
        <v>0.226666666666667</v>
      </c>
    </row>
    <row r="188" customFormat="false" ht="15.75" hidden="false" customHeight="true" outlineLevel="0" collapsed="false">
      <c r="A188" s="57" t="s">
        <v>331</v>
      </c>
      <c r="B188" s="9"/>
      <c r="C188" s="9" t="n">
        <v>-0.16</v>
      </c>
      <c r="D188" s="9"/>
      <c r="E188" s="9" t="n">
        <v>0.25</v>
      </c>
      <c r="F188" s="9" t="n">
        <v>-0.31</v>
      </c>
      <c r="G188" s="9"/>
      <c r="H188" s="9" t="n">
        <v>-0.71</v>
      </c>
      <c r="I188" s="9"/>
      <c r="J188" s="9"/>
      <c r="K188" s="9" t="n">
        <v>0.06</v>
      </c>
      <c r="L188" s="9" t="n">
        <v>0.33</v>
      </c>
      <c r="M188" s="9" t="n">
        <v>0.79</v>
      </c>
      <c r="N188" s="9" t="n">
        <v>-0.47</v>
      </c>
      <c r="O188" s="9" t="n">
        <v>0.62</v>
      </c>
      <c r="P188" s="9"/>
      <c r="Q188" s="58" t="n">
        <f aca="false">TRIMMEAN(B188:P188,2/COUNT(B188:P188))</f>
        <v>0.0457142857142857</v>
      </c>
    </row>
    <row r="189" customFormat="false" ht="15.75" hidden="false" customHeight="true" outlineLevel="0" collapsed="false">
      <c r="A189" s="57" t="s">
        <v>332</v>
      </c>
      <c r="B189" s="9"/>
      <c r="C189" s="9" t="n">
        <v>-0.53</v>
      </c>
      <c r="D189" s="9" t="n">
        <v>-0.78</v>
      </c>
      <c r="E189" s="9" t="n">
        <v>-0.27</v>
      </c>
      <c r="F189" s="9" t="n">
        <v>-0.2</v>
      </c>
      <c r="G189" s="9"/>
      <c r="H189" s="9" t="n">
        <v>-0.53</v>
      </c>
      <c r="I189" s="9"/>
      <c r="J189" s="9"/>
      <c r="K189" s="9" t="n">
        <v>-0.68</v>
      </c>
      <c r="L189" s="9" t="n">
        <v>-0.55</v>
      </c>
      <c r="M189" s="9" t="n">
        <v>0.44</v>
      </c>
      <c r="N189" s="9" t="n">
        <v>0.78</v>
      </c>
      <c r="O189" s="9" t="n">
        <v>1.18</v>
      </c>
      <c r="P189" s="9" t="n">
        <v>-0.27</v>
      </c>
      <c r="Q189" s="58" t="n">
        <f aca="false">TRIMMEAN(B189:P189,2/COUNT(B189:P189))</f>
        <v>-0.201111111111111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 t="n">
        <v>-0.29</v>
      </c>
      <c r="E191" s="9"/>
      <c r="F191" s="9" t="n">
        <v>-0.77</v>
      </c>
      <c r="G191" s="9" t="n">
        <v>-0.71</v>
      </c>
      <c r="H191" s="9"/>
      <c r="I191" s="9" t="n">
        <v>0.4</v>
      </c>
      <c r="J191" s="9"/>
      <c r="K191" s="9"/>
      <c r="L191" s="9"/>
      <c r="M191" s="9" t="n">
        <v>0.5</v>
      </c>
      <c r="N191" s="9"/>
      <c r="O191" s="9"/>
      <c r="P191" s="9"/>
      <c r="Q191" s="58" t="n">
        <f aca="false">TRIMMEAN(B191:P191,2/COUNT(B191:P191))</f>
        <v>-0.2</v>
      </c>
    </row>
    <row r="192" customFormat="false" ht="15.75" hidden="false" customHeight="true" outlineLevel="0" collapsed="false">
      <c r="A192" s="57" t="s">
        <v>335</v>
      </c>
      <c r="B192" s="9" t="n">
        <v>-0.09</v>
      </c>
      <c r="C192" s="9" t="n">
        <v>-0.93</v>
      </c>
      <c r="D192" s="9" t="n">
        <v>0.21</v>
      </c>
      <c r="E192" s="9"/>
      <c r="F192" s="9"/>
      <c r="G192" s="9" t="n">
        <v>0.92</v>
      </c>
      <c r="H192" s="9" t="n">
        <v>-0.51</v>
      </c>
      <c r="I192" s="9" t="n">
        <v>0.34</v>
      </c>
      <c r="J192" s="9" t="n">
        <v>-0.38</v>
      </c>
      <c r="K192" s="9"/>
      <c r="L192" s="9" t="n">
        <v>-0.04</v>
      </c>
      <c r="M192" s="9" t="n">
        <v>0.23</v>
      </c>
      <c r="N192" s="9"/>
      <c r="O192" s="9"/>
      <c r="P192" s="9" t="n">
        <v>0.88</v>
      </c>
      <c r="Q192" s="58" t="n">
        <f aca="false">TRIMMEAN(B192:P192,2/COUNT(B192:P192))</f>
        <v>0.08</v>
      </c>
    </row>
    <row r="193" customFormat="false" ht="15.75" hidden="false" customHeight="true" outlineLevel="0" collapsed="false">
      <c r="A193" s="57" t="s">
        <v>336</v>
      </c>
      <c r="B193" s="9" t="n">
        <v>-1.01</v>
      </c>
      <c r="C193" s="9" t="n">
        <v>-0.79</v>
      </c>
      <c r="D193" s="9"/>
      <c r="E193" s="9" t="n">
        <v>-0.81</v>
      </c>
      <c r="F193" s="9"/>
      <c r="G193" s="9" t="n">
        <v>-1.04</v>
      </c>
      <c r="H193" s="9"/>
      <c r="I193" s="9" t="n">
        <v>-0.23</v>
      </c>
      <c r="J193" s="9" t="n">
        <v>-0.65</v>
      </c>
      <c r="K193" s="9" t="n">
        <v>0.24</v>
      </c>
      <c r="L193" s="9" t="n">
        <v>-0.89</v>
      </c>
      <c r="M193" s="9" t="n">
        <v>-0.63</v>
      </c>
      <c r="N193" s="9"/>
      <c r="O193" s="9"/>
      <c r="P193" s="9"/>
      <c r="Q193" s="58" t="n">
        <f aca="false">TRIMMEAN(B193:P193,2/COUNT(B193:P193))</f>
        <v>-0.715714285714286</v>
      </c>
    </row>
    <row r="194" customFormat="false" ht="15.75" hidden="false" customHeight="true" outlineLevel="0" collapsed="false">
      <c r="A194" s="59" t="s">
        <v>337</v>
      </c>
      <c r="B194" s="9"/>
      <c r="C194" s="9" t="n">
        <v>0.47</v>
      </c>
      <c r="D194" s="9"/>
      <c r="E194" s="9" t="n">
        <v>-1.87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 t="n">
        <v>-0.09</v>
      </c>
      <c r="D195" s="9"/>
      <c r="E195" s="9"/>
      <c r="F195" s="9"/>
      <c r="G195" s="9"/>
      <c r="H195" s="9"/>
      <c r="I195" s="9"/>
      <c r="J195" s="9"/>
      <c r="K195" s="9" t="n">
        <v>-0.03</v>
      </c>
      <c r="L195" s="9" t="n">
        <v>0.05</v>
      </c>
      <c r="M195" s="9" t="n">
        <v>0.09</v>
      </c>
      <c r="N195" s="9"/>
      <c r="O195" s="9"/>
      <c r="P195" s="9"/>
      <c r="Q195" s="58" t="n">
        <f aca="false">TRIMMEAN(B195:P195,2/COUNT(B195:P195))</f>
        <v>0.01</v>
      </c>
    </row>
    <row r="196" customFormat="false" ht="15.75" hidden="false" customHeight="true" outlineLevel="0" collapsed="false">
      <c r="A196" s="57" t="s">
        <v>339</v>
      </c>
      <c r="B196" s="9" t="n">
        <v>1.16</v>
      </c>
      <c r="C196" s="9" t="n">
        <v>1.09</v>
      </c>
      <c r="D196" s="9" t="n">
        <v>0.32</v>
      </c>
      <c r="E196" s="9"/>
      <c r="F196" s="9" t="n">
        <v>0.02</v>
      </c>
      <c r="G196" s="9" t="n">
        <v>-1.7</v>
      </c>
      <c r="H196" s="9"/>
      <c r="I196" s="9" t="n">
        <v>0.2</v>
      </c>
      <c r="J196" s="9" t="n">
        <v>0.2</v>
      </c>
      <c r="K196" s="9" t="n">
        <v>0.74</v>
      </c>
      <c r="L196" s="9" t="n">
        <v>0.53</v>
      </c>
      <c r="M196" s="9" t="n">
        <v>-0.09</v>
      </c>
      <c r="N196" s="9"/>
      <c r="O196" s="9" t="n">
        <v>0.82</v>
      </c>
      <c r="P196" s="9" t="n">
        <v>1.3</v>
      </c>
      <c r="Q196" s="58" t="n">
        <f aca="false">TRIMMEAN(B196:P196,2/COUNT(B196:P196))</f>
        <v>0.499</v>
      </c>
    </row>
    <row r="197" customFormat="false" ht="15.75" hidden="false" customHeight="true" outlineLevel="0" collapsed="false">
      <c r="A197" s="59" t="s">
        <v>340</v>
      </c>
      <c r="B197" s="9"/>
      <c r="C197" s="9" t="n">
        <v>0.28</v>
      </c>
      <c r="D197" s="9"/>
      <c r="E197" s="9" t="n">
        <v>-1.48</v>
      </c>
      <c r="F197" s="9" t="n">
        <v>0.88</v>
      </c>
      <c r="G197" s="9"/>
      <c r="H197" s="9" t="n">
        <v>0.1</v>
      </c>
      <c r="I197" s="9"/>
      <c r="J197" s="9"/>
      <c r="K197" s="9" t="n">
        <v>-0.22</v>
      </c>
      <c r="L197" s="9" t="n">
        <v>0.19</v>
      </c>
      <c r="M197" s="9" t="n">
        <v>-0.62</v>
      </c>
      <c r="N197" s="9" t="n">
        <v>-0.36</v>
      </c>
      <c r="O197" s="9" t="n">
        <v>-0.46</v>
      </c>
      <c r="P197" s="9" t="n">
        <v>-0.03</v>
      </c>
      <c r="Q197" s="58" t="n">
        <f aca="false">TRIMMEAN(B197:P197,2/COUNT(B197:P197))</f>
        <v>-0.14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 t="n">
        <v>0.26</v>
      </c>
      <c r="F198" s="9" t="n">
        <v>-0.59</v>
      </c>
      <c r="G198" s="9"/>
      <c r="H198" s="9" t="n">
        <v>-0.29</v>
      </c>
      <c r="I198" s="9"/>
      <c r="J198" s="9"/>
      <c r="K198" s="9" t="n">
        <v>0.38</v>
      </c>
      <c r="L198" s="9" t="n">
        <v>-0.8</v>
      </c>
      <c r="M198" s="9"/>
      <c r="N198" s="9" t="n">
        <v>-0.36</v>
      </c>
      <c r="O198" s="9" t="n">
        <v>0.21</v>
      </c>
      <c r="P198" s="9" t="n">
        <v>0.29</v>
      </c>
      <c r="Q198" s="58" t="n">
        <f aca="false">TRIMMEAN(B198:P198,2/COUNT(B198:P198))</f>
        <v>-0.08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 t="n">
        <v>-0.42</v>
      </c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 t="n">
        <v>0.05</v>
      </c>
      <c r="D200" s="9"/>
      <c r="E200" s="9"/>
      <c r="F200" s="9" t="n">
        <v>-0.14</v>
      </c>
      <c r="G200" s="9" t="n">
        <v>-0.61</v>
      </c>
      <c r="H200" s="9"/>
      <c r="I200" s="9" t="n">
        <v>-0.3</v>
      </c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-0.22</v>
      </c>
    </row>
    <row r="201" customFormat="false" ht="15.75" hidden="false" customHeight="true" outlineLevel="0" collapsed="false">
      <c r="A201" s="57" t="s">
        <v>344</v>
      </c>
      <c r="B201" s="9" t="n">
        <v>-0.81</v>
      </c>
      <c r="C201" s="9" t="n">
        <v>-0.6</v>
      </c>
      <c r="D201" s="9"/>
      <c r="E201" s="9" t="n">
        <v>0.44</v>
      </c>
      <c r="F201" s="9" t="n">
        <v>1.23</v>
      </c>
      <c r="G201" s="9" t="n">
        <v>-0.41</v>
      </c>
      <c r="H201" s="9"/>
      <c r="I201" s="9"/>
      <c r="J201" s="9" t="n">
        <v>1.17</v>
      </c>
      <c r="K201" s="9" t="n">
        <v>0.71</v>
      </c>
      <c r="L201" s="9" t="n">
        <v>-0.02</v>
      </c>
      <c r="M201" s="9"/>
      <c r="N201" s="9"/>
      <c r="O201" s="9"/>
      <c r="P201" s="9"/>
      <c r="Q201" s="58" t="n">
        <f aca="false">TRIMMEAN(B201:P201,2/COUNT(B201:P201))</f>
        <v>0.215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 t="n">
        <v>-0.14</v>
      </c>
      <c r="G202" s="9"/>
      <c r="H202" s="9"/>
      <c r="I202" s="9"/>
      <c r="J202" s="9"/>
      <c r="K202" s="9"/>
      <c r="L202" s="9"/>
      <c r="M202" s="9" t="n">
        <v>-0.82</v>
      </c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-0.03</v>
      </c>
      <c r="D203" s="9" t="n">
        <v>-0.03</v>
      </c>
      <c r="E203" s="9" t="n">
        <v>0.7</v>
      </c>
      <c r="F203" s="9" t="n">
        <v>-0.56</v>
      </c>
      <c r="G203" s="9"/>
      <c r="H203" s="9" t="n">
        <v>0.1</v>
      </c>
      <c r="I203" s="9" t="n">
        <v>0.96</v>
      </c>
      <c r="J203" s="9"/>
      <c r="K203" s="9"/>
      <c r="L203" s="9" t="n">
        <v>-1.39</v>
      </c>
      <c r="M203" s="9" t="n">
        <v>0.1</v>
      </c>
      <c r="N203" s="9" t="n">
        <v>1.07</v>
      </c>
      <c r="O203" s="9" t="n">
        <v>0.49</v>
      </c>
      <c r="P203" s="9" t="n">
        <v>0.41</v>
      </c>
      <c r="Q203" s="58" t="n">
        <f aca="false">TRIMMEAN(B203:P203,2/COUNT(B203:P203))</f>
        <v>0.237777777777778</v>
      </c>
    </row>
    <row r="204" customFormat="false" ht="15.75" hidden="false" customHeight="true" outlineLevel="0" collapsed="false">
      <c r="A204" s="59" t="s">
        <v>347</v>
      </c>
      <c r="B204" s="9"/>
      <c r="C204" s="9" t="n">
        <v>-0.57</v>
      </c>
      <c r="D204" s="9"/>
      <c r="E204" s="9" t="n">
        <v>0.39</v>
      </c>
      <c r="F204" s="9"/>
      <c r="G204" s="9"/>
      <c r="H204" s="9" t="n">
        <v>-0.65</v>
      </c>
      <c r="I204" s="9"/>
      <c r="J204" s="9"/>
      <c r="K204" s="9" t="n">
        <v>-0.91</v>
      </c>
      <c r="L204" s="9" t="n">
        <v>-0.33</v>
      </c>
      <c r="M204" s="9" t="n">
        <v>0.05</v>
      </c>
      <c r="N204" s="9" t="n">
        <v>-0.07</v>
      </c>
      <c r="O204" s="9"/>
      <c r="P204" s="9"/>
      <c r="Q204" s="58" t="n">
        <f aca="false">TRIMMEAN(B204:P204,2/COUNT(B204:P204))</f>
        <v>-0.314</v>
      </c>
    </row>
    <row r="205" customFormat="false" ht="15.75" hidden="false" customHeight="true" outlineLevel="0" collapsed="false">
      <c r="A205" s="57" t="s">
        <v>348</v>
      </c>
      <c r="B205" s="9"/>
      <c r="C205" s="9" t="n">
        <v>0.55</v>
      </c>
      <c r="D205" s="9"/>
      <c r="E205" s="9" t="n">
        <v>0.26</v>
      </c>
      <c r="F205" s="9" t="n">
        <v>-0.32</v>
      </c>
      <c r="G205" s="9"/>
      <c r="H205" s="9" t="n">
        <v>0.08</v>
      </c>
      <c r="I205" s="9"/>
      <c r="J205" s="9"/>
      <c r="K205" s="9" t="n">
        <v>0.39</v>
      </c>
      <c r="L205" s="9" t="n">
        <v>-0.49</v>
      </c>
      <c r="M205" s="9"/>
      <c r="N205" s="9" t="n">
        <v>0.18</v>
      </c>
      <c r="O205" s="9" t="n">
        <v>-0.83</v>
      </c>
      <c r="P205" s="9" t="n">
        <v>0.27</v>
      </c>
      <c r="Q205" s="58" t="n">
        <f aca="false">TRIMMEAN(B205:P205,2/COUNT(B205:P205))</f>
        <v>0.0528571428571429</v>
      </c>
    </row>
    <row r="206" customFormat="false" ht="15.75" hidden="false" customHeight="true" outlineLevel="0" collapsed="false">
      <c r="A206" s="59" t="s">
        <v>349</v>
      </c>
      <c r="B206" s="9" t="n">
        <v>-0.98</v>
      </c>
      <c r="C206" s="9" t="n">
        <v>0.89</v>
      </c>
      <c r="D206" s="9" t="n">
        <v>-0.97</v>
      </c>
      <c r="E206" s="9" t="n">
        <v>-0.25</v>
      </c>
      <c r="F206" s="9"/>
      <c r="G206" s="9" t="n">
        <v>0</v>
      </c>
      <c r="H206" s="9" t="n">
        <v>0.09</v>
      </c>
      <c r="I206" s="9"/>
      <c r="J206" s="9" t="n">
        <v>0.37</v>
      </c>
      <c r="K206" s="9" t="n">
        <v>1.04</v>
      </c>
      <c r="L206" s="9" t="n">
        <v>0.16</v>
      </c>
      <c r="M206" s="9" t="n">
        <v>0.25</v>
      </c>
      <c r="N206" s="9" t="n">
        <v>-0.24</v>
      </c>
      <c r="O206" s="9" t="n">
        <v>0.07</v>
      </c>
      <c r="P206" s="9" t="n">
        <v>-0.32</v>
      </c>
      <c r="Q206" s="58" t="n">
        <f aca="false">TRIMMEAN(B206:P206,2/COUNT(B206:P206))</f>
        <v>0.00454545454545455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 t="n">
        <v>-1.13</v>
      </c>
      <c r="E207" s="9"/>
      <c r="F207" s="9"/>
      <c r="G207" s="9"/>
      <c r="H207" s="9"/>
      <c r="I207" s="9"/>
      <c r="J207" s="9"/>
      <c r="K207" s="9" t="n">
        <v>-0.43</v>
      </c>
      <c r="L207" s="9" t="n">
        <v>0.74</v>
      </c>
      <c r="M207" s="9" t="n">
        <v>-0.24</v>
      </c>
      <c r="N207" s="9"/>
      <c r="O207" s="9" t="n">
        <v>0.4</v>
      </c>
      <c r="P207" s="9" t="n">
        <v>0.22</v>
      </c>
      <c r="Q207" s="58" t="n">
        <f aca="false">TRIMMEAN(B207:P207,2/COUNT(B207:P207))</f>
        <v>-0.0125</v>
      </c>
    </row>
    <row r="208" customFormat="false" ht="15.75" hidden="false" customHeight="true" outlineLevel="0" collapsed="false">
      <c r="A208" s="57" t="s">
        <v>351</v>
      </c>
      <c r="B208" s="9"/>
      <c r="C208" s="9" t="n">
        <v>0.18</v>
      </c>
      <c r="D208" s="9"/>
      <c r="E208" s="9" t="n">
        <v>-0.06</v>
      </c>
      <c r="F208" s="9" t="n">
        <v>-0.06</v>
      </c>
      <c r="G208" s="9" t="n">
        <v>-0.13</v>
      </c>
      <c r="H208" s="9"/>
      <c r="I208" s="9"/>
      <c r="J208" s="9"/>
      <c r="K208" s="9" t="n">
        <v>0.43</v>
      </c>
      <c r="L208" s="9" t="n">
        <v>-0.01</v>
      </c>
      <c r="M208" s="9" t="n">
        <v>1.03</v>
      </c>
      <c r="N208" s="9"/>
      <c r="O208" s="9"/>
      <c r="P208" s="9"/>
      <c r="Q208" s="58" t="n">
        <f aca="false">TRIMMEAN(B208:P208,2/COUNT(B208:P208))</f>
        <v>0.096</v>
      </c>
    </row>
    <row r="209" customFormat="false" ht="15.75" hidden="false" customHeight="true" outlineLevel="0" collapsed="false">
      <c r="A209" s="59" t="s">
        <v>352</v>
      </c>
      <c r="B209" s="9"/>
      <c r="C209" s="9" t="n">
        <v>1.99</v>
      </c>
      <c r="D209" s="9"/>
      <c r="E209" s="9" t="n">
        <v>0</v>
      </c>
      <c r="F209" s="9" t="n">
        <v>-1.1</v>
      </c>
      <c r="G209" s="9"/>
      <c r="H209" s="9" t="n">
        <v>0.08</v>
      </c>
      <c r="I209" s="9"/>
      <c r="J209" s="9"/>
      <c r="K209" s="9" t="n">
        <v>-0.62</v>
      </c>
      <c r="L209" s="9" t="n">
        <v>0.29</v>
      </c>
      <c r="M209" s="9" t="n">
        <v>0.86</v>
      </c>
      <c r="N209" s="9" t="n">
        <v>-0.29</v>
      </c>
      <c r="O209" s="9"/>
      <c r="P209" s="9"/>
      <c r="Q209" s="58" t="n">
        <f aca="false">TRIMMEAN(B209:P209,2/COUNT(B209:P209))</f>
        <v>0.0533333333333333</v>
      </c>
    </row>
    <row r="210" customFormat="false" ht="15.75" hidden="false" customHeight="true" outlineLevel="0" collapsed="false">
      <c r="A210" s="59" t="s">
        <v>353</v>
      </c>
      <c r="B210" s="9"/>
      <c r="C210" s="9" t="n">
        <v>0.55</v>
      </c>
      <c r="D210" s="9"/>
      <c r="E210" s="9" t="n">
        <v>0.76</v>
      </c>
      <c r="F210" s="9" t="n">
        <v>-0.49</v>
      </c>
      <c r="G210" s="9"/>
      <c r="H210" s="9" t="n">
        <v>0.14</v>
      </c>
      <c r="I210" s="9" t="n">
        <v>0.74</v>
      </c>
      <c r="J210" s="9"/>
      <c r="K210" s="9" t="n">
        <v>1.16</v>
      </c>
      <c r="L210" s="9" t="n">
        <v>0.1</v>
      </c>
      <c r="M210" s="9"/>
      <c r="N210" s="9" t="n">
        <v>0.88</v>
      </c>
      <c r="O210" s="9" t="n">
        <v>0.74</v>
      </c>
      <c r="P210" s="9" t="n">
        <v>0.35</v>
      </c>
      <c r="Q210" s="58" t="n">
        <f aca="false">TRIMMEAN(B210:P210,2/COUNT(B210:P210))</f>
        <v>0.5325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 t="n">
        <v>1.01</v>
      </c>
      <c r="F211" s="9"/>
      <c r="G211" s="9"/>
      <c r="H211" s="9"/>
      <c r="I211" s="9"/>
      <c r="J211" s="9"/>
      <c r="K211" s="9"/>
      <c r="L211" s="9" t="n">
        <v>-0.72</v>
      </c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-0.64</v>
      </c>
      <c r="C212" s="9" t="n">
        <v>-0.56</v>
      </c>
      <c r="D212" s="9" t="n">
        <v>0.75</v>
      </c>
      <c r="E212" s="9"/>
      <c r="F212" s="9" t="n">
        <v>-0.23</v>
      </c>
      <c r="G212" s="9" t="n">
        <v>0.46</v>
      </c>
      <c r="H212" s="9"/>
      <c r="I212" s="9" t="n">
        <v>1</v>
      </c>
      <c r="J212" s="9" t="n">
        <v>-1.3</v>
      </c>
      <c r="K212" s="9" t="n">
        <v>-0.37</v>
      </c>
      <c r="L212" s="9"/>
      <c r="M212" s="9" t="n">
        <v>-0.36</v>
      </c>
      <c r="N212" s="9"/>
      <c r="O212" s="9"/>
      <c r="P212" s="9" t="n">
        <v>0.33</v>
      </c>
      <c r="Q212" s="58" t="n">
        <f aca="false">TRIMMEAN(B212:P212,2/COUNT(B212:P212))</f>
        <v>-0.0775</v>
      </c>
    </row>
    <row r="213" customFormat="false" ht="15.75" hidden="false" customHeight="true" outlineLevel="0" collapsed="false">
      <c r="A213" s="57" t="s">
        <v>356</v>
      </c>
      <c r="B213" s="9" t="n">
        <v>-0.22</v>
      </c>
      <c r="C213" s="9"/>
      <c r="D213" s="9" t="n">
        <v>0.16</v>
      </c>
      <c r="E213" s="9"/>
      <c r="F213" s="9"/>
      <c r="G213" s="9"/>
      <c r="H213" s="9" t="n">
        <v>0.66</v>
      </c>
      <c r="I213" s="9"/>
      <c r="J213" s="9"/>
      <c r="K213" s="9" t="n">
        <v>-0.4</v>
      </c>
      <c r="L213" s="9" t="n">
        <v>-0.46</v>
      </c>
      <c r="M213" s="9" t="n">
        <v>-0.58</v>
      </c>
      <c r="N213" s="9" t="n">
        <v>-1.31</v>
      </c>
      <c r="O213" s="9" t="n">
        <v>-0.71</v>
      </c>
      <c r="P213" s="9" t="n">
        <v>-2.52</v>
      </c>
      <c r="Q213" s="58" t="n">
        <f aca="false">TRIMMEAN(B213:P213,2/COUNT(B213:P213))</f>
        <v>-0.502857142857143</v>
      </c>
    </row>
    <row r="214" customFormat="false" ht="15.75" hidden="false" customHeight="true" outlineLevel="0" collapsed="false">
      <c r="A214" s="59" t="s">
        <v>357</v>
      </c>
      <c r="B214" s="9"/>
      <c r="C214" s="9" t="n">
        <v>0.35</v>
      </c>
      <c r="D214" s="9"/>
      <c r="E214" s="9" t="n">
        <v>-0.01</v>
      </c>
      <c r="F214" s="9" t="n">
        <v>0.03</v>
      </c>
      <c r="G214" s="9"/>
      <c r="H214" s="9" t="n">
        <v>-0.02</v>
      </c>
      <c r="I214" s="9"/>
      <c r="J214" s="9"/>
      <c r="K214" s="9" t="n">
        <v>-0.63</v>
      </c>
      <c r="L214" s="9"/>
      <c r="M214" s="9" t="n">
        <v>0.7</v>
      </c>
      <c r="N214" s="9" t="n">
        <v>0.62</v>
      </c>
      <c r="O214" s="9" t="n">
        <v>-1.51</v>
      </c>
      <c r="P214" s="9" t="n">
        <v>0.11</v>
      </c>
      <c r="Q214" s="58" t="n">
        <f aca="false">TRIMMEAN(B214:P214,2/COUNT(B214:P214))</f>
        <v>0.0642857142857143</v>
      </c>
    </row>
    <row r="215" customFormat="false" ht="15.75" hidden="false" customHeight="true" outlineLevel="0" collapsed="false">
      <c r="A215" s="57" t="s">
        <v>358</v>
      </c>
      <c r="B215" s="9" t="n">
        <v>-0.59</v>
      </c>
      <c r="C215" s="9" t="n">
        <v>0.08</v>
      </c>
      <c r="D215" s="9"/>
      <c r="E215" s="9" t="n">
        <v>0.24</v>
      </c>
      <c r="F215" s="9" t="n">
        <v>-0.47</v>
      </c>
      <c r="G215" s="9" t="n">
        <v>-0.11</v>
      </c>
      <c r="H215" s="9"/>
      <c r="I215" s="9"/>
      <c r="J215" s="9" t="n">
        <v>-0.35</v>
      </c>
      <c r="K215" s="9" t="n">
        <v>-0.43</v>
      </c>
      <c r="L215" s="9" t="n">
        <v>-1.17</v>
      </c>
      <c r="M215" s="9"/>
      <c r="N215" s="9"/>
      <c r="O215" s="9"/>
      <c r="P215" s="9"/>
      <c r="Q215" s="58" t="n">
        <f aca="false">TRIMMEAN(B215:P215,2/COUNT(B215:P215))</f>
        <v>-0.311666666666667</v>
      </c>
    </row>
    <row r="216" customFormat="false" ht="15.75" hidden="false" customHeight="true" outlineLevel="0" collapsed="false">
      <c r="A216" s="57" t="s">
        <v>359</v>
      </c>
      <c r="B216" s="9" t="n">
        <v>-0.27</v>
      </c>
      <c r="C216" s="9" t="n">
        <v>0.42</v>
      </c>
      <c r="D216" s="9" t="n">
        <v>-0.09</v>
      </c>
      <c r="E216" s="9"/>
      <c r="F216" s="9" t="n">
        <v>-0.16</v>
      </c>
      <c r="G216" s="9" t="n">
        <v>0.78</v>
      </c>
      <c r="H216" s="9"/>
      <c r="I216" s="9" t="n">
        <v>-0.28</v>
      </c>
      <c r="J216" s="9" t="n">
        <v>0.14</v>
      </c>
      <c r="K216" s="9"/>
      <c r="L216" s="9" t="n">
        <v>1.38</v>
      </c>
      <c r="M216" s="9" t="n">
        <v>-1.61</v>
      </c>
      <c r="N216" s="9"/>
      <c r="O216" s="9"/>
      <c r="P216" s="9"/>
      <c r="Q216" s="58" t="n">
        <f aca="false">TRIMMEAN(B216:P216,2/COUNT(B216:P216))</f>
        <v>0.0771428571428572</v>
      </c>
    </row>
    <row r="217" customFormat="false" ht="15.75" hidden="false" customHeight="true" outlineLevel="0" collapsed="false">
      <c r="A217" s="57" t="s">
        <v>360</v>
      </c>
      <c r="B217" s="9" t="n">
        <v>0.78</v>
      </c>
      <c r="C217" s="9"/>
      <c r="D217" s="9" t="n">
        <v>0.77</v>
      </c>
      <c r="E217" s="9"/>
      <c r="F217" s="9" t="n">
        <v>1.72</v>
      </c>
      <c r="G217" s="9"/>
      <c r="H217" s="9" t="n">
        <v>0.18</v>
      </c>
      <c r="I217" s="9" t="n">
        <v>-0.17</v>
      </c>
      <c r="J217" s="9"/>
      <c r="K217" s="9" t="n">
        <v>-0.31</v>
      </c>
      <c r="L217" s="9" t="n">
        <v>-0.17</v>
      </c>
      <c r="M217" s="9"/>
      <c r="N217" s="9" t="n">
        <v>0.66</v>
      </c>
      <c r="O217" s="9" t="n">
        <v>0.16</v>
      </c>
      <c r="P217" s="9" t="n">
        <v>0.53</v>
      </c>
      <c r="Q217" s="58" t="n">
        <f aca="false">TRIMMEAN(B217:P217,2/COUNT(B217:P217))</f>
        <v>0.3425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 t="n">
        <v>1.15</v>
      </c>
      <c r="E218" s="9"/>
      <c r="F218" s="9" t="n">
        <v>-0.43</v>
      </c>
      <c r="G218" s="9" t="n">
        <v>0.98</v>
      </c>
      <c r="H218" s="9"/>
      <c r="I218" s="9" t="n">
        <v>-0.11</v>
      </c>
      <c r="J218" s="9"/>
      <c r="K218" s="9"/>
      <c r="L218" s="9" t="n">
        <v>-0.14</v>
      </c>
      <c r="M218" s="9" t="n">
        <v>-0.21</v>
      </c>
      <c r="N218" s="9"/>
      <c r="O218" s="9"/>
      <c r="P218" s="9"/>
      <c r="Q218" s="58" t="n">
        <f aca="false">TRIMMEAN(B218:P218,2/COUNT(B218:P218))</f>
        <v>0.13</v>
      </c>
    </row>
    <row r="219" customFormat="false" ht="15.75" hidden="false" customHeight="true" outlineLevel="0" collapsed="false">
      <c r="A219" s="57" t="s">
        <v>362</v>
      </c>
      <c r="B219" s="9"/>
      <c r="C219" s="9" t="n">
        <v>0.16</v>
      </c>
      <c r="D219" s="9" t="n">
        <v>-0.02</v>
      </c>
      <c r="E219" s="9"/>
      <c r="F219" s="9"/>
      <c r="G219" s="9" t="n">
        <v>0.44</v>
      </c>
      <c r="H219" s="9" t="n">
        <v>-1.01</v>
      </c>
      <c r="I219" s="9" t="n">
        <v>1.22</v>
      </c>
      <c r="J219" s="9" t="n">
        <v>0.43</v>
      </c>
      <c r="K219" s="9"/>
      <c r="L219" s="9" t="n">
        <v>0.18</v>
      </c>
      <c r="M219" s="9" t="n">
        <v>-0.06</v>
      </c>
      <c r="N219" s="9"/>
      <c r="O219" s="9"/>
      <c r="P219" s="9" t="n">
        <v>-0.04</v>
      </c>
      <c r="Q219" s="58" t="n">
        <f aca="false">TRIMMEAN(B219:P219,2/COUNT(B219:P219))</f>
        <v>0.155714285714286</v>
      </c>
    </row>
    <row r="220" customFormat="false" ht="15.75" hidden="false" customHeight="true" outlineLevel="0" collapsed="false">
      <c r="A220" s="59" t="s">
        <v>363</v>
      </c>
      <c r="B220" s="9"/>
      <c r="C220" s="9" t="n">
        <v>-0.51</v>
      </c>
      <c r="D220" s="9"/>
      <c r="E220" s="9" t="n">
        <v>0.14</v>
      </c>
      <c r="F220" s="9" t="n">
        <v>1.04</v>
      </c>
      <c r="G220" s="9"/>
      <c r="H220" s="9" t="n">
        <v>0</v>
      </c>
      <c r="I220" s="9"/>
      <c r="J220" s="9"/>
      <c r="K220" s="9" t="n">
        <v>-0.63</v>
      </c>
      <c r="L220" s="9" t="n">
        <v>0.69</v>
      </c>
      <c r="M220" s="9" t="n">
        <v>0.17</v>
      </c>
      <c r="N220" s="9" t="n">
        <v>-0.03</v>
      </c>
      <c r="O220" s="9" t="n">
        <v>0.03</v>
      </c>
      <c r="P220" s="9" t="n">
        <v>0.77</v>
      </c>
      <c r="Q220" s="58" t="n">
        <f aca="false">TRIMMEAN(B220:P220,2/COUNT(B220:P220))</f>
        <v>0.1575</v>
      </c>
    </row>
    <row r="221" customFormat="false" ht="15.75" hidden="false" customHeight="true" outlineLevel="0" collapsed="false">
      <c r="A221" s="57" t="s">
        <v>364</v>
      </c>
      <c r="B221" s="9" t="n">
        <v>-0.51</v>
      </c>
      <c r="C221" s="9" t="n">
        <v>0.62</v>
      </c>
      <c r="D221" s="9"/>
      <c r="E221" s="9" t="n">
        <v>-0.32</v>
      </c>
      <c r="F221" s="9" t="n">
        <v>0.34</v>
      </c>
      <c r="G221" s="9" t="n">
        <v>-0.36</v>
      </c>
      <c r="H221" s="9"/>
      <c r="I221" s="9"/>
      <c r="J221" s="9" t="n">
        <v>-0.25</v>
      </c>
      <c r="K221" s="9" t="n">
        <v>-0.57</v>
      </c>
      <c r="L221" s="9" t="n">
        <v>0.02</v>
      </c>
      <c r="M221" s="9" t="n">
        <v>0.21</v>
      </c>
      <c r="N221" s="9"/>
      <c r="O221" s="9"/>
      <c r="P221" s="9"/>
      <c r="Q221" s="58" t="n">
        <f aca="false">TRIMMEAN(B221:P221,2/COUNT(B221:P221))</f>
        <v>-0.124285714285714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 t="n">
        <v>-0.08</v>
      </c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0.73</v>
      </c>
      <c r="E223" s="9"/>
      <c r="F223" s="9"/>
      <c r="G223" s="9"/>
      <c r="H223" s="9"/>
      <c r="I223" s="9" t="n">
        <v>1.08</v>
      </c>
      <c r="J223" s="9" t="n">
        <v>0.15</v>
      </c>
      <c r="K223" s="9" t="n">
        <v>0.4</v>
      </c>
      <c r="L223" s="9" t="n">
        <v>0.63</v>
      </c>
      <c r="M223" s="9" t="n">
        <v>-0.22</v>
      </c>
      <c r="N223" s="9"/>
      <c r="O223" s="9"/>
      <c r="P223" s="9"/>
      <c r="Q223" s="58" t="n">
        <f aca="false">TRIMMEAN(B223:P223,2/COUNT(B223:P223))</f>
        <v>0.4775</v>
      </c>
    </row>
    <row r="224" customFormat="false" ht="15.75" hidden="false" customHeight="true" outlineLevel="0" collapsed="false">
      <c r="A224" s="57" t="s">
        <v>367</v>
      </c>
      <c r="B224" s="9" t="n">
        <v>0.69</v>
      </c>
      <c r="C224" s="9" t="n">
        <v>0.15</v>
      </c>
      <c r="D224" s="9" t="n">
        <v>0.41</v>
      </c>
      <c r="E224" s="9"/>
      <c r="F224" s="9"/>
      <c r="G224" s="9" t="n">
        <v>0.37</v>
      </c>
      <c r="H224" s="9" t="n">
        <v>-0.64</v>
      </c>
      <c r="I224" s="9" t="n">
        <v>-1</v>
      </c>
      <c r="J224" s="9" t="n">
        <v>-0.12</v>
      </c>
      <c r="K224" s="9"/>
      <c r="L224" s="9" t="n">
        <v>-0.26</v>
      </c>
      <c r="M224" s="9" t="n">
        <v>-1.06</v>
      </c>
      <c r="N224" s="9"/>
      <c r="O224" s="9"/>
      <c r="P224" s="9"/>
      <c r="Q224" s="58" t="n">
        <f aca="false">TRIMMEAN(B224:P224,2/COUNT(B224:P224))</f>
        <v>-0.155714285714286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0.46</v>
      </c>
      <c r="D226" s="9" t="n">
        <v>0.46</v>
      </c>
      <c r="E226" s="9" t="n">
        <v>-0.56</v>
      </c>
      <c r="F226" s="9" t="n">
        <v>-0.64</v>
      </c>
      <c r="G226" s="9"/>
      <c r="H226" s="9" t="n">
        <v>-0.48</v>
      </c>
      <c r="I226" s="9"/>
      <c r="J226" s="9"/>
      <c r="K226" s="9" t="n">
        <v>-0.92</v>
      </c>
      <c r="L226" s="9" t="n">
        <v>-1.14</v>
      </c>
      <c r="M226" s="9" t="n">
        <v>0.21</v>
      </c>
      <c r="N226" s="9" t="n">
        <v>-0.17</v>
      </c>
      <c r="O226" s="9" t="n">
        <v>0.27</v>
      </c>
      <c r="P226" s="9" t="n">
        <v>0.25</v>
      </c>
      <c r="Q226" s="58" t="n">
        <f aca="false">TRIMMEAN(B226:P226,2/COUNT(B226:P226))</f>
        <v>-0.175555555555556</v>
      </c>
    </row>
    <row r="227" customFormat="false" ht="15.75" hidden="false" customHeight="true" outlineLevel="0" collapsed="false">
      <c r="A227" s="59" t="s">
        <v>370</v>
      </c>
      <c r="B227" s="9" t="n">
        <v>-1.18</v>
      </c>
      <c r="C227" s="9" t="n">
        <v>-0.6</v>
      </c>
      <c r="D227" s="9" t="n">
        <v>-0.6</v>
      </c>
      <c r="E227" s="9" t="n">
        <v>0.12</v>
      </c>
      <c r="F227" s="9" t="n">
        <v>-0.23</v>
      </c>
      <c r="G227" s="9" t="n">
        <v>0.73</v>
      </c>
      <c r="H227" s="9"/>
      <c r="I227" s="9" t="n">
        <v>-0.17</v>
      </c>
      <c r="J227" s="9"/>
      <c r="K227" s="9" t="n">
        <v>-0.17</v>
      </c>
      <c r="L227" s="9"/>
      <c r="M227" s="9"/>
      <c r="N227" s="9" t="n">
        <v>0.52</v>
      </c>
      <c r="O227" s="9" t="n">
        <v>-0.94</v>
      </c>
      <c r="P227" s="9" t="n">
        <v>-0.29</v>
      </c>
      <c r="Q227" s="58" t="n">
        <f aca="false">TRIMMEAN(B227:P227,2/COUNT(B227:P227))</f>
        <v>-0.262222222222222</v>
      </c>
    </row>
    <row r="228" customFormat="false" ht="15.75" hidden="false" customHeight="true" outlineLevel="0" collapsed="false">
      <c r="A228" s="57" t="s">
        <v>371</v>
      </c>
      <c r="B228" s="9" t="n">
        <v>-0.27</v>
      </c>
      <c r="C228" s="9" t="n">
        <v>-0.3</v>
      </c>
      <c r="D228" s="9"/>
      <c r="E228" s="9" t="n">
        <v>0.1</v>
      </c>
      <c r="F228" s="9" t="n">
        <v>-0.52</v>
      </c>
      <c r="G228" s="9" t="n">
        <v>-0.69</v>
      </c>
      <c r="H228" s="9"/>
      <c r="I228" s="9"/>
      <c r="J228" s="9" t="n">
        <v>-0.08</v>
      </c>
      <c r="K228" s="9" t="n">
        <v>-1.07</v>
      </c>
      <c r="L228" s="9" t="n">
        <v>0.11</v>
      </c>
      <c r="M228" s="9"/>
      <c r="N228" s="9"/>
      <c r="O228" s="9"/>
      <c r="P228" s="9"/>
      <c r="Q228" s="58" t="n">
        <f aca="false">TRIMMEAN(B228:P228,2/COUNT(B228:P228))</f>
        <v>-0.293333333333333</v>
      </c>
    </row>
    <row r="229" customFormat="false" ht="15.75" hidden="false" customHeight="true" outlineLevel="0" collapsed="false">
      <c r="A229" s="59" t="s">
        <v>372</v>
      </c>
      <c r="B229" s="9" t="n">
        <v>-0.96</v>
      </c>
      <c r="C229" s="9" t="n">
        <v>-0.26</v>
      </c>
      <c r="D229" s="9" t="n">
        <v>1.17</v>
      </c>
      <c r="E229" s="9"/>
      <c r="F229" s="9"/>
      <c r="G229" s="9" t="n">
        <v>1.06</v>
      </c>
      <c r="H229" s="9" t="n">
        <v>-1.11</v>
      </c>
      <c r="I229" s="9" t="n">
        <v>0.22</v>
      </c>
      <c r="J229" s="9" t="n">
        <v>0.36</v>
      </c>
      <c r="K229" s="9"/>
      <c r="L229" s="9"/>
      <c r="M229" s="9" t="n">
        <v>-1.68</v>
      </c>
      <c r="N229" s="9"/>
      <c r="O229" s="9"/>
      <c r="P229" s="9"/>
      <c r="Q229" s="58" t="n">
        <f aca="false">TRIMMEAN(B229:P229,2/COUNT(B229:P229))</f>
        <v>-0.115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 t="n">
        <v>0</v>
      </c>
      <c r="M230" s="9" t="n">
        <v>0.54</v>
      </c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 t="n">
        <v>-0.34</v>
      </c>
      <c r="D231" s="9"/>
      <c r="E231" s="9" t="n">
        <v>0.17</v>
      </c>
      <c r="F231" s="9" t="n">
        <v>0.48</v>
      </c>
      <c r="G231" s="9"/>
      <c r="H231" s="9" t="n">
        <v>0.16</v>
      </c>
      <c r="I231" s="9" t="n">
        <v>-1.02</v>
      </c>
      <c r="J231" s="9"/>
      <c r="K231" s="9" t="n">
        <v>-0.95</v>
      </c>
      <c r="L231" s="9" t="n">
        <v>1.34</v>
      </c>
      <c r="M231" s="9" t="n">
        <v>0.24</v>
      </c>
      <c r="N231" s="9" t="n">
        <v>0.21</v>
      </c>
      <c r="O231" s="9" t="n">
        <v>-0.37</v>
      </c>
      <c r="P231" s="9" t="n">
        <v>-0.14</v>
      </c>
      <c r="Q231" s="58" t="n">
        <f aca="false">TRIMMEAN(B231:P231,2/COUNT(B231:P231))</f>
        <v>-0.06</v>
      </c>
    </row>
    <row r="232" customFormat="false" ht="15.75" hidden="false" customHeight="true" outlineLevel="0" collapsed="false">
      <c r="A232" s="57" t="s">
        <v>375</v>
      </c>
      <c r="B232" s="9" t="n">
        <v>0.43</v>
      </c>
      <c r="C232" s="9" t="n">
        <v>0.05</v>
      </c>
      <c r="D232" s="9"/>
      <c r="E232" s="9"/>
      <c r="F232" s="9" t="n">
        <v>-0.61</v>
      </c>
      <c r="G232" s="9" t="n">
        <v>-0.19</v>
      </c>
      <c r="H232" s="9"/>
      <c r="I232" s="9"/>
      <c r="J232" s="9" t="n">
        <v>-0.21</v>
      </c>
      <c r="K232" s="9"/>
      <c r="L232" s="9" t="n">
        <v>-0.63</v>
      </c>
      <c r="M232" s="9" t="n">
        <v>-0.13</v>
      </c>
      <c r="N232" s="9"/>
      <c r="O232" s="9"/>
      <c r="P232" s="9"/>
      <c r="Q232" s="58" t="n">
        <f aca="false">TRIMMEAN(B232:P232,2/COUNT(B232:P232))</f>
        <v>-0.218</v>
      </c>
    </row>
    <row r="233" customFormat="false" ht="15.75" hidden="false" customHeight="true" outlineLevel="0" collapsed="false">
      <c r="A233" s="59" t="s">
        <v>376</v>
      </c>
      <c r="B233" s="9"/>
      <c r="C233" s="9" t="n">
        <v>-0.17</v>
      </c>
      <c r="D233" s="9"/>
      <c r="E233" s="9" t="n">
        <v>-0.56</v>
      </c>
      <c r="F233" s="9" t="n">
        <v>0.37</v>
      </c>
      <c r="G233" s="9"/>
      <c r="H233" s="9" t="n">
        <v>-0.44</v>
      </c>
      <c r="I233" s="9" t="n">
        <v>0.08</v>
      </c>
      <c r="J233" s="9"/>
      <c r="K233" s="9" t="n">
        <v>-1.04</v>
      </c>
      <c r="L233" s="9" t="n">
        <v>-0.61</v>
      </c>
      <c r="M233" s="9" t="n">
        <v>-1.04</v>
      </c>
      <c r="N233" s="9" t="n">
        <v>-0.32</v>
      </c>
      <c r="O233" s="9" t="n">
        <v>-1.7</v>
      </c>
      <c r="P233" s="9" t="n">
        <v>-0.21</v>
      </c>
      <c r="Q233" s="58" t="n">
        <f aca="false">TRIMMEAN(B233:P233,2/COUNT(B233:P233))</f>
        <v>-0.478888888888889</v>
      </c>
    </row>
    <row r="234" customFormat="false" ht="15.75" hidden="false" customHeight="true" outlineLevel="0" collapsed="false">
      <c r="A234" s="59" t="s">
        <v>377</v>
      </c>
      <c r="B234" s="9"/>
      <c r="C234" s="9" t="n">
        <v>-0.1</v>
      </c>
      <c r="D234" s="9"/>
      <c r="E234" s="9" t="n">
        <v>0.04</v>
      </c>
      <c r="F234" s="9" t="n">
        <v>-0.62</v>
      </c>
      <c r="G234" s="9"/>
      <c r="H234" s="9" t="n">
        <v>-0.22</v>
      </c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-0.16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-1.25</v>
      </c>
      <c r="E235" s="9" t="n">
        <v>-0.13</v>
      </c>
      <c r="F235" s="9" t="n">
        <v>0.16</v>
      </c>
      <c r="G235" s="9"/>
      <c r="H235" s="9"/>
      <c r="I235" s="9" t="n">
        <v>-0.61</v>
      </c>
      <c r="J235" s="9"/>
      <c r="K235" s="9"/>
      <c r="L235" s="9" t="n">
        <v>-0.11</v>
      </c>
      <c r="M235" s="9" t="n">
        <v>1.27</v>
      </c>
      <c r="N235" s="9"/>
      <c r="O235" s="9" t="n">
        <v>0.07</v>
      </c>
      <c r="P235" s="9" t="n">
        <v>0.32</v>
      </c>
      <c r="Q235" s="58" t="n">
        <f aca="false">TRIMMEAN(B235:P235,2/COUNT(B235:P235))</f>
        <v>-0.05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 t="n">
        <v>-0.11</v>
      </c>
      <c r="D237" s="9"/>
      <c r="E237" s="9" t="n">
        <v>-0.97</v>
      </c>
      <c r="F237" s="9"/>
      <c r="G237" s="9"/>
      <c r="H237" s="9"/>
      <c r="I237" s="9"/>
      <c r="J237" s="9"/>
      <c r="K237" s="9" t="n">
        <v>-0.04</v>
      </c>
      <c r="L237" s="9" t="n">
        <v>0.7</v>
      </c>
      <c r="M237" s="9" t="n">
        <v>1.43</v>
      </c>
      <c r="N237" s="9" t="n">
        <v>0.42</v>
      </c>
      <c r="O237" s="9" t="n">
        <v>0.98</v>
      </c>
      <c r="P237" s="9" t="n">
        <v>-1.23</v>
      </c>
      <c r="Q237" s="58" t="n">
        <f aca="false">TRIMMEAN(B237:P237,2/COUNT(B237:P237))</f>
        <v>0.163333333333333</v>
      </c>
    </row>
    <row r="238" customFormat="false" ht="15.75" hidden="false" customHeight="true" outlineLevel="0" collapsed="false">
      <c r="A238" s="57" t="s">
        <v>381</v>
      </c>
      <c r="B238" s="9" t="n">
        <v>0.28</v>
      </c>
      <c r="C238" s="9" t="n">
        <v>0.29</v>
      </c>
      <c r="D238" s="9" t="n">
        <v>-1.07</v>
      </c>
      <c r="E238" s="9" t="n">
        <v>0.21</v>
      </c>
      <c r="F238" s="9"/>
      <c r="G238" s="9" t="n">
        <v>0.1</v>
      </c>
      <c r="H238" s="9"/>
      <c r="I238" s="9" t="n">
        <v>-0.15</v>
      </c>
      <c r="J238" s="9"/>
      <c r="K238" s="9" t="n">
        <v>-0.08</v>
      </c>
      <c r="L238" s="9" t="n">
        <v>-0.33</v>
      </c>
      <c r="M238" s="9" t="n">
        <v>0.04</v>
      </c>
      <c r="N238" s="9"/>
      <c r="O238" s="9"/>
      <c r="P238" s="9"/>
      <c r="Q238" s="58" t="n">
        <f aca="false">TRIMMEAN(B238:P238,2/COUNT(B238:P238))</f>
        <v>0.01</v>
      </c>
    </row>
    <row r="239" customFormat="false" ht="15.75" hidden="false" customHeight="true" outlineLevel="0" collapsed="false">
      <c r="A239" s="57" t="s">
        <v>382</v>
      </c>
      <c r="B239" s="9"/>
      <c r="C239" s="9" t="n">
        <v>-0.51</v>
      </c>
      <c r="D239" s="9" t="n">
        <v>0.07</v>
      </c>
      <c r="E239" s="9"/>
      <c r="F239" s="9"/>
      <c r="G239" s="9" t="n">
        <v>0.89</v>
      </c>
      <c r="H239" s="9"/>
      <c r="I239" s="9" t="n">
        <v>0.36</v>
      </c>
      <c r="J239" s="9" t="n">
        <v>0.42</v>
      </c>
      <c r="K239" s="9"/>
      <c r="L239" s="9" t="n">
        <v>0.15</v>
      </c>
      <c r="M239" s="9" t="n">
        <v>0.37</v>
      </c>
      <c r="N239" s="9"/>
      <c r="O239" s="9" t="n">
        <v>-0.02</v>
      </c>
      <c r="P239" s="9"/>
      <c r="Q239" s="58" t="n">
        <f aca="false">TRIMMEAN(B239:P239,2/COUNT(B239:P239))</f>
        <v>0.225</v>
      </c>
    </row>
    <row r="240" customFormat="false" ht="15.75" hidden="false" customHeight="true" outlineLevel="0" collapsed="false">
      <c r="A240" s="57" t="s">
        <v>383</v>
      </c>
      <c r="B240" s="9" t="n">
        <v>0.11</v>
      </c>
      <c r="C240" s="9"/>
      <c r="D240" s="9" t="n">
        <v>0.04</v>
      </c>
      <c r="E240" s="9" t="n">
        <v>0.22</v>
      </c>
      <c r="F240" s="9"/>
      <c r="G240" s="9" t="n">
        <v>1.07</v>
      </c>
      <c r="H240" s="9"/>
      <c r="I240" s="9" t="n">
        <v>0.41</v>
      </c>
      <c r="J240" s="9" t="n">
        <v>0.09</v>
      </c>
      <c r="K240" s="9"/>
      <c r="L240" s="9" t="n">
        <v>0.15</v>
      </c>
      <c r="M240" s="9" t="n">
        <v>0.57</v>
      </c>
      <c r="N240" s="9" t="n">
        <v>0.09</v>
      </c>
      <c r="O240" s="9"/>
      <c r="P240" s="9"/>
      <c r="Q240" s="58" t="n">
        <f aca="false">TRIMMEAN(B240:P240,2/COUNT(B240:P240))</f>
        <v>0.234285714285714</v>
      </c>
    </row>
    <row r="241" customFormat="false" ht="15.75" hidden="false" customHeight="true" outlineLevel="0" collapsed="false">
      <c r="A241" s="59" t="s">
        <v>384</v>
      </c>
      <c r="B241" s="9"/>
      <c r="C241" s="9" t="n">
        <v>-1.27</v>
      </c>
      <c r="D241" s="9" t="n">
        <v>-0.76</v>
      </c>
      <c r="E241" s="9" t="n">
        <v>-0.78</v>
      </c>
      <c r="F241" s="9" t="n">
        <v>-0.31</v>
      </c>
      <c r="G241" s="9"/>
      <c r="H241" s="9" t="n">
        <v>-0.71</v>
      </c>
      <c r="I241" s="9"/>
      <c r="J241" s="9"/>
      <c r="K241" s="9" t="n">
        <v>0.62</v>
      </c>
      <c r="L241" s="9" t="n">
        <v>-0.89</v>
      </c>
      <c r="M241" s="9"/>
      <c r="N241" s="9" t="n">
        <v>-0.79</v>
      </c>
      <c r="O241" s="9" t="n">
        <v>0.61</v>
      </c>
      <c r="P241" s="9" t="n">
        <v>-0.28</v>
      </c>
      <c r="Q241" s="58" t="n">
        <f aca="false">TRIMMEAN(B241:P241,2/COUNT(B241:P241))</f>
        <v>-0.48875</v>
      </c>
    </row>
    <row r="242" customFormat="false" ht="15.75" hidden="false" customHeight="true" outlineLevel="0" collapsed="false">
      <c r="A242" s="57" t="s">
        <v>385</v>
      </c>
      <c r="B242" s="9"/>
      <c r="C242" s="9" t="n">
        <v>-0.41</v>
      </c>
      <c r="D242" s="9" t="n">
        <v>0.59</v>
      </c>
      <c r="E242" s="9" t="n">
        <v>-1.1</v>
      </c>
      <c r="F242" s="9"/>
      <c r="G242" s="9"/>
      <c r="H242" s="9" t="n">
        <v>0.18</v>
      </c>
      <c r="I242" s="9" t="n">
        <v>-1.01</v>
      </c>
      <c r="J242" s="9"/>
      <c r="K242" s="9"/>
      <c r="L242" s="9" t="n">
        <v>0.18</v>
      </c>
      <c r="M242" s="9"/>
      <c r="N242" s="9" t="n">
        <v>0.16</v>
      </c>
      <c r="O242" s="9" t="n">
        <v>-0.51</v>
      </c>
      <c r="P242" s="9" t="n">
        <v>-0.31</v>
      </c>
      <c r="Q242" s="58" t="n">
        <f aca="false">TRIMMEAN(B242:P242,2/COUNT(B242:P242))</f>
        <v>-0.245714285714286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-0.47</v>
      </c>
      <c r="C244" s="9" t="n">
        <v>-1.09</v>
      </c>
      <c r="D244" s="9"/>
      <c r="E244" s="9" t="n">
        <v>0.37</v>
      </c>
      <c r="F244" s="9" t="n">
        <v>-0.22</v>
      </c>
      <c r="G244" s="9"/>
      <c r="H244" s="9"/>
      <c r="I244" s="9"/>
      <c r="J244" s="9" t="n">
        <v>-1.25</v>
      </c>
      <c r="K244" s="9" t="n">
        <v>0.03</v>
      </c>
      <c r="L244" s="9" t="n">
        <v>-1.7</v>
      </c>
      <c r="M244" s="9" t="n">
        <v>0.31</v>
      </c>
      <c r="N244" s="9"/>
      <c r="O244" s="9"/>
      <c r="P244" s="9"/>
      <c r="Q244" s="58" t="n">
        <f aca="false">TRIMMEAN(B244:P244,2/COUNT(B244:P244))</f>
        <v>-0.448333333333333</v>
      </c>
    </row>
    <row r="245" customFormat="false" ht="15.75" hidden="false" customHeight="true" outlineLevel="0" collapsed="false">
      <c r="A245" s="57" t="s">
        <v>388</v>
      </c>
      <c r="B245" s="9" t="n">
        <v>0.88</v>
      </c>
      <c r="C245" s="9" t="n">
        <v>-0.26</v>
      </c>
      <c r="D245" s="9" t="n">
        <v>0.6</v>
      </c>
      <c r="E245" s="9"/>
      <c r="F245" s="9"/>
      <c r="G245" s="9" t="n">
        <v>-0.18</v>
      </c>
      <c r="H245" s="9"/>
      <c r="I245" s="9" t="n">
        <v>-0.4</v>
      </c>
      <c r="J245" s="9" t="n">
        <v>-0.43</v>
      </c>
      <c r="K245" s="9"/>
      <c r="L245" s="9" t="n">
        <v>-0.02</v>
      </c>
      <c r="M245" s="9" t="n">
        <v>-0.62</v>
      </c>
      <c r="N245" s="9"/>
      <c r="O245" s="9"/>
      <c r="P245" s="9"/>
      <c r="Q245" s="58" t="n">
        <f aca="false">TRIMMEAN(B245:P245,2/COUNT(B245:P245))</f>
        <v>-0.115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-0.09</v>
      </c>
      <c r="D247" s="9"/>
      <c r="E247" s="9" t="n">
        <v>-0.77</v>
      </c>
      <c r="F247" s="9" t="n">
        <v>-0.39</v>
      </c>
      <c r="G247" s="9"/>
      <c r="H247" s="9" t="n">
        <v>-0.41</v>
      </c>
      <c r="I247" s="9" t="n">
        <v>-0.03</v>
      </c>
      <c r="J247" s="9"/>
      <c r="K247" s="9" t="n">
        <v>-0.48</v>
      </c>
      <c r="L247" s="9"/>
      <c r="M247" s="9"/>
      <c r="N247" s="9"/>
      <c r="O247" s="9"/>
      <c r="P247" s="9"/>
      <c r="Q247" s="58" t="n">
        <f aca="false">TRIMMEAN(B247:P247,2/COUNT(B247:P247))</f>
        <v>-0.3425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 t="n">
        <v>-0.38</v>
      </c>
      <c r="F248" s="9" t="n">
        <v>-1.23</v>
      </c>
      <c r="G248" s="9" t="n">
        <v>0</v>
      </c>
      <c r="H248" s="9"/>
      <c r="I248" s="9"/>
      <c r="J248" s="9" t="n">
        <v>-1.21</v>
      </c>
      <c r="K248" s="9" t="n">
        <v>0.63</v>
      </c>
      <c r="L248" s="9" t="n">
        <v>-0.98</v>
      </c>
      <c r="M248" s="9"/>
      <c r="N248" s="9"/>
      <c r="O248" s="9"/>
      <c r="P248" s="9"/>
      <c r="Q248" s="58" t="n">
        <f aca="false">TRIMMEAN(B248:P248,2/COUNT(B248:P248))</f>
        <v>-0.6425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0.06</v>
      </c>
      <c r="D250" s="9"/>
      <c r="E250" s="9" t="n">
        <v>-0.82</v>
      </c>
      <c r="F250" s="9"/>
      <c r="G250" s="9"/>
      <c r="H250" s="9" t="n">
        <v>-0.32</v>
      </c>
      <c r="I250" s="9" t="n">
        <v>-0.22</v>
      </c>
      <c r="J250" s="9"/>
      <c r="K250" s="9" t="n">
        <v>-0.76</v>
      </c>
      <c r="L250" s="9" t="n">
        <v>0.27</v>
      </c>
      <c r="M250" s="9" t="n">
        <v>0.21</v>
      </c>
      <c r="N250" s="9" t="n">
        <v>-0.77</v>
      </c>
      <c r="O250" s="9" t="n">
        <v>0.31</v>
      </c>
      <c r="P250" s="9" t="n">
        <v>1.15</v>
      </c>
      <c r="Q250" s="58" t="n">
        <f aca="false">TRIMMEAN(B250:P250,2/COUNT(B250:P250))</f>
        <v>-0.1525</v>
      </c>
    </row>
    <row r="251" customFormat="false" ht="15.75" hidden="false" customHeight="true" outlineLevel="0" collapsed="false">
      <c r="A251" s="59" t="s">
        <v>394</v>
      </c>
      <c r="B251" s="9"/>
      <c r="C251" s="9" t="n">
        <v>0.08</v>
      </c>
      <c r="D251" s="9"/>
      <c r="E251" s="9"/>
      <c r="F251" s="9" t="n">
        <v>-0.66</v>
      </c>
      <c r="G251" s="9"/>
      <c r="H251" s="9"/>
      <c r="I251" s="9"/>
      <c r="J251" s="9"/>
      <c r="K251" s="9" t="n">
        <v>-0.58</v>
      </c>
      <c r="L251" s="9"/>
      <c r="M251" s="9"/>
      <c r="N251" s="9"/>
      <c r="O251" s="9" t="n">
        <v>0.1</v>
      </c>
      <c r="P251" s="9" t="n">
        <v>-0.69</v>
      </c>
      <c r="Q251" s="58" t="n">
        <f aca="false">TRIMMEAN(B251:P251,2/COUNT(B251:P251))</f>
        <v>-0.386666666666667</v>
      </c>
    </row>
    <row r="252" customFormat="false" ht="15.75" hidden="false" customHeight="true" outlineLevel="0" collapsed="false">
      <c r="A252" s="59" t="s">
        <v>395</v>
      </c>
      <c r="B252" s="9"/>
      <c r="C252" s="9" t="n">
        <v>-0.5</v>
      </c>
      <c r="D252" s="9"/>
      <c r="E252" s="9" t="n">
        <v>-0.9</v>
      </c>
      <c r="F252" s="9" t="n">
        <v>-0.63</v>
      </c>
      <c r="G252" s="9"/>
      <c r="H252" s="9" t="n">
        <v>0.07</v>
      </c>
      <c r="I252" s="9"/>
      <c r="J252" s="9"/>
      <c r="K252" s="9" t="n">
        <v>0.62</v>
      </c>
      <c r="L252" s="9" t="n">
        <v>0.54</v>
      </c>
      <c r="M252" s="9" t="n">
        <v>0.34</v>
      </c>
      <c r="N252" s="9" t="n">
        <v>0.59</v>
      </c>
      <c r="O252" s="9"/>
      <c r="P252" s="9" t="n">
        <v>0.41</v>
      </c>
      <c r="Q252" s="58" t="n">
        <f aca="false">TRIMMEAN(B252:P252,2/COUNT(B252:P252))</f>
        <v>0.117142857142857</v>
      </c>
    </row>
    <row r="253" customFormat="false" ht="15.75" hidden="false" customHeight="true" outlineLevel="0" collapsed="false">
      <c r="A253" s="57" t="s">
        <v>396</v>
      </c>
      <c r="B253" s="9" t="n">
        <v>-0.07</v>
      </c>
      <c r="C253" s="9" t="n">
        <v>0.51</v>
      </c>
      <c r="D253" s="9" t="n">
        <v>0.06</v>
      </c>
      <c r="E253" s="9"/>
      <c r="F253" s="9" t="n">
        <v>0.27</v>
      </c>
      <c r="G253" s="9" t="n">
        <v>-1.99</v>
      </c>
      <c r="H253" s="9"/>
      <c r="I253" s="9" t="n">
        <v>-0.29</v>
      </c>
      <c r="J253" s="9" t="n">
        <v>-0.55</v>
      </c>
      <c r="K253" s="9"/>
      <c r="L253" s="9" t="n">
        <v>-0.12</v>
      </c>
      <c r="M253" s="9" t="n">
        <v>-0.64</v>
      </c>
      <c r="N253" s="9"/>
      <c r="O253" s="9"/>
      <c r="P253" s="9" t="n">
        <v>0.34</v>
      </c>
      <c r="Q253" s="58" t="n">
        <f aca="false">TRIMMEAN(B253:P253,2/COUNT(B253:P253))</f>
        <v>-0.125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 t="n">
        <v>0.7</v>
      </c>
      <c r="E254" s="9"/>
      <c r="F254" s="9" t="n">
        <v>0.59</v>
      </c>
      <c r="G254" s="9" t="n">
        <v>0.36</v>
      </c>
      <c r="H254" s="9"/>
      <c r="I254" s="9" t="n">
        <v>0.89</v>
      </c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0.645</v>
      </c>
    </row>
    <row r="255" customFormat="false" ht="15.75" hidden="false" customHeight="true" outlineLevel="0" collapsed="false">
      <c r="A255" s="57" t="s">
        <v>398</v>
      </c>
      <c r="B255" s="9" t="n">
        <v>0.29</v>
      </c>
      <c r="C255" s="9"/>
      <c r="D255" s="9" t="n">
        <v>-0.57</v>
      </c>
      <c r="E255" s="9" t="n">
        <v>-0.67</v>
      </c>
      <c r="F255" s="9" t="n">
        <v>0.51</v>
      </c>
      <c r="G255" s="9"/>
      <c r="H255" s="9" t="n">
        <v>0.83</v>
      </c>
      <c r="I255" s="9"/>
      <c r="J255" s="9"/>
      <c r="K255" s="9"/>
      <c r="L255" s="9" t="n">
        <v>-0.13</v>
      </c>
      <c r="M255" s="9" t="n">
        <v>-0.89</v>
      </c>
      <c r="N255" s="9" t="n">
        <v>-0.07</v>
      </c>
      <c r="O255" s="9" t="n">
        <v>-1.48</v>
      </c>
      <c r="P255" s="9" t="n">
        <v>0.11</v>
      </c>
      <c r="Q255" s="58" t="n">
        <f aca="false">TRIMMEAN(B255:P255,2/COUNT(B255:P255))</f>
        <v>-0.1775</v>
      </c>
    </row>
    <row r="256" customFormat="false" ht="15.75" hidden="false" customHeight="true" outlineLevel="0" collapsed="false">
      <c r="A256" s="57" t="s">
        <v>399</v>
      </c>
      <c r="B256" s="9" t="n">
        <v>-1.28</v>
      </c>
      <c r="C256" s="9"/>
      <c r="D256" s="9" t="n">
        <v>-1.09</v>
      </c>
      <c r="E256" s="9"/>
      <c r="F256" s="9" t="n">
        <v>-0.61</v>
      </c>
      <c r="G256" s="9"/>
      <c r="H256" s="9" t="n">
        <v>-0.59</v>
      </c>
      <c r="I256" s="9"/>
      <c r="J256" s="9"/>
      <c r="K256" s="9" t="n">
        <v>-0.11</v>
      </c>
      <c r="L256" s="9" t="n">
        <v>-1.34</v>
      </c>
      <c r="M256" s="9"/>
      <c r="N256" s="9" t="n">
        <v>-0.2</v>
      </c>
      <c r="O256" s="9" t="n">
        <v>-0.62</v>
      </c>
      <c r="P256" s="9" t="n">
        <v>-0.06</v>
      </c>
      <c r="Q256" s="58" t="n">
        <f aca="false">TRIMMEAN(B256:P256,2/COUNT(B256:P256))</f>
        <v>-0.642857142857143</v>
      </c>
    </row>
    <row r="257" customFormat="false" ht="15.75" hidden="false" customHeight="true" outlineLevel="0" collapsed="false">
      <c r="A257" s="57" t="s">
        <v>400</v>
      </c>
      <c r="B257" s="9"/>
      <c r="C257" s="9" t="n">
        <v>0.65</v>
      </c>
      <c r="D257" s="9" t="n">
        <v>-0.1</v>
      </c>
      <c r="E257" s="9"/>
      <c r="F257" s="9" t="n">
        <v>0.26</v>
      </c>
      <c r="G257" s="9" t="n">
        <v>-0.1</v>
      </c>
      <c r="H257" s="9"/>
      <c r="I257" s="9"/>
      <c r="J257" s="9" t="n">
        <v>-0.25</v>
      </c>
      <c r="K257" s="9"/>
      <c r="L257" s="9" t="n">
        <v>1.27</v>
      </c>
      <c r="M257" s="9" t="n">
        <v>0.88</v>
      </c>
      <c r="N257" s="9" t="n">
        <v>-1.08</v>
      </c>
      <c r="O257" s="9" t="n">
        <v>1.33</v>
      </c>
      <c r="P257" s="9" t="n">
        <v>-0.15</v>
      </c>
      <c r="Q257" s="58" t="n">
        <f aca="false">TRIMMEAN(B257:P257,2/COUNT(B257:P257))</f>
        <v>0.3075</v>
      </c>
    </row>
    <row r="258" customFormat="false" ht="15.75" hidden="false" customHeight="true" outlineLevel="0" collapsed="false">
      <c r="A258" s="57" t="s">
        <v>401</v>
      </c>
      <c r="B258" s="9" t="n">
        <v>0.6</v>
      </c>
      <c r="C258" s="9" t="n">
        <v>0.47</v>
      </c>
      <c r="D258" s="9" t="n">
        <v>0.46</v>
      </c>
      <c r="E258" s="9"/>
      <c r="F258" s="9" t="n">
        <v>0.7</v>
      </c>
      <c r="G258" s="9" t="n">
        <v>0.89</v>
      </c>
      <c r="H258" s="9"/>
      <c r="I258" s="9" t="n">
        <v>-0.48</v>
      </c>
      <c r="J258" s="9" t="n">
        <v>-0.09</v>
      </c>
      <c r="K258" s="9"/>
      <c r="L258" s="9" t="n">
        <v>-0.21</v>
      </c>
      <c r="M258" s="9" t="n">
        <v>0.39</v>
      </c>
      <c r="N258" s="9"/>
      <c r="O258" s="9" t="n">
        <v>0.26</v>
      </c>
      <c r="P258" s="9"/>
      <c r="Q258" s="58" t="n">
        <f aca="false">TRIMMEAN(B258:P258,2/COUNT(B258:P258))</f>
        <v>0.3225</v>
      </c>
    </row>
    <row r="259" customFormat="false" ht="15.75" hidden="false" customHeight="true" outlineLevel="0" collapsed="false">
      <c r="A259" s="59" t="s">
        <v>402</v>
      </c>
      <c r="B259" s="9" t="n">
        <v>0.04</v>
      </c>
      <c r="C259" s="9" t="n">
        <v>-0.41</v>
      </c>
      <c r="D259" s="9" t="n">
        <v>1.2</v>
      </c>
      <c r="E259" s="9" t="n">
        <v>-0.01</v>
      </c>
      <c r="F259" s="9"/>
      <c r="G259" s="9" t="n">
        <v>-0.16</v>
      </c>
      <c r="H259" s="9"/>
      <c r="I259" s="9" t="n">
        <v>0.34</v>
      </c>
      <c r="J259" s="9" t="n">
        <v>0.11</v>
      </c>
      <c r="K259" s="9" t="n">
        <v>-1.23</v>
      </c>
      <c r="L259" s="9"/>
      <c r="M259" s="9" t="n">
        <v>-0.12</v>
      </c>
      <c r="N259" s="9"/>
      <c r="O259" s="9" t="n">
        <v>-0.25</v>
      </c>
      <c r="P259" s="9" t="n">
        <v>0.35</v>
      </c>
      <c r="Q259" s="58" t="n">
        <f aca="false">TRIMMEAN(B259:P259,2/COUNT(B259:P259))</f>
        <v>-0.0122222222222222</v>
      </c>
    </row>
    <row r="260" customFormat="false" ht="15.75" hidden="false" customHeight="true" outlineLevel="0" collapsed="false">
      <c r="A260" s="59" t="s">
        <v>403</v>
      </c>
      <c r="B260" s="9"/>
      <c r="C260" s="9" t="n">
        <v>0.19</v>
      </c>
      <c r="D260" s="9"/>
      <c r="E260" s="9" t="n">
        <v>0.01</v>
      </c>
      <c r="F260" s="9" t="n">
        <v>0.08</v>
      </c>
      <c r="G260" s="9"/>
      <c r="H260" s="9" t="n">
        <v>0.04</v>
      </c>
      <c r="I260" s="9" t="n">
        <v>1.18</v>
      </c>
      <c r="J260" s="9"/>
      <c r="K260" s="9" t="n">
        <v>-0.23</v>
      </c>
      <c r="L260" s="9" t="n">
        <v>0.18</v>
      </c>
      <c r="M260" s="9" t="n">
        <v>-0.87</v>
      </c>
      <c r="N260" s="9" t="n">
        <v>-0.59</v>
      </c>
      <c r="O260" s="9" t="n">
        <v>-0.58</v>
      </c>
      <c r="P260" s="9" t="n">
        <v>-0.38</v>
      </c>
      <c r="Q260" s="58" t="n">
        <f aca="false">TRIMMEAN(B260:P260,2/COUNT(B260:P260))</f>
        <v>-0.142222222222222</v>
      </c>
    </row>
    <row r="261" customFormat="false" ht="15.75" hidden="false" customHeight="true" outlineLevel="0" collapsed="false">
      <c r="A261" s="57" t="s">
        <v>404</v>
      </c>
      <c r="B261" s="9" t="n">
        <v>-3.12</v>
      </c>
      <c r="C261" s="9" t="n">
        <v>-0.29</v>
      </c>
      <c r="D261" s="9"/>
      <c r="E261" s="9" t="n">
        <v>0.28</v>
      </c>
      <c r="F261" s="9" t="n">
        <v>0.24</v>
      </c>
      <c r="G261" s="9" t="n">
        <v>0.18</v>
      </c>
      <c r="H261" s="9"/>
      <c r="I261" s="9"/>
      <c r="J261" s="9"/>
      <c r="K261" s="9"/>
      <c r="L261" s="9" t="n">
        <v>-0.01</v>
      </c>
      <c r="M261" s="9"/>
      <c r="N261" s="9"/>
      <c r="O261" s="9"/>
      <c r="P261" s="9"/>
      <c r="Q261" s="58" t="n">
        <f aca="false">TRIMMEAN(B261:P261,2/COUNT(B261:P261))</f>
        <v>0.03</v>
      </c>
    </row>
    <row r="262" customFormat="false" ht="15.75" hidden="false" customHeight="true" outlineLevel="0" collapsed="false">
      <c r="A262" s="57" t="s">
        <v>405</v>
      </c>
      <c r="B262" s="9" t="n">
        <v>0.09</v>
      </c>
      <c r="C262" s="9" t="n">
        <v>0.25</v>
      </c>
      <c r="D262" s="9" t="n">
        <v>-0.1</v>
      </c>
      <c r="E262" s="9"/>
      <c r="F262" s="9" t="n">
        <v>-0.01</v>
      </c>
      <c r="G262" s="9" t="n">
        <v>-1.17</v>
      </c>
      <c r="H262" s="9"/>
      <c r="I262" s="9" t="n">
        <v>0.35</v>
      </c>
      <c r="J262" s="9" t="n">
        <v>-0.3</v>
      </c>
      <c r="K262" s="9"/>
      <c r="L262" s="9" t="n">
        <v>-0.12</v>
      </c>
      <c r="M262" s="9" t="n">
        <v>0.49</v>
      </c>
      <c r="N262" s="9" t="n">
        <v>-0.05</v>
      </c>
      <c r="O262" s="9" t="n">
        <v>0.37</v>
      </c>
      <c r="P262" s="9" t="n">
        <v>-0.35</v>
      </c>
      <c r="Q262" s="58" t="n">
        <f aca="false">TRIMMEAN(B262:P262,2/COUNT(B262:P262))</f>
        <v>0.013</v>
      </c>
    </row>
    <row r="263" customFormat="false" ht="15.75" hidden="false" customHeight="true" outlineLevel="0" collapsed="false">
      <c r="A263" s="57" t="s">
        <v>406</v>
      </c>
      <c r="B263" s="9" t="n">
        <v>0.43</v>
      </c>
      <c r="C263" s="9" t="n">
        <v>-0.84</v>
      </c>
      <c r="D263" s="9" t="n">
        <v>0.22</v>
      </c>
      <c r="E263" s="9"/>
      <c r="F263" s="9"/>
      <c r="G263" s="9" t="n">
        <v>-0.53</v>
      </c>
      <c r="H263" s="9"/>
      <c r="I263" s="9" t="n">
        <v>-1.17</v>
      </c>
      <c r="J263" s="9" t="n">
        <v>-0.93</v>
      </c>
      <c r="K263" s="9"/>
      <c r="L263" s="9" t="n">
        <v>0.01</v>
      </c>
      <c r="M263" s="9" t="n">
        <v>0.18</v>
      </c>
      <c r="N263" s="9"/>
      <c r="O263" s="9"/>
      <c r="P263" s="9" t="n">
        <v>-0.21</v>
      </c>
      <c r="Q263" s="58" t="n">
        <f aca="false">TRIMMEAN(B263:P263,2/COUNT(B263:P263))</f>
        <v>-0.3</v>
      </c>
    </row>
    <row r="264" customFormat="false" ht="15.75" hidden="false" customHeight="true" outlineLevel="0" collapsed="false">
      <c r="A264" s="59" t="s">
        <v>407</v>
      </c>
      <c r="B264" s="9"/>
      <c r="C264" s="9" t="n">
        <v>-0.3</v>
      </c>
      <c r="D264" s="9"/>
      <c r="E264" s="9" t="n">
        <v>-0.62</v>
      </c>
      <c r="F264" s="9" t="n">
        <v>0.23</v>
      </c>
      <c r="G264" s="9"/>
      <c r="H264" s="9"/>
      <c r="I264" s="9"/>
      <c r="J264" s="9"/>
      <c r="K264" s="9" t="n">
        <v>-0.88</v>
      </c>
      <c r="L264" s="9" t="n">
        <v>-0.17</v>
      </c>
      <c r="M264" s="9"/>
      <c r="N264" s="9" t="n">
        <v>0.94</v>
      </c>
      <c r="O264" s="9" t="n">
        <v>-1.71</v>
      </c>
      <c r="P264" s="9" t="n">
        <v>-0.05</v>
      </c>
      <c r="Q264" s="58" t="n">
        <f aca="false">TRIMMEAN(B264:P264,2/COUNT(B264:P264))</f>
        <v>-0.298333333333333</v>
      </c>
    </row>
    <row r="265" customFormat="false" ht="15.75" hidden="false" customHeight="true" outlineLevel="0" collapsed="false">
      <c r="A265" s="57" t="s">
        <v>408</v>
      </c>
      <c r="B265" s="9"/>
      <c r="C265" s="9" t="n">
        <v>-0.23</v>
      </c>
      <c r="D265" s="9"/>
      <c r="E265" s="9"/>
      <c r="F265" s="9"/>
      <c r="G265" s="9"/>
      <c r="H265" s="9"/>
      <c r="I265" s="9"/>
      <c r="J265" s="9" t="n">
        <v>0.61</v>
      </c>
      <c r="K265" s="9" t="n">
        <v>0.2</v>
      </c>
      <c r="L265" s="9" t="n">
        <v>-0.61</v>
      </c>
      <c r="M265" s="9"/>
      <c r="N265" s="9"/>
      <c r="O265" s="9"/>
      <c r="P265" s="9"/>
      <c r="Q265" s="58" t="n">
        <f aca="false">TRIMMEAN(B265:P265,2/COUNT(B265:P265))</f>
        <v>-0.015</v>
      </c>
    </row>
    <row r="266" customFormat="false" ht="15.75" hidden="false" customHeight="true" outlineLevel="0" collapsed="false">
      <c r="A266" s="59" t="s">
        <v>409</v>
      </c>
      <c r="B266" s="9"/>
      <c r="C266" s="9" t="n">
        <v>-0.48</v>
      </c>
      <c r="D266" s="9"/>
      <c r="E266" s="9" t="n">
        <v>0.32</v>
      </c>
      <c r="F266" s="9" t="n">
        <v>-0.48</v>
      </c>
      <c r="G266" s="9"/>
      <c r="H266" s="9" t="n">
        <v>0.14</v>
      </c>
      <c r="I266" s="9" t="n">
        <v>0.91</v>
      </c>
      <c r="J266" s="9" t="n">
        <v>0.12</v>
      </c>
      <c r="K266" s="9" t="n">
        <v>0.64</v>
      </c>
      <c r="L266" s="9"/>
      <c r="M266" s="9" t="n">
        <v>0.4</v>
      </c>
      <c r="N266" s="9" t="n">
        <v>0.09</v>
      </c>
      <c r="O266" s="9" t="n">
        <v>0.3</v>
      </c>
      <c r="P266" s="9" t="n">
        <v>0.76</v>
      </c>
      <c r="Q266" s="58" t="n">
        <f aca="false">TRIMMEAN(B266:P266,2/COUNT(B266:P266))</f>
        <v>0.254444444444445</v>
      </c>
    </row>
    <row r="267" customFormat="false" ht="15.75" hidden="false" customHeight="true" outlineLevel="0" collapsed="false">
      <c r="A267" s="57" t="s">
        <v>410</v>
      </c>
      <c r="B267" s="9" t="n">
        <v>-0.47</v>
      </c>
      <c r="C267" s="9"/>
      <c r="D267" s="9" t="n">
        <v>-0.5</v>
      </c>
      <c r="E267" s="9" t="n">
        <v>-0.41</v>
      </c>
      <c r="F267" s="9"/>
      <c r="G267" s="9" t="n">
        <v>0</v>
      </c>
      <c r="H267" s="9"/>
      <c r="I267" s="9"/>
      <c r="J267" s="9" t="n">
        <v>-0.27</v>
      </c>
      <c r="K267" s="9" t="n">
        <v>-0.14</v>
      </c>
      <c r="L267" s="9" t="n">
        <v>0.44</v>
      </c>
      <c r="M267" s="9" t="n">
        <v>-0.53</v>
      </c>
      <c r="N267" s="9"/>
      <c r="O267" s="9"/>
      <c r="P267" s="9"/>
      <c r="Q267" s="58" t="n">
        <f aca="false">TRIMMEAN(B267:P267,2/COUNT(B267:P267))</f>
        <v>-0.298333333333333</v>
      </c>
    </row>
    <row r="268" customFormat="false" ht="15.75" hidden="false" customHeight="true" outlineLevel="0" collapsed="false">
      <c r="A268" s="59" t="s">
        <v>411</v>
      </c>
      <c r="B268" s="9"/>
      <c r="C268" s="9" t="n">
        <v>0.78</v>
      </c>
      <c r="D268" s="9"/>
      <c r="E268" s="9" t="n">
        <v>0.65</v>
      </c>
      <c r="F268" s="9" t="n">
        <v>-0.7</v>
      </c>
      <c r="G268" s="9"/>
      <c r="H268" s="9" t="n">
        <v>-0.31</v>
      </c>
      <c r="I268" s="9"/>
      <c r="J268" s="9"/>
      <c r="K268" s="9" t="n">
        <v>-0.12</v>
      </c>
      <c r="L268" s="9" t="n">
        <v>-0.21</v>
      </c>
      <c r="M268" s="9" t="n">
        <v>-1.86</v>
      </c>
      <c r="N268" s="9" t="n">
        <v>0.15</v>
      </c>
      <c r="O268" s="9" t="n">
        <v>0.13</v>
      </c>
      <c r="P268" s="9" t="n">
        <v>-0.64</v>
      </c>
      <c r="Q268" s="58" t="n">
        <f aca="false">TRIMMEAN(B268:P268,2/COUNT(B268:P268))</f>
        <v>-0.13125</v>
      </c>
    </row>
    <row r="269" customFormat="false" ht="15.75" hidden="false" customHeight="true" outlineLevel="0" collapsed="false">
      <c r="A269" s="57" t="s">
        <v>412</v>
      </c>
      <c r="B269" s="9"/>
      <c r="C269" s="9" t="n">
        <v>-1.33</v>
      </c>
      <c r="D269" s="9"/>
      <c r="E269" s="9" t="n">
        <v>1.11</v>
      </c>
      <c r="F269" s="9"/>
      <c r="G269" s="9"/>
      <c r="H269" s="9" t="n">
        <v>0.64</v>
      </c>
      <c r="I269" s="9"/>
      <c r="J269" s="9"/>
      <c r="K269" s="9"/>
      <c r="L269" s="9" t="n">
        <v>-0.39</v>
      </c>
      <c r="M269" s="9" t="n">
        <v>0.05</v>
      </c>
      <c r="N269" s="9" t="n">
        <v>0.44</v>
      </c>
      <c r="O269" s="9" t="n">
        <v>-0.65</v>
      </c>
      <c r="P269" s="9" t="n">
        <v>-0.07</v>
      </c>
      <c r="Q269" s="58" t="n">
        <f aca="false">TRIMMEAN(B269:P269,2/COUNT(B269:P269))</f>
        <v>0.00333333333333333</v>
      </c>
    </row>
    <row r="270" customFormat="false" ht="15.75" hidden="false" customHeight="true" outlineLevel="0" collapsed="false">
      <c r="A270" s="57" t="s">
        <v>413</v>
      </c>
      <c r="B270" s="9" t="n">
        <v>0.06</v>
      </c>
      <c r="C270" s="9"/>
      <c r="D270" s="9"/>
      <c r="E270" s="9" t="n">
        <v>-0.23</v>
      </c>
      <c r="F270" s="9" t="n">
        <v>-0.93</v>
      </c>
      <c r="G270" s="9" t="n">
        <v>0.36</v>
      </c>
      <c r="H270" s="9"/>
      <c r="I270" s="9"/>
      <c r="J270" s="9" t="n">
        <v>-0.15</v>
      </c>
      <c r="K270" s="9" t="n">
        <v>-1.67</v>
      </c>
      <c r="L270" s="9" t="n">
        <v>1.12</v>
      </c>
      <c r="M270" s="9"/>
      <c r="N270" s="9"/>
      <c r="O270" s="9"/>
      <c r="P270" s="9"/>
      <c r="Q270" s="58" t="n">
        <f aca="false">TRIMMEAN(B270:P270,2/COUNT(B270:P270))</f>
        <v>-0.178</v>
      </c>
    </row>
    <row r="271" customFormat="false" ht="15.75" hidden="false" customHeight="true" outlineLevel="0" collapsed="false">
      <c r="A271" s="57" t="s">
        <v>414</v>
      </c>
      <c r="B271" s="9" t="n">
        <v>0.96</v>
      </c>
      <c r="C271" s="9" t="n">
        <v>0.14</v>
      </c>
      <c r="D271" s="9" t="n">
        <v>0.32</v>
      </c>
      <c r="E271" s="9"/>
      <c r="F271" s="9"/>
      <c r="G271" s="9" t="n">
        <v>-0.55</v>
      </c>
      <c r="H271" s="9" t="n">
        <v>0.37</v>
      </c>
      <c r="I271" s="9" t="n">
        <v>0.14</v>
      </c>
      <c r="J271" s="9" t="n">
        <v>-0.15</v>
      </c>
      <c r="K271" s="9"/>
      <c r="L271" s="9" t="n">
        <v>0.22</v>
      </c>
      <c r="M271" s="9" t="n">
        <v>-0.61</v>
      </c>
      <c r="N271" s="9"/>
      <c r="O271" s="9" t="n">
        <v>-0.01</v>
      </c>
      <c r="P271" s="9" t="n">
        <v>-0.27</v>
      </c>
      <c r="Q271" s="58" t="n">
        <f aca="false">TRIMMEAN(B271:P271,2/COUNT(B271:P271))</f>
        <v>0.0233333333333333</v>
      </c>
    </row>
    <row r="272" customFormat="false" ht="15.75" hidden="false" customHeight="true" outlineLevel="0" collapsed="false">
      <c r="A272" s="57" t="s">
        <v>415</v>
      </c>
      <c r="B272" s="9" t="n">
        <v>0.52</v>
      </c>
      <c r="C272" s="9" t="n">
        <v>0.6</v>
      </c>
      <c r="D272" s="9" t="n">
        <v>0.44</v>
      </c>
      <c r="E272" s="9"/>
      <c r="F272" s="9" t="n">
        <v>-0.31</v>
      </c>
      <c r="G272" s="9" t="n">
        <v>0.37</v>
      </c>
      <c r="H272" s="9" t="n">
        <v>0.97</v>
      </c>
      <c r="I272" s="9" t="n">
        <v>0.87</v>
      </c>
      <c r="J272" s="9" t="n">
        <v>0.52</v>
      </c>
      <c r="K272" s="9"/>
      <c r="L272" s="9" t="n">
        <v>-1.33</v>
      </c>
      <c r="M272" s="9" t="n">
        <v>-0.36</v>
      </c>
      <c r="N272" s="9"/>
      <c r="O272" s="9"/>
      <c r="P272" s="9" t="n">
        <v>-0.82</v>
      </c>
      <c r="Q272" s="58" t="n">
        <f aca="false">TRIMMEAN(B272:P272,2/COUNT(B272:P272))</f>
        <v>0.203333333333333</v>
      </c>
    </row>
    <row r="273" customFormat="false" ht="15.75" hidden="false" customHeight="true" outlineLevel="0" collapsed="false">
      <c r="A273" s="57" t="s">
        <v>416</v>
      </c>
      <c r="B273" s="9" t="n">
        <v>0.74</v>
      </c>
      <c r="C273" s="9" t="n">
        <v>0.41</v>
      </c>
      <c r="D273" s="9" t="n">
        <v>-0.04</v>
      </c>
      <c r="E273" s="9"/>
      <c r="F273" s="9" t="n">
        <v>0.44</v>
      </c>
      <c r="G273" s="9" t="n">
        <v>1.7</v>
      </c>
      <c r="H273" s="9"/>
      <c r="I273" s="9" t="n">
        <v>0.43</v>
      </c>
      <c r="J273" s="9" t="n">
        <v>1.71</v>
      </c>
      <c r="K273" s="9"/>
      <c r="L273" s="9" t="n">
        <v>0.37</v>
      </c>
      <c r="M273" s="9" t="n">
        <v>0.23</v>
      </c>
      <c r="N273" s="9"/>
      <c r="O273" s="9"/>
      <c r="P273" s="9" t="n">
        <v>0.59</v>
      </c>
      <c r="Q273" s="58" t="n">
        <f aca="false">TRIMMEAN(B273:P273,2/COUNT(B273:P273))</f>
        <v>0.61375</v>
      </c>
    </row>
    <row r="274" customFormat="false" ht="15.75" hidden="false" customHeight="true" outlineLevel="0" collapsed="false">
      <c r="A274" s="59" t="s">
        <v>417</v>
      </c>
      <c r="B274" s="9"/>
      <c r="C274" s="9" t="n">
        <v>-0.28</v>
      </c>
      <c r="D274" s="9"/>
      <c r="E274" s="9" t="n">
        <v>-0.3</v>
      </c>
      <c r="F274" s="9" t="n">
        <v>1.03</v>
      </c>
      <c r="G274" s="9"/>
      <c r="H274" s="9" t="n">
        <v>-0.04</v>
      </c>
      <c r="I274" s="9" t="n">
        <v>-0.29</v>
      </c>
      <c r="J274" s="9"/>
      <c r="K274" s="9" t="n">
        <v>-0.11</v>
      </c>
      <c r="L274" s="9" t="n">
        <v>-0.49</v>
      </c>
      <c r="M274" s="9"/>
      <c r="N274" s="9" t="n">
        <v>-0.14</v>
      </c>
      <c r="O274" s="9" t="n">
        <v>-0.48</v>
      </c>
      <c r="P274" s="9" t="n">
        <v>0.05</v>
      </c>
      <c r="Q274" s="58" t="n">
        <f aca="false">TRIMMEAN(B274:P274,2/COUNT(B274:P274))</f>
        <v>-0.19875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 t="n">
        <v>-1.24</v>
      </c>
      <c r="E275" s="9" t="n">
        <v>0.07</v>
      </c>
      <c r="F275" s="9" t="n">
        <v>0.5</v>
      </c>
      <c r="G275" s="9"/>
      <c r="H275" s="9" t="n">
        <v>-0.27</v>
      </c>
      <c r="I275" s="9"/>
      <c r="J275" s="9"/>
      <c r="K275" s="9" t="n">
        <v>0.82</v>
      </c>
      <c r="L275" s="9" t="n">
        <v>1.35</v>
      </c>
      <c r="M275" s="9" t="n">
        <v>0.23</v>
      </c>
      <c r="N275" s="9"/>
      <c r="O275" s="9" t="n">
        <v>0.5</v>
      </c>
      <c r="P275" s="9"/>
      <c r="Q275" s="58" t="n">
        <f aca="false">TRIMMEAN(B275:P275,2/COUNT(B275:P275))</f>
        <v>0.308333333333333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/>
      <c r="H277" s="9"/>
      <c r="I277" s="9"/>
      <c r="J277" s="9"/>
      <c r="K277" s="9" t="n">
        <v>-0.08</v>
      </c>
      <c r="L277" s="9" t="n">
        <v>-0.17</v>
      </c>
      <c r="M277" s="9"/>
      <c r="N277" s="9"/>
      <c r="O277" s="9" t="n">
        <v>-0.54</v>
      </c>
      <c r="P277" s="9"/>
      <c r="Q277" s="58" t="n">
        <f aca="false">TRIMMEAN(B277:P277,2/COUNT(B277:P277))</f>
        <v>-0.17</v>
      </c>
    </row>
    <row r="278" customFormat="false" ht="15.75" hidden="false" customHeight="true" outlineLevel="0" collapsed="false">
      <c r="A278" s="59" t="s">
        <v>421</v>
      </c>
      <c r="B278" s="9"/>
      <c r="C278" s="9" t="n">
        <v>-0.65</v>
      </c>
      <c r="D278" s="9"/>
      <c r="E278" s="9" t="n">
        <v>-0.39</v>
      </c>
      <c r="F278" s="9" t="n">
        <v>0.15</v>
      </c>
      <c r="G278" s="9"/>
      <c r="H278" s="9" t="n">
        <v>0.66</v>
      </c>
      <c r="I278" s="9" t="n">
        <v>0.81</v>
      </c>
      <c r="J278" s="9"/>
      <c r="K278" s="9" t="n">
        <v>-0.81</v>
      </c>
      <c r="L278" s="9" t="n">
        <v>-0.08</v>
      </c>
      <c r="M278" s="9" t="n">
        <v>0.79</v>
      </c>
      <c r="N278" s="9" t="n">
        <v>-0.5</v>
      </c>
      <c r="O278" s="9" t="n">
        <v>-1.16</v>
      </c>
      <c r="P278" s="9" t="n">
        <v>0.96</v>
      </c>
      <c r="Q278" s="58" t="n">
        <f aca="false">TRIMMEAN(B278:P278,2/COUNT(B278:P278))</f>
        <v>-0.00222222222222222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 t="n">
        <v>-0.04</v>
      </c>
      <c r="E279" s="9"/>
      <c r="F279" s="9"/>
      <c r="G279" s="9"/>
      <c r="H279" s="9"/>
      <c r="I279" s="9"/>
      <c r="J279" s="9"/>
      <c r="K279" s="9"/>
      <c r="L279" s="9"/>
      <c r="M279" s="9" t="n">
        <v>0</v>
      </c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-0.04</v>
      </c>
      <c r="C280" s="9" t="n">
        <v>-0.6</v>
      </c>
      <c r="D280" s="9"/>
      <c r="E280" s="9" t="n">
        <v>-0.47</v>
      </c>
      <c r="F280" s="9" t="n">
        <v>0.44</v>
      </c>
      <c r="G280" s="9" t="n">
        <v>-0.41</v>
      </c>
      <c r="H280" s="9"/>
      <c r="I280" s="9"/>
      <c r="J280" s="9" t="n">
        <v>0.25</v>
      </c>
      <c r="K280" s="9" t="n">
        <v>-0.18</v>
      </c>
      <c r="L280" s="9" t="n">
        <v>0.21</v>
      </c>
      <c r="M280" s="9"/>
      <c r="N280" s="9"/>
      <c r="O280" s="9"/>
      <c r="P280" s="9"/>
      <c r="Q280" s="58" t="n">
        <f aca="false">TRIMMEAN(B280:P280,2/COUNT(B280:P280))</f>
        <v>-0.106666666666667</v>
      </c>
    </row>
    <row r="281" customFormat="false" ht="15.75" hidden="false" customHeight="true" outlineLevel="0" collapsed="false">
      <c r="A281" s="57" t="s">
        <v>424</v>
      </c>
      <c r="B281" s="9"/>
      <c r="C281" s="9" t="n">
        <v>-0.83</v>
      </c>
      <c r="D281" s="9"/>
      <c r="E281" s="9" t="n">
        <v>1.19</v>
      </c>
      <c r="F281" s="9" t="n">
        <v>-0.27</v>
      </c>
      <c r="G281" s="9"/>
      <c r="H281" s="9" t="n">
        <v>0.47</v>
      </c>
      <c r="I281" s="9"/>
      <c r="J281" s="9"/>
      <c r="K281" s="9" t="n">
        <v>0.49</v>
      </c>
      <c r="L281" s="9" t="n">
        <v>-0.89</v>
      </c>
      <c r="M281" s="9"/>
      <c r="N281" s="9" t="n">
        <v>0.48</v>
      </c>
      <c r="O281" s="9" t="n">
        <v>0.54</v>
      </c>
      <c r="P281" s="9" t="n">
        <v>0.46</v>
      </c>
      <c r="Q281" s="58" t="n">
        <f aca="false">TRIMMEAN(B281:P281,2/COUNT(B281:P281))</f>
        <v>0.191428571428571</v>
      </c>
    </row>
    <row r="282" customFormat="false" ht="15.75" hidden="false" customHeight="true" outlineLevel="0" collapsed="false">
      <c r="A282" s="59" t="s">
        <v>425</v>
      </c>
      <c r="B282" s="9"/>
      <c r="C282" s="9" t="n">
        <v>-0.06</v>
      </c>
      <c r="D282" s="9"/>
      <c r="E282" s="9" t="n">
        <v>-0.02</v>
      </c>
      <c r="F282" s="9" t="n">
        <v>-0.48</v>
      </c>
      <c r="G282" s="9"/>
      <c r="H282" s="9" t="n">
        <v>0.45</v>
      </c>
      <c r="I282" s="9"/>
      <c r="J282" s="9"/>
      <c r="K282" s="9" t="n">
        <v>0.43</v>
      </c>
      <c r="L282" s="9" t="n">
        <v>-0.36</v>
      </c>
      <c r="M282" s="9" t="n">
        <v>-0.23</v>
      </c>
      <c r="N282" s="9" t="n">
        <v>0.59</v>
      </c>
      <c r="O282" s="9" t="n">
        <v>-0.08</v>
      </c>
      <c r="P282" s="9" t="n">
        <v>0.6</v>
      </c>
      <c r="Q282" s="58" t="n">
        <f aca="false">TRIMMEAN(B282:P282,2/COUNT(B282:P282))</f>
        <v>0.09</v>
      </c>
    </row>
    <row r="283" customFormat="false" ht="15.75" hidden="false" customHeight="true" outlineLevel="0" collapsed="false">
      <c r="A283" s="57" t="s">
        <v>426</v>
      </c>
      <c r="B283" s="9" t="n">
        <v>-0.65</v>
      </c>
      <c r="C283" s="9" t="n">
        <v>-2.07</v>
      </c>
      <c r="D283" s="9"/>
      <c r="E283" s="9"/>
      <c r="F283" s="9" t="n">
        <v>-0.53</v>
      </c>
      <c r="G283" s="9" t="n">
        <v>-0.18</v>
      </c>
      <c r="H283" s="9"/>
      <c r="I283" s="9"/>
      <c r="J283" s="9" t="n">
        <v>-1.38</v>
      </c>
      <c r="K283" s="9" t="n">
        <v>-0.26</v>
      </c>
      <c r="L283" s="9" t="n">
        <v>-0.28</v>
      </c>
      <c r="M283" s="9" t="n">
        <v>0.27</v>
      </c>
      <c r="N283" s="9"/>
      <c r="O283" s="9"/>
      <c r="P283" s="9"/>
      <c r="Q283" s="58" t="n">
        <f aca="false">TRIMMEAN(B283:P283,2/COUNT(B283:P283))</f>
        <v>-0.546666666666667</v>
      </c>
    </row>
    <row r="284" customFormat="false" ht="15.75" hidden="false" customHeight="true" outlineLevel="0" collapsed="false">
      <c r="A284" s="59" t="s">
        <v>427</v>
      </c>
      <c r="B284" s="9" t="n">
        <v>-0.51</v>
      </c>
      <c r="C284" s="9" t="n">
        <v>0.24</v>
      </c>
      <c r="D284" s="9" t="n">
        <v>0.8</v>
      </c>
      <c r="E284" s="9" t="n">
        <v>-0.49</v>
      </c>
      <c r="F284" s="9"/>
      <c r="G284" s="9" t="n">
        <v>-0.76</v>
      </c>
      <c r="H284" s="9" t="n">
        <v>0.41</v>
      </c>
      <c r="I284" s="9"/>
      <c r="J284" s="9" t="n">
        <v>0.59</v>
      </c>
      <c r="K284" s="9" t="n">
        <v>0.6</v>
      </c>
      <c r="L284" s="9"/>
      <c r="M284" s="9"/>
      <c r="N284" s="9"/>
      <c r="O284" s="9"/>
      <c r="P284" s="9"/>
      <c r="Q284" s="58" t="n">
        <f aca="false">TRIMMEAN(B284:P284,2/COUNT(B284:P284))</f>
        <v>0.14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0.09</v>
      </c>
      <c r="D286" s="9"/>
      <c r="E286" s="9" t="n">
        <v>0.73</v>
      </c>
      <c r="F286" s="9" t="n">
        <v>-0.13</v>
      </c>
      <c r="G286" s="9"/>
      <c r="H286" s="9" t="n">
        <v>-0.17</v>
      </c>
      <c r="I286" s="9"/>
      <c r="J286" s="9"/>
      <c r="K286" s="9" t="n">
        <v>-0.03</v>
      </c>
      <c r="L286" s="9"/>
      <c r="M286" s="9"/>
      <c r="N286" s="9"/>
      <c r="O286" s="9"/>
      <c r="P286" s="9"/>
      <c r="Q286" s="58" t="n">
        <f aca="false">TRIMMEAN(B286:P286,2/COUNT(B286:P286))</f>
        <v>-0.0233333333333333</v>
      </c>
    </row>
    <row r="287" customFormat="false" ht="15.75" hidden="false" customHeight="true" outlineLevel="0" collapsed="false">
      <c r="A287" s="57" t="s">
        <v>430</v>
      </c>
      <c r="B287" s="9"/>
      <c r="C287" s="9" t="n">
        <v>-0.3</v>
      </c>
      <c r="D287" s="9"/>
      <c r="E287" s="9" t="n">
        <v>0.88</v>
      </c>
      <c r="F287" s="9" t="n">
        <v>-0.21</v>
      </c>
      <c r="G287" s="9"/>
      <c r="H287" s="9" t="n">
        <v>0.42</v>
      </c>
      <c r="I287" s="9"/>
      <c r="J287" s="9"/>
      <c r="K287" s="9" t="n">
        <v>0.78</v>
      </c>
      <c r="L287" s="9" t="n">
        <v>-0.02</v>
      </c>
      <c r="M287" s="9"/>
      <c r="N287" s="9" t="n">
        <v>-1.14</v>
      </c>
      <c r="O287" s="9" t="n">
        <v>-0.11</v>
      </c>
      <c r="P287" s="9" t="n">
        <v>0.59</v>
      </c>
      <c r="Q287" s="58" t="n">
        <f aca="false">TRIMMEAN(B287:P287,2/COUNT(B287:P287))</f>
        <v>0.164285714285714</v>
      </c>
    </row>
    <row r="288" customFormat="false" ht="15.75" hidden="false" customHeight="true" outlineLevel="0" collapsed="false">
      <c r="A288" s="59" t="s">
        <v>431</v>
      </c>
      <c r="B288" s="9"/>
      <c r="C288" s="9" t="n">
        <v>-0.04</v>
      </c>
      <c r="D288" s="9"/>
      <c r="E288" s="9" t="n">
        <v>0.59</v>
      </c>
      <c r="F288" s="9" t="n">
        <v>0.42</v>
      </c>
      <c r="G288" s="9"/>
      <c r="H288" s="9" t="n">
        <v>1.06</v>
      </c>
      <c r="I288" s="9"/>
      <c r="J288" s="9"/>
      <c r="K288" s="9" t="n">
        <v>-0.44</v>
      </c>
      <c r="L288" s="9" t="n">
        <v>0.14</v>
      </c>
      <c r="M288" s="9" t="n">
        <v>-0.03</v>
      </c>
      <c r="N288" s="9" t="n">
        <v>0.31</v>
      </c>
      <c r="O288" s="9"/>
      <c r="P288" s="9" t="n">
        <v>-0.54</v>
      </c>
      <c r="Q288" s="58" t="n">
        <f aca="false">TRIMMEAN(B288:P288,2/COUNT(B288:P288))</f>
        <v>0.135714285714286</v>
      </c>
    </row>
    <row r="289" customFormat="false" ht="15.75" hidden="false" customHeight="true" outlineLevel="0" collapsed="false">
      <c r="A289" s="57" t="s">
        <v>432</v>
      </c>
      <c r="B289" s="9" t="n">
        <v>-0.67</v>
      </c>
      <c r="C289" s="9" t="n">
        <v>-0.46</v>
      </c>
      <c r="D289" s="9"/>
      <c r="E289" s="9" t="n">
        <v>0.11</v>
      </c>
      <c r="F289" s="9" t="n">
        <v>-1.16</v>
      </c>
      <c r="G289" s="9" t="n">
        <v>-0.21</v>
      </c>
      <c r="H289" s="9"/>
      <c r="I289" s="9"/>
      <c r="J289" s="9" t="n">
        <v>0.46</v>
      </c>
      <c r="K289" s="9" t="n">
        <v>0.27</v>
      </c>
      <c r="L289" s="9" t="n">
        <v>0.1</v>
      </c>
      <c r="M289" s="9" t="n">
        <v>0.72</v>
      </c>
      <c r="N289" s="9"/>
      <c r="O289" s="9"/>
      <c r="P289" s="9"/>
      <c r="Q289" s="58" t="n">
        <f aca="false">TRIMMEAN(B289:P289,2/COUNT(B289:P289))</f>
        <v>-0.0571428571428572</v>
      </c>
    </row>
    <row r="290" customFormat="false" ht="15.75" hidden="false" customHeight="true" outlineLevel="0" collapsed="false">
      <c r="A290" s="59" t="s">
        <v>433</v>
      </c>
      <c r="B290" s="9"/>
      <c r="C290" s="9" t="n">
        <v>-0.03</v>
      </c>
      <c r="D290" s="9"/>
      <c r="E290" s="9" t="n">
        <v>-0.55</v>
      </c>
      <c r="F290" s="9" t="n">
        <v>0.17</v>
      </c>
      <c r="G290" s="9"/>
      <c r="H290" s="9" t="n">
        <v>-0.27</v>
      </c>
      <c r="I290" s="9"/>
      <c r="J290" s="9"/>
      <c r="K290" s="9" t="n">
        <v>-2.13</v>
      </c>
      <c r="L290" s="9" t="n">
        <v>0.03</v>
      </c>
      <c r="M290" s="9" t="n">
        <v>-1.6</v>
      </c>
      <c r="N290" s="9" t="n">
        <v>-0.51</v>
      </c>
      <c r="O290" s="9" t="n">
        <v>-1.25</v>
      </c>
      <c r="P290" s="9" t="n">
        <v>0.01</v>
      </c>
      <c r="Q290" s="58" t="n">
        <f aca="false">TRIMMEAN(B290:P290,2/COUNT(B290:P290))</f>
        <v>-0.52125</v>
      </c>
    </row>
    <row r="291" customFormat="false" ht="15.75" hidden="false" customHeight="true" outlineLevel="0" collapsed="false">
      <c r="A291" s="57" t="s">
        <v>434</v>
      </c>
      <c r="B291" s="9" t="n">
        <v>-0.22</v>
      </c>
      <c r="C291" s="9"/>
      <c r="D291" s="9" t="n">
        <v>0.39</v>
      </c>
      <c r="E291" s="9"/>
      <c r="F291" s="9"/>
      <c r="G291" s="9"/>
      <c r="H291" s="9" t="n">
        <v>-0.32</v>
      </c>
      <c r="I291" s="9"/>
      <c r="J291" s="9"/>
      <c r="K291" s="9" t="n">
        <v>-0.69</v>
      </c>
      <c r="L291" s="9" t="n">
        <v>0.77</v>
      </c>
      <c r="M291" s="9" t="n">
        <v>1.03</v>
      </c>
      <c r="N291" s="9"/>
      <c r="O291" s="9" t="n">
        <v>0.77</v>
      </c>
      <c r="P291" s="9" t="n">
        <v>0.53</v>
      </c>
      <c r="Q291" s="58" t="n">
        <f aca="false">TRIMMEAN(B291:P291,2/COUNT(B291:P291))</f>
        <v>0.32</v>
      </c>
    </row>
    <row r="292" customFormat="false" ht="15.75" hidden="false" customHeight="true" outlineLevel="0" collapsed="false">
      <c r="A292" s="57" t="s">
        <v>435</v>
      </c>
      <c r="B292" s="9" t="n">
        <v>-0.76</v>
      </c>
      <c r="C292" s="9" t="n">
        <v>-0.09</v>
      </c>
      <c r="D292" s="9"/>
      <c r="E292" s="9" t="n">
        <v>0.05</v>
      </c>
      <c r="F292" s="9"/>
      <c r="G292" s="9" t="n">
        <v>0.77</v>
      </c>
      <c r="H292" s="9"/>
      <c r="I292" s="9"/>
      <c r="J292" s="9"/>
      <c r="K292" s="9" t="n">
        <v>-0.55</v>
      </c>
      <c r="L292" s="9" t="n">
        <v>0.14</v>
      </c>
      <c r="M292" s="9" t="n">
        <v>0.32</v>
      </c>
      <c r="N292" s="9"/>
      <c r="O292" s="9"/>
      <c r="P292" s="9"/>
      <c r="Q292" s="58" t="n">
        <f aca="false">TRIMMEAN(B292:P292,2/COUNT(B292:P292))</f>
        <v>-0.026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-0.5</v>
      </c>
      <c r="D294" s="9"/>
      <c r="E294" s="9" t="n">
        <v>-0.98</v>
      </c>
      <c r="F294" s="9" t="n">
        <v>-0.57</v>
      </c>
      <c r="G294" s="9"/>
      <c r="H294" s="9" t="n">
        <v>0.05</v>
      </c>
      <c r="I294" s="9"/>
      <c r="J294" s="9"/>
      <c r="K294" s="9" t="n">
        <v>0.22</v>
      </c>
      <c r="L294" s="9" t="n">
        <v>1.18</v>
      </c>
      <c r="M294" s="9" t="n">
        <v>0.47</v>
      </c>
      <c r="N294" s="9" t="n">
        <v>0.9</v>
      </c>
      <c r="O294" s="9" t="n">
        <v>1.21</v>
      </c>
      <c r="P294" s="9" t="n">
        <v>-1.12</v>
      </c>
      <c r="Q294" s="58" t="n">
        <f aca="false">TRIMMEAN(B294:P294,2/COUNT(B294:P294))</f>
        <v>0.09625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0.23</v>
      </c>
      <c r="C297" s="9" t="n">
        <v>-0.53</v>
      </c>
      <c r="D297" s="9" t="n">
        <v>0.38</v>
      </c>
      <c r="E297" s="9"/>
      <c r="F297" s="9" t="n">
        <v>0.69</v>
      </c>
      <c r="G297" s="9" t="n">
        <v>-0.42</v>
      </c>
      <c r="H297" s="9"/>
      <c r="I297" s="9"/>
      <c r="J297" s="9" t="n">
        <v>0.88</v>
      </c>
      <c r="K297" s="9" t="n">
        <v>0.03</v>
      </c>
      <c r="L297" s="9" t="n">
        <v>0.58</v>
      </c>
      <c r="M297" s="9" t="n">
        <v>1.02</v>
      </c>
      <c r="N297" s="9"/>
      <c r="O297" s="9"/>
      <c r="P297" s="9"/>
      <c r="Q297" s="58" t="n">
        <f aca="false">TRIMMEAN(B297:P297,2/COUNT(B297:P297))</f>
        <v>0.338571428571429</v>
      </c>
    </row>
    <row r="298" customFormat="false" ht="15.75" hidden="false" customHeight="true" outlineLevel="0" collapsed="false">
      <c r="A298" s="57" t="s">
        <v>441</v>
      </c>
      <c r="B298" s="9"/>
      <c r="C298" s="9" t="n">
        <v>0.53</v>
      </c>
      <c r="D298" s="9"/>
      <c r="E298" s="9" t="n">
        <v>0.11</v>
      </c>
      <c r="F298" s="9"/>
      <c r="G298" s="9" t="n">
        <v>-0.07</v>
      </c>
      <c r="H298" s="9" t="n">
        <v>-0.36</v>
      </c>
      <c r="I298" s="9"/>
      <c r="J298" s="9" t="n">
        <v>-0.46</v>
      </c>
      <c r="K298" s="9" t="n">
        <v>-3.18</v>
      </c>
      <c r="L298" s="9" t="n">
        <v>0.92</v>
      </c>
      <c r="M298" s="9" t="n">
        <v>-1.92</v>
      </c>
      <c r="N298" s="9"/>
      <c r="O298" s="9"/>
      <c r="P298" s="9"/>
      <c r="Q298" s="58" t="n">
        <f aca="false">TRIMMEAN(B298:P298,2/COUNT(B298:P298))</f>
        <v>-0.361666666666667</v>
      </c>
    </row>
    <row r="299" customFormat="false" ht="15.75" hidden="false" customHeight="true" outlineLevel="0" collapsed="false">
      <c r="A299" s="59" t="s">
        <v>442</v>
      </c>
      <c r="B299" s="9"/>
      <c r="C299" s="9" t="n">
        <v>-1.18</v>
      </c>
      <c r="D299" s="9"/>
      <c r="E299" s="9" t="n">
        <v>0.19</v>
      </c>
      <c r="F299" s="9"/>
      <c r="G299" s="9"/>
      <c r="H299" s="9"/>
      <c r="I299" s="9"/>
      <c r="J299" s="9"/>
      <c r="K299" s="9" t="n">
        <v>0.49</v>
      </c>
      <c r="L299" s="9" t="n">
        <v>0.46</v>
      </c>
      <c r="M299" s="9" t="n">
        <v>-0.26</v>
      </c>
      <c r="N299" s="9" t="n">
        <v>-1.1</v>
      </c>
      <c r="O299" s="9" t="n">
        <v>0.76</v>
      </c>
      <c r="P299" s="9" t="n">
        <v>0.96</v>
      </c>
      <c r="Q299" s="58" t="n">
        <f aca="false">TRIMMEAN(B299:P299,2/COUNT(B299:P299))</f>
        <v>0.09</v>
      </c>
    </row>
    <row r="300" customFormat="false" ht="15.75" hidden="false" customHeight="true" outlineLevel="0" collapsed="false">
      <c r="A300" s="59" t="s">
        <v>443</v>
      </c>
      <c r="B300" s="9" t="n">
        <v>-0.28</v>
      </c>
      <c r="C300" s="9" t="n">
        <v>-0.34</v>
      </c>
      <c r="D300" s="9" t="n">
        <v>-0.76</v>
      </c>
      <c r="E300" s="9"/>
      <c r="F300" s="9" t="n">
        <v>-0.14</v>
      </c>
      <c r="G300" s="9" t="n">
        <v>0.09</v>
      </c>
      <c r="H300" s="9"/>
      <c r="I300" s="9" t="n">
        <v>-0.05</v>
      </c>
      <c r="J300" s="9" t="n">
        <v>-0.58</v>
      </c>
      <c r="K300" s="9"/>
      <c r="L300" s="9"/>
      <c r="M300" s="9" t="n">
        <v>-2.08</v>
      </c>
      <c r="N300" s="9" t="n">
        <v>0.03</v>
      </c>
      <c r="O300" s="9"/>
      <c r="P300" s="9"/>
      <c r="Q300" s="58" t="n">
        <f aca="false">TRIMMEAN(B300:P300,2/COUNT(B300:P300))</f>
        <v>-0.302857142857143</v>
      </c>
    </row>
    <row r="301" customFormat="false" ht="15.75" hidden="false" customHeight="true" outlineLevel="0" collapsed="false">
      <c r="A301" s="57" t="s">
        <v>444</v>
      </c>
      <c r="B301" s="9" t="n">
        <v>-0.31</v>
      </c>
      <c r="C301" s="9"/>
      <c r="D301" s="9"/>
      <c r="E301" s="9"/>
      <c r="F301" s="9" t="n">
        <v>0.44</v>
      </c>
      <c r="G301" s="9" t="n">
        <v>0.07</v>
      </c>
      <c r="H301" s="9"/>
      <c r="I301" s="9"/>
      <c r="J301" s="9" t="n">
        <v>0.01</v>
      </c>
      <c r="K301" s="9" t="n">
        <v>0.46</v>
      </c>
      <c r="L301" s="9" t="n">
        <v>-0.86</v>
      </c>
      <c r="M301" s="9"/>
      <c r="N301" s="9"/>
      <c r="O301" s="9"/>
      <c r="P301" s="9"/>
      <c r="Q301" s="58" t="n">
        <f aca="false">TRIMMEAN(B301:P301,2/COUNT(B301:P301))</f>
        <v>0.0525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 t="n">
        <v>-1.12</v>
      </c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-0.03</v>
      </c>
      <c r="D303" s="9"/>
      <c r="E303" s="9" t="n">
        <v>-0.36</v>
      </c>
      <c r="F303" s="9" t="n">
        <v>-1.22</v>
      </c>
      <c r="G303" s="9"/>
      <c r="H303" s="9" t="n">
        <v>-0.1</v>
      </c>
      <c r="I303" s="9" t="n">
        <v>0.07</v>
      </c>
      <c r="J303" s="9"/>
      <c r="K303" s="9" t="n">
        <v>-0.43</v>
      </c>
      <c r="L303" s="9" t="n">
        <v>0.07</v>
      </c>
      <c r="M303" s="9" t="n">
        <v>-0.27</v>
      </c>
      <c r="N303" s="9" t="n">
        <v>0.22</v>
      </c>
      <c r="O303" s="9" t="n">
        <v>0.05</v>
      </c>
      <c r="P303" s="9" t="n">
        <v>-0.54</v>
      </c>
      <c r="Q303" s="58" t="n">
        <f aca="false">TRIMMEAN(B303:P303,2/COUNT(B303:P303))</f>
        <v>-0.171111111111111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0.51</v>
      </c>
      <c r="C305" s="9"/>
      <c r="D305" s="9" t="n">
        <v>-0.83</v>
      </c>
      <c r="E305" s="9"/>
      <c r="F305" s="9" t="n">
        <v>0.03</v>
      </c>
      <c r="G305" s="9" t="n">
        <v>0.12</v>
      </c>
      <c r="H305" s="9" t="n">
        <v>-0.2</v>
      </c>
      <c r="I305" s="9" t="n">
        <v>1.9</v>
      </c>
      <c r="J305" s="9"/>
      <c r="K305" s="9" t="n">
        <v>0.3</v>
      </c>
      <c r="L305" s="9" t="n">
        <v>-0.13</v>
      </c>
      <c r="M305" s="9"/>
      <c r="N305" s="9" t="n">
        <v>-0.28</v>
      </c>
      <c r="O305" s="9" t="n">
        <v>0.4</v>
      </c>
      <c r="P305" s="9"/>
      <c r="Q305" s="58" t="n">
        <f aca="false">TRIMMEAN(B305:P305,2/COUNT(B305:P305))</f>
        <v>0.09375</v>
      </c>
    </row>
    <row r="306" customFormat="false" ht="15.75" hidden="false" customHeight="true" outlineLevel="0" collapsed="false">
      <c r="A306" s="59" t="s">
        <v>449</v>
      </c>
      <c r="B306" s="9" t="n">
        <v>0.73</v>
      </c>
      <c r="C306" s="9" t="n">
        <v>1.56</v>
      </c>
      <c r="D306" s="9" t="n">
        <v>-0.24</v>
      </c>
      <c r="E306" s="9"/>
      <c r="F306" s="9"/>
      <c r="G306" s="9" t="n">
        <v>-0.42</v>
      </c>
      <c r="H306" s="9"/>
      <c r="I306" s="9" t="n">
        <v>0.49</v>
      </c>
      <c r="J306" s="9" t="n">
        <v>0.15</v>
      </c>
      <c r="K306" s="9"/>
      <c r="L306" s="9"/>
      <c r="M306" s="9" t="n">
        <v>0.35</v>
      </c>
      <c r="N306" s="9"/>
      <c r="O306" s="9" t="n">
        <v>0.24</v>
      </c>
      <c r="P306" s="9" t="n">
        <v>-0.1</v>
      </c>
      <c r="Q306" s="58" t="n">
        <f aca="false">TRIMMEAN(B306:P306,2/COUNT(B306:P306))</f>
        <v>0.231428571428571</v>
      </c>
    </row>
    <row r="307" customFormat="false" ht="15.75" hidden="false" customHeight="true" outlineLevel="0" collapsed="false">
      <c r="A307" s="59" t="s">
        <v>450</v>
      </c>
      <c r="B307" s="9"/>
      <c r="C307" s="9" t="n">
        <v>-0.43</v>
      </c>
      <c r="D307" s="9"/>
      <c r="E307" s="9" t="n">
        <v>-0.54</v>
      </c>
      <c r="F307" s="9"/>
      <c r="G307" s="9"/>
      <c r="H307" s="9"/>
      <c r="I307" s="9"/>
      <c r="J307" s="9"/>
      <c r="K307" s="9" t="n">
        <v>-0.5</v>
      </c>
      <c r="L307" s="9"/>
      <c r="M307" s="9" t="n">
        <v>0.14</v>
      </c>
      <c r="N307" s="9"/>
      <c r="O307" s="9"/>
      <c r="P307" s="9"/>
      <c r="Q307" s="58" t="n">
        <f aca="false">TRIMMEAN(B307:P307,2/COUNT(B307:P307))</f>
        <v>-0.465</v>
      </c>
    </row>
    <row r="308" customFormat="false" ht="15.75" hidden="false" customHeight="true" outlineLevel="0" collapsed="false">
      <c r="A308" s="60" t="s">
        <v>451</v>
      </c>
      <c r="B308" s="61"/>
      <c r="C308" s="61" t="n">
        <v>0.19</v>
      </c>
      <c r="D308" s="61"/>
      <c r="E308" s="61" t="n">
        <v>-0.51</v>
      </c>
      <c r="F308" s="61" t="n">
        <v>0.32</v>
      </c>
      <c r="G308" s="61"/>
      <c r="H308" s="61" t="n">
        <v>-0.82</v>
      </c>
      <c r="I308" s="61"/>
      <c r="J308" s="61"/>
      <c r="K308" s="61" t="n">
        <v>-0.24</v>
      </c>
      <c r="L308" s="61" t="n">
        <v>-0.05</v>
      </c>
      <c r="M308" s="61" t="n">
        <v>0.3</v>
      </c>
      <c r="N308" s="61" t="n">
        <v>0.93</v>
      </c>
      <c r="O308" s="61" t="n">
        <v>-0.22</v>
      </c>
      <c r="P308" s="61" t="n">
        <v>0.39</v>
      </c>
      <c r="Q308" s="58" t="n">
        <f aca="false">TRIMMEAN(B308:P308,2/COUNT(B308:P308))</f>
        <v>0.0225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7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28"/>
    <col collapsed="false" customWidth="true" hidden="false" outlineLevel="0" max="10" min="10" style="51" width="12.14"/>
    <col collapsed="false" customWidth="true" hidden="false" outlineLevel="0" max="11" min="11" style="1" width="11.43"/>
    <col collapsed="false" customWidth="true" hidden="false" outlineLevel="0" max="12" min="12" style="1" width="11.15"/>
    <col collapsed="false" customWidth="true" hidden="false" outlineLevel="0" max="13" min="13" style="1" width="10.29"/>
    <col collapsed="false" customWidth="true" hidden="false" outlineLevel="0" max="14" min="14" style="51" width="11.57"/>
    <col collapsed="false" customWidth="true" hidden="false" outlineLevel="0" max="16" min="15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46145</v>
      </c>
      <c r="C1" s="54" t="n">
        <v>46152</v>
      </c>
      <c r="D1" s="54" t="n">
        <v>46159</v>
      </c>
      <c r="E1" s="54" t="n">
        <v>46166</v>
      </c>
      <c r="F1" s="54" t="n">
        <v>46173</v>
      </c>
      <c r="G1" s="54" t="n">
        <v>46180</v>
      </c>
      <c r="H1" s="54" t="n">
        <v>46187</v>
      </c>
      <c r="I1" s="54" t="n">
        <v>46194</v>
      </c>
      <c r="J1" s="54" t="n">
        <v>46201</v>
      </c>
      <c r="K1" s="54" t="n">
        <v>46208</v>
      </c>
      <c r="L1" s="54" t="n">
        <v>46215</v>
      </c>
      <c r="M1" s="54" t="n">
        <v>46222</v>
      </c>
      <c r="N1" s="54" t="n">
        <v>46229</v>
      </c>
      <c r="O1" s="54" t="n">
        <v>46236</v>
      </c>
      <c r="P1" s="54" t="n">
        <v>46243</v>
      </c>
      <c r="Q1" s="53" t="s">
        <v>455</v>
      </c>
      <c r="S1" s="1" t="s">
        <v>145</v>
      </c>
      <c r="T1" s="56" t="n">
        <v>1.75</v>
      </c>
    </row>
    <row r="2" customFormat="false" ht="15.75" hidden="false" customHeight="true" outlineLevel="0" collapsed="false">
      <c r="A2" s="57" t="s">
        <v>146</v>
      </c>
      <c r="B2" s="9"/>
      <c r="C2" s="9" t="n">
        <v>1.68</v>
      </c>
      <c r="D2" s="9" t="n">
        <v>1.37</v>
      </c>
      <c r="E2" s="9"/>
      <c r="F2" s="9" t="n">
        <v>0.14</v>
      </c>
      <c r="G2" s="9" t="n">
        <v>0.52</v>
      </c>
      <c r="H2" s="9"/>
      <c r="I2" s="9" t="n">
        <v>0.37</v>
      </c>
      <c r="J2" s="9" t="n">
        <v>1.06</v>
      </c>
      <c r="K2" s="9"/>
      <c r="L2" s="9" t="n">
        <v>0.5</v>
      </c>
      <c r="M2" s="9" t="n">
        <v>0.88</v>
      </c>
      <c r="N2" s="9"/>
      <c r="O2" s="9"/>
      <c r="P2" s="9"/>
      <c r="Q2" s="58" t="n">
        <f aca="false">TRIMMEAN(B2:P2,2/COUNT(B2:P2))</f>
        <v>0.783333333333333</v>
      </c>
    </row>
    <row r="3" customFormat="false" ht="15.75" hidden="false" customHeight="true" outlineLevel="0" collapsed="false">
      <c r="A3" s="57" t="s">
        <v>147</v>
      </c>
      <c r="B3" s="9" t="n">
        <v>-0.19</v>
      </c>
      <c r="C3" s="9" t="n">
        <v>-0.84</v>
      </c>
      <c r="D3" s="9"/>
      <c r="E3" s="9" t="n">
        <v>0.37</v>
      </c>
      <c r="F3" s="9" t="n">
        <v>-1.06</v>
      </c>
      <c r="G3" s="9" t="n">
        <v>0.44</v>
      </c>
      <c r="H3" s="9"/>
      <c r="I3" s="9"/>
      <c r="J3" s="9" t="n">
        <v>0.19</v>
      </c>
      <c r="K3" s="9" t="n">
        <v>0.08</v>
      </c>
      <c r="L3" s="9" t="n">
        <v>0.14</v>
      </c>
      <c r="M3" s="9"/>
      <c r="N3" s="9"/>
      <c r="O3" s="9"/>
      <c r="P3" s="9"/>
      <c r="Q3" s="58" t="n">
        <f aca="false">TRIMMEAN(B3:P3,2/COUNT(B3:P3))</f>
        <v>-0.0416666666666667</v>
      </c>
    </row>
    <row r="4" customFormat="false" ht="15.75" hidden="false" customHeight="true" outlineLevel="0" collapsed="false">
      <c r="A4" s="57" t="s">
        <v>148</v>
      </c>
      <c r="B4" s="9" t="n">
        <v>-0.35</v>
      </c>
      <c r="C4" s="9" t="n">
        <v>-1.12</v>
      </c>
      <c r="D4" s="9" t="n">
        <v>-0.73</v>
      </c>
      <c r="E4" s="9"/>
      <c r="F4" s="9"/>
      <c r="G4" s="9" t="n">
        <v>0.49</v>
      </c>
      <c r="H4" s="9"/>
      <c r="I4" s="9"/>
      <c r="J4" s="9" t="n">
        <v>0.64</v>
      </c>
      <c r="K4" s="9" t="n">
        <v>-1.32</v>
      </c>
      <c r="L4" s="9" t="n">
        <v>-0.44</v>
      </c>
      <c r="M4" s="9" t="n">
        <v>1.31</v>
      </c>
      <c r="N4" s="9"/>
      <c r="O4" s="9"/>
      <c r="P4" s="9"/>
      <c r="Q4" s="58" t="n">
        <f aca="false">TRIMMEAN(B4:P4,2/COUNT(B4:P4))</f>
        <v>-0.251666666666667</v>
      </c>
    </row>
    <row r="5" customFormat="false" ht="15.75" hidden="false" customHeight="true" outlineLevel="0" collapsed="false">
      <c r="A5" s="57" t="s">
        <v>149</v>
      </c>
      <c r="B5" s="9"/>
      <c r="C5" s="9" t="n">
        <v>0.66</v>
      </c>
      <c r="D5" s="9"/>
      <c r="E5" s="9" t="n">
        <v>0.38</v>
      </c>
      <c r="F5" s="9" t="n">
        <v>1.6</v>
      </c>
      <c r="G5" s="9"/>
      <c r="H5" s="9" t="n">
        <v>-0.26</v>
      </c>
      <c r="I5" s="9"/>
      <c r="J5" s="9"/>
      <c r="K5" s="9" t="n">
        <v>0.36</v>
      </c>
      <c r="L5" s="9" t="n">
        <v>0.79</v>
      </c>
      <c r="M5" s="9" t="n">
        <v>0.61</v>
      </c>
      <c r="N5" s="9" t="n">
        <v>-1.4</v>
      </c>
      <c r="O5" s="9" t="n">
        <v>0.37</v>
      </c>
      <c r="P5" s="9" t="n">
        <v>0.23</v>
      </c>
      <c r="Q5" s="58" t="n">
        <f aca="false">TRIMMEAN(B5:P5,2/COUNT(B5:P5))</f>
        <v>0.3925</v>
      </c>
    </row>
    <row r="6" customFormat="false" ht="15.75" hidden="false" customHeight="true" outlineLevel="0" collapsed="false">
      <c r="A6" s="59" t="s">
        <v>150</v>
      </c>
      <c r="B6" s="9"/>
      <c r="C6" s="9" t="n">
        <v>1.34</v>
      </c>
      <c r="D6" s="9" t="n">
        <v>0.39</v>
      </c>
      <c r="E6" s="9" t="n">
        <v>-0.32</v>
      </c>
      <c r="F6" s="9" t="n">
        <v>-0.07</v>
      </c>
      <c r="G6" s="9"/>
      <c r="H6" s="9" t="n">
        <v>1.28</v>
      </c>
      <c r="I6" s="9"/>
      <c r="J6" s="9"/>
      <c r="K6" s="9" t="n">
        <v>0.95</v>
      </c>
      <c r="L6" s="9" t="n">
        <v>1.66</v>
      </c>
      <c r="M6" s="9" t="n">
        <v>-0.34</v>
      </c>
      <c r="N6" s="9" t="n">
        <v>0.49</v>
      </c>
      <c r="O6" s="9" t="n">
        <v>0.6</v>
      </c>
      <c r="P6" s="9" t="n">
        <v>0.12</v>
      </c>
      <c r="Q6" s="58" t="n">
        <f aca="false">TRIMMEAN(B6:P6,2/COUNT(B6:P6))</f>
        <v>0.531111111111111</v>
      </c>
    </row>
    <row r="7" customFormat="false" ht="15.75" hidden="false" customHeight="true" outlineLevel="0" collapsed="false">
      <c r="A7" s="59" t="s">
        <v>151</v>
      </c>
      <c r="B7" s="9" t="n">
        <v>0.78</v>
      </c>
      <c r="C7" s="9" t="n">
        <v>-0.1</v>
      </c>
      <c r="D7" s="9" t="n">
        <v>0</v>
      </c>
      <c r="E7" s="9"/>
      <c r="F7" s="9"/>
      <c r="G7" s="9" t="n">
        <v>0.61</v>
      </c>
      <c r="H7" s="9"/>
      <c r="I7" s="9" t="n">
        <v>1.06</v>
      </c>
      <c r="J7" s="9" t="n">
        <v>0.65</v>
      </c>
      <c r="K7" s="9" t="n">
        <v>-0.32</v>
      </c>
      <c r="L7" s="9"/>
      <c r="M7" s="9" t="n">
        <v>-1.12</v>
      </c>
      <c r="N7" s="9"/>
      <c r="O7" s="9"/>
      <c r="P7" s="9"/>
      <c r="Q7" s="58" t="n">
        <f aca="false">TRIMMEAN(B7:P7,2/COUNT(B7:P7))</f>
        <v>0.27</v>
      </c>
    </row>
    <row r="8" customFormat="false" ht="15.75" hidden="false" customHeight="true" outlineLevel="0" collapsed="false">
      <c r="A8" s="59" t="s">
        <v>152</v>
      </c>
      <c r="B8" s="9" t="n">
        <v>-0.39</v>
      </c>
      <c r="C8" s="9" t="n">
        <v>-0.08</v>
      </c>
      <c r="D8" s="9" t="n">
        <v>-0.51</v>
      </c>
      <c r="E8" s="9"/>
      <c r="F8" s="9" t="n">
        <v>0.26</v>
      </c>
      <c r="G8" s="9" t="n">
        <v>-0.64</v>
      </c>
      <c r="H8" s="9"/>
      <c r="I8" s="9" t="n">
        <v>1.35</v>
      </c>
      <c r="J8" s="9" t="n">
        <v>0.54</v>
      </c>
      <c r="K8" s="9"/>
      <c r="L8" s="9"/>
      <c r="M8" s="9" t="n">
        <v>-1.35</v>
      </c>
      <c r="N8" s="9"/>
      <c r="O8" s="9" t="n">
        <v>1.81</v>
      </c>
      <c r="P8" s="9"/>
      <c r="Q8" s="58" t="n">
        <f aca="false">TRIMMEAN(B8:P8,2/COUNT(B8:P8))</f>
        <v>0.0757142857142857</v>
      </c>
    </row>
    <row r="9" customFormat="false" ht="15.75" hidden="false" customHeight="true" outlineLevel="0" collapsed="false">
      <c r="A9" s="59" t="s">
        <v>153</v>
      </c>
      <c r="B9" s="9"/>
      <c r="C9" s="9" t="n">
        <v>-0.17</v>
      </c>
      <c r="D9" s="9"/>
      <c r="E9" s="9" t="n">
        <v>0</v>
      </c>
      <c r="F9" s="9" t="n">
        <v>0.47</v>
      </c>
      <c r="G9" s="9"/>
      <c r="H9" s="9"/>
      <c r="I9" s="9" t="n">
        <v>0.64</v>
      </c>
      <c r="J9" s="9"/>
      <c r="K9" s="9" t="n">
        <v>1.28</v>
      </c>
      <c r="L9" s="9" t="n">
        <v>0.46</v>
      </c>
      <c r="M9" s="9"/>
      <c r="N9" s="9" t="n">
        <v>0.28</v>
      </c>
      <c r="O9" s="9" t="n">
        <v>0.58</v>
      </c>
      <c r="P9" s="9" t="n">
        <v>1.31</v>
      </c>
      <c r="Q9" s="58" t="n">
        <f aca="false">TRIMMEAN(B9:P9,2/COUNT(B9:P9))</f>
        <v>0.53</v>
      </c>
    </row>
    <row r="10" customFormat="false" ht="15.75" hidden="false" customHeight="true" outlineLevel="0" collapsed="false">
      <c r="A10" s="59" t="s">
        <v>154</v>
      </c>
      <c r="B10" s="9" t="n">
        <v>0.26</v>
      </c>
      <c r="C10" s="9" t="n">
        <v>0.46</v>
      </c>
      <c r="D10" s="9" t="n">
        <v>0.5</v>
      </c>
      <c r="E10" s="9" t="n">
        <v>-0.71</v>
      </c>
      <c r="F10" s="9" t="n">
        <v>0.62</v>
      </c>
      <c r="G10" s="9"/>
      <c r="H10" s="9" t="n">
        <v>-0.53</v>
      </c>
      <c r="I10" s="9"/>
      <c r="J10" s="9"/>
      <c r="K10" s="9" t="n">
        <v>-0.04</v>
      </c>
      <c r="L10" s="9" t="n">
        <v>-0.1</v>
      </c>
      <c r="M10" s="9" t="n">
        <v>-0.45</v>
      </c>
      <c r="N10" s="9" t="n">
        <v>0.53</v>
      </c>
      <c r="O10" s="9" t="n">
        <v>0.21</v>
      </c>
      <c r="P10" s="9" t="n">
        <v>-2.08</v>
      </c>
      <c r="Q10" s="58" t="n">
        <f aca="false">TRIMMEAN(B10:P10,2/COUNT(B10:P10))</f>
        <v>0.013</v>
      </c>
    </row>
    <row r="11" customFormat="false" ht="15.75" hidden="false" customHeight="true" outlineLevel="0" collapsed="false">
      <c r="A11" s="57" t="s">
        <v>155</v>
      </c>
      <c r="B11" s="9" t="n">
        <v>-2.12</v>
      </c>
      <c r="C11" s="9" t="n">
        <v>0.97</v>
      </c>
      <c r="D11" s="9"/>
      <c r="E11" s="9"/>
      <c r="F11" s="9"/>
      <c r="G11" s="9" t="n">
        <v>0.9</v>
      </c>
      <c r="H11" s="9"/>
      <c r="I11" s="9"/>
      <c r="J11" s="9" t="n">
        <v>0.63</v>
      </c>
      <c r="K11" s="9" t="n">
        <v>-0.74</v>
      </c>
      <c r="L11" s="9" t="n">
        <v>0.73</v>
      </c>
      <c r="M11" s="9" t="n">
        <v>-1.36</v>
      </c>
      <c r="N11" s="9"/>
      <c r="O11" s="9"/>
      <c r="P11" s="9"/>
      <c r="Q11" s="58" t="n">
        <f aca="false">TRIMMEAN(B11:P11,2/COUNT(B11:P11))</f>
        <v>0.032</v>
      </c>
    </row>
    <row r="12" customFormat="false" ht="15.75" hidden="false" customHeight="true" outlineLevel="0" collapsed="false">
      <c r="A12" s="59" t="s">
        <v>156</v>
      </c>
      <c r="B12" s="9" t="n">
        <v>-0.02</v>
      </c>
      <c r="C12" s="9" t="n">
        <v>0.75</v>
      </c>
      <c r="D12" s="9" t="n">
        <v>-0.16</v>
      </c>
      <c r="E12" s="9"/>
      <c r="F12" s="9" t="n">
        <v>0.75</v>
      </c>
      <c r="G12" s="9" t="n">
        <v>0.64</v>
      </c>
      <c r="H12" s="9"/>
      <c r="I12" s="9" t="n">
        <v>0.64</v>
      </c>
      <c r="J12" s="9" t="n">
        <v>1.34</v>
      </c>
      <c r="K12" s="9" t="n">
        <v>0.02</v>
      </c>
      <c r="L12" s="9"/>
      <c r="M12" s="9" t="n">
        <v>0.74</v>
      </c>
      <c r="N12" s="9"/>
      <c r="O12" s="9" t="n">
        <v>1.42</v>
      </c>
      <c r="P12" s="9" t="n">
        <v>0.67</v>
      </c>
      <c r="Q12" s="58" t="n">
        <f aca="false">TRIMMEAN(B12:P12,2/COUNT(B12:P12))</f>
        <v>0.614444444444445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 t="n">
        <v>-0.74</v>
      </c>
      <c r="E13" s="9" t="n">
        <v>-1</v>
      </c>
      <c r="F13" s="9" t="n">
        <v>0.65</v>
      </c>
      <c r="G13" s="9"/>
      <c r="H13" s="9" t="n">
        <v>-2.23</v>
      </c>
      <c r="I13" s="9" t="n">
        <v>0.42</v>
      </c>
      <c r="J13" s="9"/>
      <c r="K13" s="9" t="n">
        <v>0.99</v>
      </c>
      <c r="L13" s="9" t="n">
        <v>0.75</v>
      </c>
      <c r="M13" s="9" t="n">
        <v>-0.69</v>
      </c>
      <c r="N13" s="9" t="n">
        <v>1.53</v>
      </c>
      <c r="O13" s="9" t="n">
        <v>1.21</v>
      </c>
      <c r="P13" s="9" t="n">
        <v>1.31</v>
      </c>
      <c r="Q13" s="58" t="n">
        <f aca="false">TRIMMEAN(B13:P13,2/COUNT(B13:P13))</f>
        <v>0.322222222222222</v>
      </c>
    </row>
    <row r="14" customFormat="false" ht="15.75" hidden="false" customHeight="true" outlineLevel="0" collapsed="false">
      <c r="A14" s="59" t="s">
        <v>158</v>
      </c>
      <c r="B14" s="9" t="n">
        <v>-0.28</v>
      </c>
      <c r="C14" s="9" t="n">
        <v>-0.09</v>
      </c>
      <c r="D14" s="9" t="n">
        <v>-0.23</v>
      </c>
      <c r="E14" s="9"/>
      <c r="F14" s="9"/>
      <c r="G14" s="9" t="n">
        <v>0.42</v>
      </c>
      <c r="H14" s="9" t="n">
        <v>1.12</v>
      </c>
      <c r="I14" s="9" t="n">
        <v>0.13</v>
      </c>
      <c r="J14" s="9" t="n">
        <v>0.22</v>
      </c>
      <c r="K14" s="9" t="n">
        <v>0.69</v>
      </c>
      <c r="L14" s="9"/>
      <c r="M14" s="9" t="n">
        <v>0.18</v>
      </c>
      <c r="N14" s="9"/>
      <c r="O14" s="9" t="n">
        <v>0.11</v>
      </c>
      <c r="P14" s="9"/>
      <c r="Q14" s="58" t="n">
        <f aca="false">TRIMMEAN(B14:P14,2/COUNT(B14:P14))</f>
        <v>0.17875</v>
      </c>
    </row>
    <row r="15" customFormat="false" ht="15.75" hidden="false" customHeight="true" outlineLevel="0" collapsed="false">
      <c r="A15" s="59" t="s">
        <v>159</v>
      </c>
      <c r="B15" s="9"/>
      <c r="C15" s="9" t="n">
        <v>0.63</v>
      </c>
      <c r="D15" s="9"/>
      <c r="E15" s="9" t="n">
        <v>1.23</v>
      </c>
      <c r="F15" s="9"/>
      <c r="G15" s="9"/>
      <c r="H15" s="9"/>
      <c r="I15" s="9"/>
      <c r="J15" s="9"/>
      <c r="K15" s="9" t="n">
        <v>0.13</v>
      </c>
      <c r="L15" s="9"/>
      <c r="M15" s="9" t="n">
        <v>1.34</v>
      </c>
      <c r="N15" s="9"/>
      <c r="O15" s="9"/>
      <c r="P15" s="9" t="n">
        <v>0.46</v>
      </c>
      <c r="Q15" s="58" t="n">
        <f aca="false">TRIMMEAN(B15:P15,2/COUNT(B15:P15))</f>
        <v>0.773333333333333</v>
      </c>
    </row>
    <row r="16" customFormat="false" ht="15.75" hidden="false" customHeight="true" outlineLevel="0" collapsed="false">
      <c r="A16" s="57" t="s">
        <v>160</v>
      </c>
      <c r="B16" s="9"/>
      <c r="C16" s="9" t="n">
        <v>-2.42</v>
      </c>
      <c r="D16" s="9" t="n">
        <v>0.38</v>
      </c>
      <c r="E16" s="9" t="n">
        <v>0.95</v>
      </c>
      <c r="F16" s="9" t="n">
        <v>-0.5</v>
      </c>
      <c r="G16" s="9"/>
      <c r="H16" s="9" t="n">
        <v>2.79</v>
      </c>
      <c r="I16" s="9"/>
      <c r="J16" s="9"/>
      <c r="K16" s="9"/>
      <c r="L16" s="9" t="n">
        <v>2.78</v>
      </c>
      <c r="M16" s="9" t="n">
        <v>0.65</v>
      </c>
      <c r="N16" s="9"/>
      <c r="O16" s="9"/>
      <c r="P16" s="9"/>
      <c r="Q16" s="58" t="n">
        <f aca="false">TRIMMEAN(B16:P16,2/COUNT(B16:P16))</f>
        <v>0.852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0.46</v>
      </c>
      <c r="C19" s="9" t="n">
        <v>-1.35</v>
      </c>
      <c r="D19" s="9" t="n">
        <v>0.44</v>
      </c>
      <c r="E19" s="9"/>
      <c r="F19" s="9"/>
      <c r="G19" s="9" t="n">
        <v>1.89</v>
      </c>
      <c r="H19" s="9" t="n">
        <v>0.51</v>
      </c>
      <c r="I19" s="9" t="n">
        <v>1.59</v>
      </c>
      <c r="J19" s="9" t="n">
        <v>1.47</v>
      </c>
      <c r="K19" s="9"/>
      <c r="L19" s="9"/>
      <c r="M19" s="9" t="n">
        <v>1.32</v>
      </c>
      <c r="N19" s="9"/>
      <c r="O19" s="9"/>
      <c r="P19" s="9"/>
      <c r="Q19" s="58" t="n">
        <f aca="false">TRIMMEAN(B19:P19,2/COUNT(B19:P19))</f>
        <v>0.965</v>
      </c>
    </row>
    <row r="20" customFormat="false" ht="15.75" hidden="false" customHeight="true" outlineLevel="0" collapsed="false">
      <c r="A20" s="57" t="s">
        <v>164</v>
      </c>
      <c r="B20" s="9" t="n">
        <v>0.89</v>
      </c>
      <c r="C20" s="9" t="n">
        <v>-0.43</v>
      </c>
      <c r="D20" s="9" t="n">
        <v>-0.26</v>
      </c>
      <c r="E20" s="9"/>
      <c r="F20" s="9" t="n">
        <v>-0.2</v>
      </c>
      <c r="G20" s="9" t="n">
        <v>-0.03</v>
      </c>
      <c r="H20" s="9" t="n">
        <v>-0.54</v>
      </c>
      <c r="I20" s="9"/>
      <c r="J20" s="9" t="n">
        <v>0.52</v>
      </c>
      <c r="K20" s="9" t="n">
        <v>-1.42</v>
      </c>
      <c r="L20" s="9" t="n">
        <v>-1.14</v>
      </c>
      <c r="M20" s="9"/>
      <c r="N20" s="9" t="n">
        <v>-0.03</v>
      </c>
      <c r="O20" s="9" t="n">
        <v>2.27</v>
      </c>
      <c r="P20" s="9" t="n">
        <v>0.85</v>
      </c>
      <c r="Q20" s="58" t="n">
        <f aca="false">TRIMMEAN(B20:P20,2/COUNT(B20:P20))</f>
        <v>-0.037</v>
      </c>
    </row>
    <row r="21" customFormat="false" ht="15.75" hidden="false" customHeight="true" outlineLevel="0" collapsed="false">
      <c r="A21" s="59" t="s">
        <v>165</v>
      </c>
      <c r="B21" s="9"/>
      <c r="C21" s="9" t="n">
        <v>0.15</v>
      </c>
      <c r="D21" s="9"/>
      <c r="E21" s="9" t="n">
        <v>-0.07</v>
      </c>
      <c r="F21" s="9"/>
      <c r="G21" s="9" t="n">
        <v>1.54</v>
      </c>
      <c r="H21" s="9" t="n">
        <v>1.59</v>
      </c>
      <c r="I21" s="9"/>
      <c r="J21" s="9"/>
      <c r="K21" s="9" t="n">
        <v>-0.04</v>
      </c>
      <c r="L21" s="9" t="n">
        <v>-0.1</v>
      </c>
      <c r="M21" s="9" t="n">
        <v>-0.85</v>
      </c>
      <c r="N21" s="9" t="n">
        <v>-1.23</v>
      </c>
      <c r="O21" s="9" t="n">
        <v>1.09</v>
      </c>
      <c r="P21" s="9" t="n">
        <v>0.77</v>
      </c>
      <c r="Q21" s="58" t="n">
        <f aca="false">TRIMMEAN(B21:P21,2/COUNT(B21:P21))</f>
        <v>0.31125</v>
      </c>
    </row>
    <row r="22" customFormat="false" ht="15.75" hidden="false" customHeight="true" outlineLevel="0" collapsed="false">
      <c r="A22" s="57" t="s">
        <v>166</v>
      </c>
      <c r="B22" s="9"/>
      <c r="C22" s="9" t="n">
        <v>-0.27</v>
      </c>
      <c r="D22" s="9"/>
      <c r="E22" s="9"/>
      <c r="F22" s="9" t="n">
        <v>1.41</v>
      </c>
      <c r="G22" s="9" t="n">
        <v>-0.19</v>
      </c>
      <c r="H22" s="9"/>
      <c r="I22" s="9" t="n">
        <v>-0.3</v>
      </c>
      <c r="J22" s="9"/>
      <c r="K22" s="9"/>
      <c r="L22" s="9" t="n">
        <v>0.86</v>
      </c>
      <c r="M22" s="9" t="n">
        <v>-0.21</v>
      </c>
      <c r="N22" s="9"/>
      <c r="O22" s="9"/>
      <c r="P22" s="9"/>
      <c r="Q22" s="58" t="n">
        <f aca="false">TRIMMEAN(B22:P22,2/COUNT(B22:P22))</f>
        <v>0.0475</v>
      </c>
    </row>
    <row r="23" customFormat="false" ht="15.75" hidden="false" customHeight="true" outlineLevel="0" collapsed="false">
      <c r="A23" s="57" t="s">
        <v>167</v>
      </c>
      <c r="B23" s="9"/>
      <c r="C23" s="9" t="n">
        <v>0.77</v>
      </c>
      <c r="D23" s="9" t="n">
        <v>0.58</v>
      </c>
      <c r="E23" s="9"/>
      <c r="F23" s="9"/>
      <c r="G23" s="9"/>
      <c r="H23" s="9"/>
      <c r="I23" s="9" t="n">
        <v>0.3</v>
      </c>
      <c r="J23" s="9" t="n">
        <v>1.46</v>
      </c>
      <c r="K23" s="9"/>
      <c r="L23" s="9" t="n">
        <v>-0.65</v>
      </c>
      <c r="M23" s="9" t="n">
        <v>0.09</v>
      </c>
      <c r="N23" s="9"/>
      <c r="O23" s="9" t="n">
        <v>1.69</v>
      </c>
      <c r="P23" s="9"/>
      <c r="Q23" s="58" t="n">
        <f aca="false">TRIMMEAN(B23:P23,2/COUNT(B23:P23))</f>
        <v>0.64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0.59</v>
      </c>
      <c r="C25" s="9" t="n">
        <v>-1.15</v>
      </c>
      <c r="D25" s="9" t="n">
        <v>-0.35</v>
      </c>
      <c r="E25" s="9"/>
      <c r="F25" s="9" t="n">
        <v>1.15</v>
      </c>
      <c r="G25" s="9"/>
      <c r="H25" s="9" t="n">
        <v>-0.17</v>
      </c>
      <c r="I25" s="9"/>
      <c r="J25" s="9"/>
      <c r="K25" s="9"/>
      <c r="L25" s="9" t="n">
        <v>-0.78</v>
      </c>
      <c r="M25" s="9"/>
      <c r="N25" s="9" t="n">
        <v>-1.37</v>
      </c>
      <c r="O25" s="9" t="n">
        <v>0.42</v>
      </c>
      <c r="P25" s="9" t="n">
        <v>1.4</v>
      </c>
      <c r="Q25" s="58" t="n">
        <f aca="false">TRIMMEAN(B25:P25,2/COUNT(B25:P25))</f>
        <v>-0.0414285714285714</v>
      </c>
    </row>
    <row r="26" customFormat="false" ht="15.75" hidden="false" customHeight="true" outlineLevel="0" collapsed="false">
      <c r="A26" s="57" t="s">
        <v>170</v>
      </c>
      <c r="B26" s="9" t="n">
        <v>1.76</v>
      </c>
      <c r="C26" s="9" t="n">
        <v>0.13</v>
      </c>
      <c r="D26" s="9" t="n">
        <v>0.44</v>
      </c>
      <c r="E26" s="9"/>
      <c r="F26" s="9"/>
      <c r="G26" s="9" t="n">
        <v>0.49</v>
      </c>
      <c r="H26" s="9" t="n">
        <v>0.39</v>
      </c>
      <c r="I26" s="9" t="n">
        <v>0.34</v>
      </c>
      <c r="J26" s="9" t="n">
        <v>0.72</v>
      </c>
      <c r="K26" s="9"/>
      <c r="L26" s="9" t="n">
        <v>-0.2</v>
      </c>
      <c r="M26" s="9" t="n">
        <v>0.23</v>
      </c>
      <c r="N26" s="9"/>
      <c r="O26" s="9"/>
      <c r="P26" s="9" t="n">
        <v>-0.52</v>
      </c>
      <c r="Q26" s="58" t="n">
        <f aca="false">TRIMMEAN(B26:P26,2/COUNT(B26:P26))</f>
        <v>0.3175</v>
      </c>
    </row>
    <row r="27" customFormat="false" ht="15.75" hidden="false" customHeight="true" outlineLevel="0" collapsed="false">
      <c r="A27" s="57" t="s">
        <v>171</v>
      </c>
      <c r="B27" s="9" t="n">
        <v>-0.62</v>
      </c>
      <c r="C27" s="9" t="n">
        <v>0.72</v>
      </c>
      <c r="D27" s="9"/>
      <c r="E27" s="9" t="n">
        <v>-0.15</v>
      </c>
      <c r="F27" s="9" t="n">
        <v>0.88</v>
      </c>
      <c r="G27" s="9" t="n">
        <v>1.61</v>
      </c>
      <c r="H27" s="9"/>
      <c r="I27" s="9"/>
      <c r="J27" s="9" t="n">
        <v>1.44</v>
      </c>
      <c r="K27" s="9" t="n">
        <v>-0.81</v>
      </c>
      <c r="L27" s="9" t="n">
        <v>1.2</v>
      </c>
      <c r="M27" s="9" t="n">
        <v>0.43</v>
      </c>
      <c r="N27" s="9"/>
      <c r="O27" s="9"/>
      <c r="P27" s="9"/>
      <c r="Q27" s="58" t="n">
        <f aca="false">TRIMMEAN(B27:P27,2/COUNT(B27:P27))</f>
        <v>0.557142857142857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 t="n">
        <v>-3.84</v>
      </c>
      <c r="F28" s="9"/>
      <c r="G28" s="9"/>
      <c r="H28" s="9"/>
      <c r="I28" s="9"/>
      <c r="J28" s="9"/>
      <c r="K28" s="9" t="n">
        <v>-2.34</v>
      </c>
      <c r="L28" s="9" t="n">
        <v>-0.16</v>
      </c>
      <c r="M28" s="9" t="n">
        <v>-0.72</v>
      </c>
      <c r="N28" s="9" t="n">
        <v>-0.98</v>
      </c>
      <c r="O28" s="9"/>
      <c r="P28" s="9"/>
      <c r="Q28" s="58" t="n">
        <f aca="false">TRIMMEAN(B28:P28,2/COUNT(B28:P28))</f>
        <v>-1.34666666666667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-1.94</v>
      </c>
      <c r="D30" s="9"/>
      <c r="E30" s="9" t="n">
        <v>0.83</v>
      </c>
      <c r="F30" s="9" t="n">
        <v>-1.37</v>
      </c>
      <c r="G30" s="9"/>
      <c r="H30" s="9" t="n">
        <v>-0.14</v>
      </c>
      <c r="I30" s="9"/>
      <c r="J30" s="9"/>
      <c r="K30" s="9" t="n">
        <v>1.05</v>
      </c>
      <c r="L30" s="9" t="n">
        <v>0.72</v>
      </c>
      <c r="M30" s="9" t="n">
        <v>1.41</v>
      </c>
      <c r="N30" s="9" t="n">
        <v>0.78</v>
      </c>
      <c r="O30" s="9" t="n">
        <v>-0.42</v>
      </c>
      <c r="P30" s="9" t="n">
        <v>1.8</v>
      </c>
      <c r="Q30" s="58" t="n">
        <f aca="false">TRIMMEAN(B30:P30,2/COUNT(B30:P30))</f>
        <v>0.3575</v>
      </c>
    </row>
    <row r="31" customFormat="false" ht="15.75" hidden="false" customHeight="true" outlineLevel="0" collapsed="false">
      <c r="A31" s="59" t="s">
        <v>175</v>
      </c>
      <c r="B31" s="9"/>
      <c r="C31" s="9" t="n">
        <v>1.6</v>
      </c>
      <c r="D31" s="9"/>
      <c r="E31" s="9" t="n">
        <v>0.69</v>
      </c>
      <c r="F31" s="9" t="n">
        <v>-0.46</v>
      </c>
      <c r="G31" s="9"/>
      <c r="H31" s="9" t="n">
        <v>0.5</v>
      </c>
      <c r="I31" s="9"/>
      <c r="J31" s="9"/>
      <c r="K31" s="9" t="n">
        <v>-0.89</v>
      </c>
      <c r="L31" s="9" t="n">
        <v>0.4</v>
      </c>
      <c r="M31" s="9" t="n">
        <v>0.62</v>
      </c>
      <c r="N31" s="9" t="n">
        <v>0.87</v>
      </c>
      <c r="O31" s="9" t="n">
        <v>0.84</v>
      </c>
      <c r="P31" s="9" t="n">
        <v>0.33</v>
      </c>
      <c r="Q31" s="58" t="n">
        <f aca="false">TRIMMEAN(B31:P31,2/COUNT(B31:P31))</f>
        <v>0.47375</v>
      </c>
    </row>
    <row r="32" customFormat="false" ht="15.75" hidden="false" customHeight="true" outlineLevel="0" collapsed="false">
      <c r="A32" s="57" t="s">
        <v>176</v>
      </c>
      <c r="B32" s="9"/>
      <c r="C32" s="9"/>
      <c r="D32" s="9" t="n">
        <v>0.47</v>
      </c>
      <c r="E32" s="9" t="n">
        <v>0.98</v>
      </c>
      <c r="F32" s="9"/>
      <c r="G32" s="9" t="n">
        <v>2.64</v>
      </c>
      <c r="H32" s="9" t="n">
        <v>-0.31</v>
      </c>
      <c r="I32" s="9" t="n">
        <v>0.81</v>
      </c>
      <c r="J32" s="9" t="n">
        <v>-0.36</v>
      </c>
      <c r="K32" s="9"/>
      <c r="L32" s="9" t="n">
        <v>0.86</v>
      </c>
      <c r="M32" s="9" t="n">
        <v>-0.93</v>
      </c>
      <c r="N32" s="9"/>
      <c r="O32" s="9" t="n">
        <v>-2.05</v>
      </c>
      <c r="P32" s="9"/>
      <c r="Q32" s="58" t="n">
        <f aca="false">TRIMMEAN(B32:P32,2/COUNT(B32:P32))</f>
        <v>0.217142857142857</v>
      </c>
    </row>
    <row r="33" customFormat="false" ht="15.75" hidden="false" customHeight="true" outlineLevel="0" collapsed="false">
      <c r="A33" s="57" t="s">
        <v>177</v>
      </c>
      <c r="B33" s="9"/>
      <c r="C33" s="9" t="n">
        <v>0.97</v>
      </c>
      <c r="D33" s="9"/>
      <c r="E33" s="9" t="n">
        <v>0.9</v>
      </c>
      <c r="F33" s="9" t="n">
        <v>0.64</v>
      </c>
      <c r="G33" s="9" t="n">
        <v>1.16</v>
      </c>
      <c r="H33" s="9" t="n">
        <v>-2.19</v>
      </c>
      <c r="I33" s="9"/>
      <c r="J33" s="9" t="n">
        <v>0.72</v>
      </c>
      <c r="K33" s="9" t="n">
        <v>0.38</v>
      </c>
      <c r="L33" s="9" t="n">
        <v>-1.8</v>
      </c>
      <c r="M33" s="9" t="n">
        <v>0.41</v>
      </c>
      <c r="N33" s="9"/>
      <c r="O33" s="9" t="n">
        <v>-1.67</v>
      </c>
      <c r="P33" s="9" t="n">
        <v>0.64</v>
      </c>
      <c r="Q33" s="58" t="n">
        <f aca="false">TRIMMEAN(B33:P33,2/COUNT(B33:P33))</f>
        <v>0.132222222222222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0.74</v>
      </c>
      <c r="C35" s="9" t="n">
        <v>-0.25</v>
      </c>
      <c r="D35" s="9" t="n">
        <v>1.41</v>
      </c>
      <c r="E35" s="9"/>
      <c r="F35" s="9"/>
      <c r="G35" s="9" t="n">
        <v>-0.65</v>
      </c>
      <c r="H35" s="9" t="n">
        <v>-0.55</v>
      </c>
      <c r="I35" s="9" t="n">
        <v>1.4</v>
      </c>
      <c r="J35" s="9" t="n">
        <v>1.11</v>
      </c>
      <c r="K35" s="9"/>
      <c r="L35" s="9" t="n">
        <v>0.21</v>
      </c>
      <c r="M35" s="9" t="n">
        <v>1.84</v>
      </c>
      <c r="N35" s="9" t="n">
        <v>-0.57</v>
      </c>
      <c r="O35" s="9" t="n">
        <v>1.2</v>
      </c>
      <c r="P35" s="9"/>
      <c r="Q35" s="58" t="n">
        <f aca="false">TRIMMEAN(B35:P35,2/COUNT(B35:P35))</f>
        <v>0.522222222222222</v>
      </c>
    </row>
    <row r="36" customFormat="false" ht="15.75" hidden="false" customHeight="true" outlineLevel="0" collapsed="false">
      <c r="A36" s="57" t="s">
        <v>180</v>
      </c>
      <c r="B36" s="9" t="n">
        <v>-0.07</v>
      </c>
      <c r="C36" s="9" t="n">
        <v>-0.31</v>
      </c>
      <c r="D36" s="9" t="n">
        <v>-1.14</v>
      </c>
      <c r="E36" s="9" t="n">
        <v>-0.97</v>
      </c>
      <c r="F36" s="9" t="n">
        <v>0.04</v>
      </c>
      <c r="G36" s="9" t="n">
        <v>-1.21</v>
      </c>
      <c r="H36" s="9"/>
      <c r="I36" s="9" t="n">
        <v>0.36</v>
      </c>
      <c r="J36" s="9"/>
      <c r="K36" s="9" t="n">
        <v>0.73</v>
      </c>
      <c r="L36" s="9" t="n">
        <v>-0.39</v>
      </c>
      <c r="M36" s="9" t="n">
        <v>0.44</v>
      </c>
      <c r="N36" s="9" t="n">
        <v>-3.41</v>
      </c>
      <c r="O36" s="9" t="n">
        <v>-0.45</v>
      </c>
      <c r="P36" s="9" t="n">
        <v>-3.25</v>
      </c>
      <c r="Q36" s="58" t="n">
        <f aca="false">TRIMMEAN(B36:P36,2/COUNT(B36:P36))</f>
        <v>-0.631818181818182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 t="n">
        <v>-1.52</v>
      </c>
      <c r="F37" s="9"/>
      <c r="G37" s="9"/>
      <c r="H37" s="9"/>
      <c r="I37" s="9"/>
      <c r="J37" s="9"/>
      <c r="K37" s="9"/>
      <c r="L37" s="9" t="n">
        <v>0.38</v>
      </c>
      <c r="M37" s="9" t="n">
        <v>0.16</v>
      </c>
      <c r="N37" s="9"/>
      <c r="O37" s="9"/>
      <c r="P37" s="9"/>
      <c r="Q37" s="58" t="n">
        <f aca="false">TRIMMEAN(B37:P37,2/COUNT(B37:P37))</f>
        <v>0.16</v>
      </c>
    </row>
    <row r="38" customFormat="false" ht="15.75" hidden="false" customHeight="true" outlineLevel="0" collapsed="false">
      <c r="A38" s="57" t="s">
        <v>182</v>
      </c>
      <c r="B38" s="9" t="n">
        <v>-0.49</v>
      </c>
      <c r="C38" s="9" t="n">
        <v>0.33</v>
      </c>
      <c r="D38" s="9"/>
      <c r="E38" s="9" t="n">
        <v>0.85</v>
      </c>
      <c r="F38" s="9" t="n">
        <v>0.45</v>
      </c>
      <c r="G38" s="9" t="n">
        <v>-1.26</v>
      </c>
      <c r="H38" s="9"/>
      <c r="I38" s="9"/>
      <c r="J38" s="9" t="n">
        <v>-0.14</v>
      </c>
      <c r="K38" s="9" t="n">
        <v>-0.09</v>
      </c>
      <c r="L38" s="9" t="n">
        <v>-3.05</v>
      </c>
      <c r="M38" s="9" t="n">
        <v>-1.07</v>
      </c>
      <c r="N38" s="9"/>
      <c r="O38" s="9"/>
      <c r="P38" s="9"/>
      <c r="Q38" s="58" t="n">
        <f aca="false">TRIMMEAN(B38:P38,2/COUNT(B38:P38))</f>
        <v>-0.324285714285714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-0.5</v>
      </c>
      <c r="C40" s="9" t="n">
        <v>0.72</v>
      </c>
      <c r="D40" s="9"/>
      <c r="E40" s="9" t="n">
        <v>-0.25</v>
      </c>
      <c r="F40" s="9" t="n">
        <v>0.31</v>
      </c>
      <c r="G40" s="9"/>
      <c r="H40" s="9" t="n">
        <v>1.27</v>
      </c>
      <c r="I40" s="9"/>
      <c r="J40" s="9"/>
      <c r="K40" s="9" t="n">
        <v>-0.18</v>
      </c>
      <c r="L40" s="9" t="n">
        <v>1.56</v>
      </c>
      <c r="M40" s="9" t="n">
        <v>2.22</v>
      </c>
      <c r="N40" s="9" t="n">
        <v>1.18</v>
      </c>
      <c r="O40" s="9" t="n">
        <v>-0.03</v>
      </c>
      <c r="P40" s="9" t="n">
        <v>-0.26</v>
      </c>
      <c r="Q40" s="58" t="n">
        <f aca="false">TRIMMEAN(B40:P40,2/COUNT(B40:P40))</f>
        <v>0.48</v>
      </c>
    </row>
    <row r="41" customFormat="false" ht="15.75" hidden="false" customHeight="true" outlineLevel="0" collapsed="false">
      <c r="A41" s="57" t="s">
        <v>185</v>
      </c>
      <c r="B41" s="9"/>
      <c r="C41" s="9" t="n">
        <v>-1.1</v>
      </c>
      <c r="D41" s="9"/>
      <c r="E41" s="9" t="n">
        <v>-0.06</v>
      </c>
      <c r="F41" s="9" t="n">
        <v>-1.42</v>
      </c>
      <c r="G41" s="9"/>
      <c r="H41" s="9" t="n">
        <v>-1.88</v>
      </c>
      <c r="I41" s="9"/>
      <c r="J41" s="9"/>
      <c r="K41" s="9"/>
      <c r="L41" s="9" t="n">
        <v>0.41</v>
      </c>
      <c r="M41" s="9"/>
      <c r="N41" s="9" t="n">
        <v>1.1</v>
      </c>
      <c r="O41" s="9" t="n">
        <v>-1.59</v>
      </c>
      <c r="P41" s="9" t="n">
        <v>1.43</v>
      </c>
      <c r="Q41" s="58" t="n">
        <f aca="false">TRIMMEAN(B41:P41,2/COUNT(B41:P41))</f>
        <v>-0.443333333333333</v>
      </c>
    </row>
    <row r="42" customFormat="false" ht="15.75" hidden="false" customHeight="true" outlineLevel="0" collapsed="false">
      <c r="A42" s="59" t="s">
        <v>186</v>
      </c>
      <c r="B42" s="9" t="n">
        <v>-1</v>
      </c>
      <c r="C42" s="9" t="n">
        <v>-0.52</v>
      </c>
      <c r="D42" s="9" t="n">
        <v>-0.52</v>
      </c>
      <c r="E42" s="9"/>
      <c r="F42" s="9"/>
      <c r="G42" s="9" t="n">
        <v>-1.5</v>
      </c>
      <c r="H42" s="9"/>
      <c r="I42" s="9" t="n">
        <v>-1.51</v>
      </c>
      <c r="J42" s="9" t="n">
        <v>-0.54</v>
      </c>
      <c r="K42" s="9"/>
      <c r="L42" s="9"/>
      <c r="M42" s="9" t="n">
        <v>-1.21</v>
      </c>
      <c r="N42" s="9"/>
      <c r="O42" s="9"/>
      <c r="P42" s="9" t="n">
        <v>-2.41</v>
      </c>
      <c r="Q42" s="58" t="n">
        <f aca="false">TRIMMEAN(B42:P42,2/COUNT(B42:P42))</f>
        <v>-1.04666666666667</v>
      </c>
    </row>
    <row r="43" customFormat="false" ht="15.75" hidden="false" customHeight="true" outlineLevel="0" collapsed="false">
      <c r="A43" s="59" t="s">
        <v>187</v>
      </c>
      <c r="B43" s="9"/>
      <c r="C43" s="9" t="n">
        <v>0.96</v>
      </c>
      <c r="D43" s="9" t="n">
        <v>-0.04</v>
      </c>
      <c r="E43" s="9"/>
      <c r="F43" s="9" t="n">
        <v>0.55</v>
      </c>
      <c r="G43" s="9" t="n">
        <v>0.5</v>
      </c>
      <c r="H43" s="9"/>
      <c r="I43" s="9" t="n">
        <v>-1.99</v>
      </c>
      <c r="J43" s="9"/>
      <c r="K43" s="9"/>
      <c r="L43" s="9"/>
      <c r="M43" s="9" t="n">
        <v>-0.34</v>
      </c>
      <c r="N43" s="9"/>
      <c r="O43" s="9"/>
      <c r="P43" s="9"/>
      <c r="Q43" s="58" t="n">
        <f aca="false">TRIMMEAN(B43:P43,2/COUNT(B43:P43))</f>
        <v>0.1675</v>
      </c>
    </row>
    <row r="44" customFormat="false" ht="15.75" hidden="false" customHeight="true" outlineLevel="0" collapsed="false">
      <c r="A44" s="57" t="s">
        <v>188</v>
      </c>
      <c r="B44" s="9" t="n">
        <v>-0.42</v>
      </c>
      <c r="C44" s="9" t="n">
        <v>-0.65</v>
      </c>
      <c r="D44" s="9"/>
      <c r="E44" s="9"/>
      <c r="F44" s="9" t="n">
        <v>-3.56</v>
      </c>
      <c r="G44" s="9" t="n">
        <v>-2.73</v>
      </c>
      <c r="H44" s="9"/>
      <c r="I44" s="9"/>
      <c r="J44" s="9" t="n">
        <v>-1.64</v>
      </c>
      <c r="K44" s="9" t="n">
        <v>-0.7</v>
      </c>
      <c r="L44" s="9" t="n">
        <v>0.45</v>
      </c>
      <c r="M44" s="9" t="n">
        <v>0.39</v>
      </c>
      <c r="N44" s="9"/>
      <c r="O44" s="9"/>
      <c r="P44" s="9"/>
      <c r="Q44" s="58" t="n">
        <f aca="false">TRIMMEAN(B44:P44,2/COUNT(B44:P44))</f>
        <v>-0.958333333333333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 t="n">
        <v>0.93</v>
      </c>
      <c r="D46" s="9" t="n">
        <v>0.42</v>
      </c>
      <c r="E46" s="9"/>
      <c r="F46" s="9"/>
      <c r="G46" s="9"/>
      <c r="H46" s="9"/>
      <c r="I46" s="9"/>
      <c r="J46" s="9"/>
      <c r="K46" s="9"/>
      <c r="L46" s="9"/>
      <c r="M46" s="9" t="n">
        <v>-0.03</v>
      </c>
      <c r="N46" s="9"/>
      <c r="O46" s="9"/>
      <c r="P46" s="9"/>
      <c r="Q46" s="58" t="n">
        <f aca="false">TRIMMEAN(B46:P46,2/COUNT(B46:P46))</f>
        <v>0.42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0.43</v>
      </c>
      <c r="D48" s="9"/>
      <c r="E48" s="9" t="n">
        <v>0.09</v>
      </c>
      <c r="F48" s="9" t="n">
        <v>-1.04</v>
      </c>
      <c r="G48" s="9"/>
      <c r="H48" s="9" t="n">
        <v>-0.93</v>
      </c>
      <c r="I48" s="9"/>
      <c r="J48" s="9"/>
      <c r="K48" s="9" t="n">
        <v>0.83</v>
      </c>
      <c r="L48" s="9" t="n">
        <v>-0.38</v>
      </c>
      <c r="M48" s="9" t="n">
        <v>-0.23</v>
      </c>
      <c r="N48" s="9" t="n">
        <v>-0.45</v>
      </c>
      <c r="O48" s="9" t="n">
        <v>-0.5</v>
      </c>
      <c r="P48" s="9" t="n">
        <v>-0.92</v>
      </c>
      <c r="Q48" s="58" t="n">
        <f aca="false">TRIMMEAN(B48:P48,2/COUNT(B48:P48))</f>
        <v>-0.36125</v>
      </c>
    </row>
    <row r="49" customFormat="false" ht="15.75" hidden="false" customHeight="true" outlineLevel="0" collapsed="false">
      <c r="A49" s="59" t="s">
        <v>193</v>
      </c>
      <c r="B49" s="9"/>
      <c r="C49" s="9"/>
      <c r="D49" s="9" t="n">
        <v>-0.62</v>
      </c>
      <c r="E49" s="9"/>
      <c r="F49" s="9"/>
      <c r="G49" s="9"/>
      <c r="H49" s="9"/>
      <c r="I49" s="9"/>
      <c r="J49" s="9"/>
      <c r="K49" s="9"/>
      <c r="L49" s="9"/>
      <c r="M49" s="9" t="n">
        <v>0.05</v>
      </c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0.05</v>
      </c>
      <c r="D50" s="9"/>
      <c r="E50" s="9" t="n">
        <v>-1.01</v>
      </c>
      <c r="F50" s="9" t="n">
        <v>-3.01</v>
      </c>
      <c r="G50" s="9"/>
      <c r="H50" s="9" t="n">
        <v>-0.19</v>
      </c>
      <c r="I50" s="9" t="n">
        <v>1.19</v>
      </c>
      <c r="J50" s="9"/>
      <c r="K50" s="9" t="n">
        <v>-0.47</v>
      </c>
      <c r="L50" s="9" t="n">
        <v>-0.12</v>
      </c>
      <c r="M50" s="9"/>
      <c r="N50" s="9" t="n">
        <v>0.52</v>
      </c>
      <c r="O50" s="9" t="n">
        <v>-0.05</v>
      </c>
      <c r="P50" s="9" t="n">
        <v>0.06</v>
      </c>
      <c r="Q50" s="58" t="n">
        <f aca="false">TRIMMEAN(B50:P50,2/COUNT(B50:P50))</f>
        <v>-0.15125</v>
      </c>
    </row>
    <row r="51" customFormat="false" ht="15.75" hidden="false" customHeight="true" outlineLevel="0" collapsed="false">
      <c r="A51" s="59" t="s">
        <v>195</v>
      </c>
      <c r="B51" s="9"/>
      <c r="C51" s="9" t="n">
        <v>-0.79</v>
      </c>
      <c r="D51" s="9"/>
      <c r="E51" s="9" t="n">
        <v>0.33</v>
      </c>
      <c r="F51" s="9"/>
      <c r="G51" s="9"/>
      <c r="H51" s="9"/>
      <c r="I51" s="9"/>
      <c r="J51" s="9"/>
      <c r="K51" s="9" t="n">
        <v>0.44</v>
      </c>
      <c r="L51" s="9" t="n">
        <v>1.29</v>
      </c>
      <c r="M51" s="9" t="n">
        <v>0.78</v>
      </c>
      <c r="N51" s="9" t="n">
        <v>-0.17</v>
      </c>
      <c r="O51" s="9"/>
      <c r="P51" s="9"/>
      <c r="Q51" s="58" t="n">
        <f aca="false">TRIMMEAN(B51:P51,2/COUNT(B51:P51))</f>
        <v>0.345</v>
      </c>
    </row>
    <row r="52" customFormat="false" ht="15.75" hidden="false" customHeight="true" outlineLevel="0" collapsed="false">
      <c r="A52" s="59" t="s">
        <v>196</v>
      </c>
      <c r="B52" s="9"/>
      <c r="C52" s="9" t="n">
        <v>0</v>
      </c>
      <c r="D52" s="9"/>
      <c r="E52" s="9" t="n">
        <v>0.42</v>
      </c>
      <c r="F52" s="9" t="n">
        <v>0.39</v>
      </c>
      <c r="G52" s="9"/>
      <c r="H52" s="9" t="n">
        <v>0.02</v>
      </c>
      <c r="I52" s="9"/>
      <c r="J52" s="9"/>
      <c r="K52" s="9" t="n">
        <v>-0.44</v>
      </c>
      <c r="L52" s="9" t="n">
        <v>-0.22</v>
      </c>
      <c r="M52" s="9" t="n">
        <v>-0.31</v>
      </c>
      <c r="N52" s="9" t="n">
        <v>0.49</v>
      </c>
      <c r="O52" s="9" t="n">
        <v>-0.47</v>
      </c>
      <c r="P52" s="9" t="n">
        <v>-0.95</v>
      </c>
      <c r="Q52" s="58" t="n">
        <f aca="false">TRIMMEAN(B52:P52,2/COUNT(B52:P52))</f>
        <v>-0.07625</v>
      </c>
    </row>
    <row r="53" customFormat="false" ht="15.75" hidden="false" customHeight="true" outlineLevel="0" collapsed="false">
      <c r="A53" s="57" t="s">
        <v>197</v>
      </c>
      <c r="B53" s="9" t="n">
        <v>-0.67</v>
      </c>
      <c r="C53" s="9" t="n">
        <v>-1.28</v>
      </c>
      <c r="D53" s="9"/>
      <c r="E53" s="9" t="n">
        <v>-0.22</v>
      </c>
      <c r="F53" s="9" t="n">
        <v>-1.18</v>
      </c>
      <c r="G53" s="9" t="n">
        <v>3.76</v>
      </c>
      <c r="H53" s="9"/>
      <c r="I53" s="9" t="n">
        <v>0.91</v>
      </c>
      <c r="J53" s="9"/>
      <c r="K53" s="9" t="n">
        <v>1.7</v>
      </c>
      <c r="L53" s="9" t="n">
        <v>-0.54</v>
      </c>
      <c r="M53" s="9" t="n">
        <v>0.78</v>
      </c>
      <c r="N53" s="9"/>
      <c r="O53" s="9"/>
      <c r="P53" s="9"/>
      <c r="Q53" s="58" t="n">
        <f aca="false">TRIMMEAN(B53:P53,2/COUNT(B53:P53))</f>
        <v>0.111428571428571</v>
      </c>
    </row>
    <row r="54" customFormat="false" ht="15.75" hidden="false" customHeight="true" outlineLevel="0" collapsed="false">
      <c r="A54" s="57" t="s">
        <v>198</v>
      </c>
      <c r="B54" s="9" t="n">
        <v>0.08</v>
      </c>
      <c r="C54" s="9" t="n">
        <v>1.13</v>
      </c>
      <c r="D54" s="9" t="n">
        <v>-0.51</v>
      </c>
      <c r="E54" s="9"/>
      <c r="F54" s="9" t="n">
        <v>1.75</v>
      </c>
      <c r="G54" s="9" t="n">
        <v>-0.64</v>
      </c>
      <c r="H54" s="9"/>
      <c r="I54" s="9" t="n">
        <v>-0.25</v>
      </c>
      <c r="J54" s="9" t="n">
        <v>0.98</v>
      </c>
      <c r="K54" s="9"/>
      <c r="L54" s="9" t="n">
        <v>0.6</v>
      </c>
      <c r="M54" s="9" t="n">
        <v>-0.77</v>
      </c>
      <c r="N54" s="9"/>
      <c r="O54" s="9" t="n">
        <v>0.64</v>
      </c>
      <c r="P54" s="9" t="n">
        <v>-0.38</v>
      </c>
      <c r="Q54" s="58" t="n">
        <f aca="false">TRIMMEAN(B54:P54,2/COUNT(B54:P54))</f>
        <v>0.183333333333333</v>
      </c>
    </row>
    <row r="55" customFormat="false" ht="15.75" hidden="false" customHeight="true" outlineLevel="0" collapsed="false">
      <c r="A55" s="57" t="s">
        <v>199</v>
      </c>
      <c r="B55" s="9"/>
      <c r="C55" s="9" t="n">
        <v>0.75</v>
      </c>
      <c r="D55" s="9"/>
      <c r="E55" s="9" t="n">
        <v>-0.32</v>
      </c>
      <c r="F55" s="9" t="n">
        <v>0.63</v>
      </c>
      <c r="G55" s="9"/>
      <c r="H55" s="9" t="n">
        <v>-0.94</v>
      </c>
      <c r="I55" s="9"/>
      <c r="J55" s="9"/>
      <c r="K55" s="9" t="n">
        <v>0.7</v>
      </c>
      <c r="L55" s="9" t="n">
        <v>1.32</v>
      </c>
      <c r="M55" s="9" t="n">
        <v>-0.91</v>
      </c>
      <c r="N55" s="9" t="n">
        <v>0.22</v>
      </c>
      <c r="O55" s="9" t="n">
        <v>-0.08</v>
      </c>
      <c r="P55" s="9" t="n">
        <v>-0.62</v>
      </c>
      <c r="Q55" s="58" t="n">
        <f aca="false">TRIMMEAN(B55:P55,2/COUNT(B55:P55))</f>
        <v>0.04625</v>
      </c>
    </row>
    <row r="56" customFormat="false" ht="15.75" hidden="false" customHeight="true" outlineLevel="0" collapsed="false">
      <c r="A56" s="57" t="s">
        <v>200</v>
      </c>
      <c r="B56" s="9" t="n">
        <v>-1.36</v>
      </c>
      <c r="C56" s="9" t="n">
        <v>-0.27</v>
      </c>
      <c r="D56" s="9"/>
      <c r="E56" s="9" t="n">
        <v>-2.41</v>
      </c>
      <c r="F56" s="9" t="n">
        <v>0.53</v>
      </c>
      <c r="G56" s="9" t="n">
        <v>0.98</v>
      </c>
      <c r="H56" s="9"/>
      <c r="I56" s="9"/>
      <c r="J56" s="9" t="n">
        <v>1.74</v>
      </c>
      <c r="K56" s="9" t="n">
        <v>1.39</v>
      </c>
      <c r="L56" s="9" t="n">
        <v>-0.2</v>
      </c>
      <c r="M56" s="9" t="n">
        <v>0.88</v>
      </c>
      <c r="N56" s="9"/>
      <c r="O56" s="9"/>
      <c r="P56" s="9"/>
      <c r="Q56" s="58" t="n">
        <f aca="false">TRIMMEAN(B56:P56,2/COUNT(B56:P56))</f>
        <v>0.278571428571429</v>
      </c>
    </row>
    <row r="57" customFormat="false" ht="15.75" hidden="false" customHeight="true" outlineLevel="0" collapsed="false">
      <c r="A57" s="57" t="s">
        <v>201</v>
      </c>
      <c r="B57" s="9" t="n">
        <v>-0.27</v>
      </c>
      <c r="C57" s="9" t="n">
        <v>-0.08</v>
      </c>
      <c r="D57" s="9" t="n">
        <v>0.72</v>
      </c>
      <c r="E57" s="9"/>
      <c r="F57" s="9"/>
      <c r="G57" s="9" t="n">
        <v>-0.28</v>
      </c>
      <c r="H57" s="9"/>
      <c r="I57" s="9" t="n">
        <v>-1.36</v>
      </c>
      <c r="J57" s="9" t="n">
        <v>0.53</v>
      </c>
      <c r="K57" s="9"/>
      <c r="L57" s="9" t="n">
        <v>0.59</v>
      </c>
      <c r="M57" s="9" t="n">
        <v>0.2</v>
      </c>
      <c r="N57" s="9"/>
      <c r="O57" s="9" t="n">
        <v>-1.54</v>
      </c>
      <c r="P57" s="9" t="n">
        <v>-2.17</v>
      </c>
      <c r="Q57" s="58" t="n">
        <f aca="false">TRIMMEAN(B57:P57,2/COUNT(B57:P57))</f>
        <v>-0.27625</v>
      </c>
    </row>
    <row r="58" customFormat="false" ht="15.75" hidden="false" customHeight="true" outlineLevel="0" collapsed="false">
      <c r="A58" s="59" t="s">
        <v>202</v>
      </c>
      <c r="B58" s="9"/>
      <c r="C58" s="9" t="n">
        <v>-1.23</v>
      </c>
      <c r="D58" s="9"/>
      <c r="E58" s="9" t="n">
        <v>-0.36</v>
      </c>
      <c r="F58" s="9" t="n">
        <v>0.44</v>
      </c>
      <c r="G58" s="9"/>
      <c r="H58" s="9" t="n">
        <v>0.68</v>
      </c>
      <c r="I58" s="9"/>
      <c r="J58" s="9"/>
      <c r="K58" s="9" t="n">
        <v>0.17</v>
      </c>
      <c r="L58" s="9"/>
      <c r="M58" s="9"/>
      <c r="N58" s="9"/>
      <c r="O58" s="9"/>
      <c r="P58" s="9"/>
      <c r="Q58" s="58" t="n">
        <f aca="false">TRIMMEAN(B58:P58,2/COUNT(B58:P58))</f>
        <v>0.0833333333333333</v>
      </c>
    </row>
    <row r="59" customFormat="false" ht="15.75" hidden="false" customHeight="true" outlineLevel="0" collapsed="false">
      <c r="A59" s="57" t="s">
        <v>203</v>
      </c>
      <c r="B59" s="9" t="n">
        <v>1.24</v>
      </c>
      <c r="C59" s="9" t="n">
        <v>0.38</v>
      </c>
      <c r="D59" s="9"/>
      <c r="E59" s="9" t="n">
        <v>-1.58</v>
      </c>
      <c r="F59" s="9" t="n">
        <v>0.59</v>
      </c>
      <c r="G59" s="9" t="n">
        <v>-1.42</v>
      </c>
      <c r="H59" s="9"/>
      <c r="I59" s="9"/>
      <c r="J59" s="9" t="n">
        <v>0.67</v>
      </c>
      <c r="K59" s="9" t="n">
        <v>2.06</v>
      </c>
      <c r="L59" s="9" t="n">
        <v>0.56</v>
      </c>
      <c r="M59" s="9"/>
      <c r="N59" s="9"/>
      <c r="O59" s="9"/>
      <c r="P59" s="9"/>
      <c r="Q59" s="58" t="n">
        <f aca="false">TRIMMEAN(B59:P59,2/COUNT(B59:P59))</f>
        <v>0.336666666666667</v>
      </c>
    </row>
    <row r="60" customFormat="false" ht="15.75" hidden="false" customHeight="true" outlineLevel="0" collapsed="false">
      <c r="A60" s="59" t="s">
        <v>204</v>
      </c>
      <c r="B60" s="9"/>
      <c r="C60" s="9" t="n">
        <v>0.45</v>
      </c>
      <c r="D60" s="9"/>
      <c r="E60" s="9" t="n">
        <v>0.67</v>
      </c>
      <c r="F60" s="9" t="n">
        <v>-0.53</v>
      </c>
      <c r="G60" s="9" t="n">
        <v>0.02</v>
      </c>
      <c r="H60" s="9" t="n">
        <v>-0.14</v>
      </c>
      <c r="I60" s="9"/>
      <c r="J60" s="9" t="n">
        <v>0.4</v>
      </c>
      <c r="K60" s="9" t="n">
        <v>-1</v>
      </c>
      <c r="L60" s="9"/>
      <c r="M60" s="9"/>
      <c r="N60" s="9" t="n">
        <v>-0.76</v>
      </c>
      <c r="O60" s="9" t="n">
        <v>-0.18</v>
      </c>
      <c r="P60" s="9" t="n">
        <v>0.83</v>
      </c>
      <c r="Q60" s="58" t="n">
        <f aca="false">TRIMMEAN(B60:P60,2/COUNT(B60:P60))</f>
        <v>-0.00875</v>
      </c>
    </row>
    <row r="61" customFormat="false" ht="15.75" hidden="false" customHeight="true" outlineLevel="0" collapsed="false">
      <c r="A61" s="59" t="s">
        <v>205</v>
      </c>
      <c r="B61" s="9"/>
      <c r="C61" s="9" t="n">
        <v>0.8</v>
      </c>
      <c r="D61" s="9"/>
      <c r="E61" s="9" t="n">
        <v>-0.29</v>
      </c>
      <c r="F61" s="9" t="n">
        <v>0.6</v>
      </c>
      <c r="G61" s="9"/>
      <c r="H61" s="9" t="n">
        <v>-0.32</v>
      </c>
      <c r="I61" s="9"/>
      <c r="J61" s="9"/>
      <c r="K61" s="9" t="n">
        <v>-0.44</v>
      </c>
      <c r="L61" s="9" t="n">
        <v>0.72</v>
      </c>
      <c r="M61" s="9" t="n">
        <v>0.07</v>
      </c>
      <c r="N61" s="9" t="n">
        <v>0.27</v>
      </c>
      <c r="O61" s="9" t="n">
        <v>-1.01</v>
      </c>
      <c r="P61" s="9" t="n">
        <v>0.29</v>
      </c>
      <c r="Q61" s="58" t="n">
        <f aca="false">TRIMMEAN(B61:P61,2/COUNT(B61:P61))</f>
        <v>0.1125</v>
      </c>
    </row>
    <row r="62" customFormat="false" ht="15.75" hidden="false" customHeight="true" outlineLevel="0" collapsed="false">
      <c r="A62" s="59" t="s">
        <v>206</v>
      </c>
      <c r="B62" s="9"/>
      <c r="C62" s="9" t="n">
        <v>-0.51</v>
      </c>
      <c r="D62" s="9" t="n">
        <v>-1.03</v>
      </c>
      <c r="E62" s="9" t="n">
        <v>-0.37</v>
      </c>
      <c r="F62" s="9" t="n">
        <v>-0.04</v>
      </c>
      <c r="G62" s="9"/>
      <c r="H62" s="9" t="n">
        <v>-1.33</v>
      </c>
      <c r="I62" s="9"/>
      <c r="J62" s="9"/>
      <c r="K62" s="9" t="n">
        <v>-1.03</v>
      </c>
      <c r="L62" s="9" t="n">
        <v>1.08</v>
      </c>
      <c r="M62" s="9"/>
      <c r="N62" s="9" t="n">
        <v>-2.18</v>
      </c>
      <c r="O62" s="9" t="n">
        <v>-1.14</v>
      </c>
      <c r="P62" s="9" t="n">
        <v>-0.01</v>
      </c>
      <c r="Q62" s="58" t="n">
        <f aca="false">TRIMMEAN(B62:P62,2/COUNT(B62:P62))</f>
        <v>-0.6825</v>
      </c>
    </row>
    <row r="63" customFormat="false" ht="15.75" hidden="false" customHeight="true" outlineLevel="0" collapsed="false">
      <c r="A63" s="57" t="s">
        <v>207</v>
      </c>
      <c r="B63" s="9" t="n">
        <v>1.06</v>
      </c>
      <c r="C63" s="9" t="n">
        <v>2.54</v>
      </c>
      <c r="D63" s="9" t="n">
        <v>-0.32</v>
      </c>
      <c r="E63" s="9"/>
      <c r="F63" s="9"/>
      <c r="G63" s="9" t="n">
        <v>1.87</v>
      </c>
      <c r="H63" s="9" t="n">
        <v>0.2</v>
      </c>
      <c r="I63" s="9" t="n">
        <v>1.26</v>
      </c>
      <c r="J63" s="9" t="n">
        <v>1.76</v>
      </c>
      <c r="K63" s="9"/>
      <c r="L63" s="9" t="n">
        <v>0.59</v>
      </c>
      <c r="M63" s="9" t="n">
        <v>0.76</v>
      </c>
      <c r="N63" s="9"/>
      <c r="O63" s="9"/>
      <c r="P63" s="9" t="n">
        <v>0.71</v>
      </c>
      <c r="Q63" s="58" t="n">
        <f aca="false">TRIMMEAN(B63:P63,2/COUNT(B63:P63))</f>
        <v>1.02625</v>
      </c>
    </row>
    <row r="64" customFormat="false" ht="15.75" hidden="false" customHeight="true" outlineLevel="0" collapsed="false">
      <c r="A64" s="57" t="s">
        <v>208</v>
      </c>
      <c r="B64" s="9"/>
      <c r="C64" s="9" t="n">
        <v>0.8</v>
      </c>
      <c r="D64" s="9" t="n">
        <v>0.7</v>
      </c>
      <c r="E64" s="9"/>
      <c r="F64" s="9"/>
      <c r="G64" s="9" t="n">
        <v>0.84</v>
      </c>
      <c r="H64" s="9" t="n">
        <v>1.12</v>
      </c>
      <c r="I64" s="9" t="n">
        <v>1.2</v>
      </c>
      <c r="J64" s="9" t="n">
        <v>1.02</v>
      </c>
      <c r="K64" s="9"/>
      <c r="L64" s="9" t="n">
        <v>1.92</v>
      </c>
      <c r="M64" s="9" t="n">
        <v>-0.65</v>
      </c>
      <c r="N64" s="9"/>
      <c r="O64" s="9"/>
      <c r="P64" s="9"/>
      <c r="Q64" s="58" t="n">
        <f aca="false">TRIMMEAN(B64:P64,2/COUNT(B64:P64))</f>
        <v>0.946666666666667</v>
      </c>
    </row>
    <row r="65" customFormat="false" ht="15.75" hidden="false" customHeight="true" outlineLevel="0" collapsed="false">
      <c r="A65" s="57" t="s">
        <v>209</v>
      </c>
      <c r="B65" s="9" t="n">
        <v>-0.27</v>
      </c>
      <c r="C65" s="9" t="n">
        <v>1.34</v>
      </c>
      <c r="D65" s="9" t="n">
        <v>-0.59</v>
      </c>
      <c r="E65" s="9"/>
      <c r="F65" s="9"/>
      <c r="G65" s="9" t="n">
        <v>0.39</v>
      </c>
      <c r="H65" s="9" t="n">
        <v>0.93</v>
      </c>
      <c r="I65" s="9" t="n">
        <v>0.3</v>
      </c>
      <c r="J65" s="9" t="n">
        <v>0.31</v>
      </c>
      <c r="K65" s="9"/>
      <c r="L65" s="9" t="n">
        <v>1.24</v>
      </c>
      <c r="M65" s="9" t="n">
        <v>0.43</v>
      </c>
      <c r="N65" s="9"/>
      <c r="O65" s="9"/>
      <c r="P65" s="9"/>
      <c r="Q65" s="58" t="n">
        <f aca="false">TRIMMEAN(B65:P65,2/COUNT(B65:P65))</f>
        <v>0.475714285714286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-0.85</v>
      </c>
      <c r="C67" s="9" t="n">
        <v>-0.12</v>
      </c>
      <c r="D67" s="9"/>
      <c r="E67" s="9" t="n">
        <v>-0.13</v>
      </c>
      <c r="F67" s="9" t="n">
        <v>-0.07</v>
      </c>
      <c r="G67" s="9" t="n">
        <v>0.86</v>
      </c>
      <c r="H67" s="9"/>
      <c r="I67" s="9"/>
      <c r="J67" s="9" t="n">
        <v>-1</v>
      </c>
      <c r="K67" s="9"/>
      <c r="L67" s="9" t="n">
        <v>0.49</v>
      </c>
      <c r="M67" s="9"/>
      <c r="N67" s="9"/>
      <c r="O67" s="9"/>
      <c r="P67" s="9"/>
      <c r="Q67" s="58" t="n">
        <f aca="false">TRIMMEAN(B67:P67,2/COUNT(B67:P67))</f>
        <v>-0.136</v>
      </c>
    </row>
    <row r="68" customFormat="false" ht="15.75" hidden="false" customHeight="true" outlineLevel="0" collapsed="false">
      <c r="A68" s="59" t="s">
        <v>212</v>
      </c>
      <c r="B68" s="9" t="n">
        <v>1.25</v>
      </c>
      <c r="C68" s="9" t="n">
        <v>1</v>
      </c>
      <c r="D68" s="9" t="n">
        <v>0.63</v>
      </c>
      <c r="E68" s="9"/>
      <c r="F68" s="9" t="n">
        <v>-1.98</v>
      </c>
      <c r="G68" s="9" t="n">
        <v>-2.42</v>
      </c>
      <c r="H68" s="9"/>
      <c r="I68" s="9" t="n">
        <v>0</v>
      </c>
      <c r="J68" s="9" t="n">
        <v>0.14</v>
      </c>
      <c r="K68" s="9" t="n">
        <v>0.46</v>
      </c>
      <c r="L68" s="9"/>
      <c r="M68" s="9" t="n">
        <v>0.31</v>
      </c>
      <c r="N68" s="9"/>
      <c r="O68" s="9" t="n">
        <v>1.05</v>
      </c>
      <c r="P68" s="9"/>
      <c r="Q68" s="58" t="n">
        <f aca="false">TRIMMEAN(B68:P68,2/COUNT(B68:P68))</f>
        <v>0.20125</v>
      </c>
    </row>
    <row r="69" customFormat="false" ht="15.75" hidden="false" customHeight="true" outlineLevel="0" collapsed="false">
      <c r="A69" s="57" t="s">
        <v>213</v>
      </c>
      <c r="B69" s="9" t="n">
        <v>0.95</v>
      </c>
      <c r="C69" s="9" t="n">
        <v>-0.4</v>
      </c>
      <c r="D69" s="9" t="n">
        <v>0.32</v>
      </c>
      <c r="E69" s="9"/>
      <c r="F69" s="9"/>
      <c r="G69" s="9" t="n">
        <v>0.35</v>
      </c>
      <c r="H69" s="9" t="n">
        <v>0.92</v>
      </c>
      <c r="I69" s="9" t="n">
        <v>0.91</v>
      </c>
      <c r="J69" s="9" t="n">
        <v>0.11</v>
      </c>
      <c r="K69" s="9"/>
      <c r="L69" s="9" t="n">
        <v>0.38</v>
      </c>
      <c r="M69" s="9" t="n">
        <v>0.56</v>
      </c>
      <c r="N69" s="9"/>
      <c r="O69" s="9"/>
      <c r="P69" s="9"/>
      <c r="Q69" s="58" t="n">
        <f aca="false">TRIMMEAN(B69:P69,2/COUNT(B69:P69))</f>
        <v>0.507142857142857</v>
      </c>
    </row>
    <row r="70" customFormat="false" ht="15.75" hidden="false" customHeight="true" outlineLevel="0" collapsed="false">
      <c r="A70" s="57" t="s">
        <v>214</v>
      </c>
      <c r="B70" s="9" t="n">
        <v>-0.48</v>
      </c>
      <c r="C70" s="9" t="n">
        <v>-2.5</v>
      </c>
      <c r="D70" s="9"/>
      <c r="E70" s="9"/>
      <c r="F70" s="9" t="n">
        <v>-1.49</v>
      </c>
      <c r="G70" s="9" t="n">
        <v>0.22</v>
      </c>
      <c r="H70" s="9"/>
      <c r="I70" s="9"/>
      <c r="J70" s="9" t="n">
        <v>-0.49</v>
      </c>
      <c r="K70" s="9" t="n">
        <v>-0.25</v>
      </c>
      <c r="L70" s="9" t="n">
        <v>-0.07</v>
      </c>
      <c r="M70" s="9" t="n">
        <v>-0.17</v>
      </c>
      <c r="N70" s="9"/>
      <c r="O70" s="9"/>
      <c r="P70" s="9"/>
      <c r="Q70" s="58" t="n">
        <f aca="false">TRIMMEAN(B70:P70,2/COUNT(B70:P70))</f>
        <v>-0.491666666666667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0.82</v>
      </c>
      <c r="D72" s="9"/>
      <c r="E72" s="9" t="n">
        <v>-0.95</v>
      </c>
      <c r="F72" s="9" t="n">
        <v>0.16</v>
      </c>
      <c r="G72" s="9"/>
      <c r="H72" s="9" t="n">
        <v>0.65</v>
      </c>
      <c r="I72" s="9"/>
      <c r="J72" s="9"/>
      <c r="K72" s="9" t="n">
        <v>0.94</v>
      </c>
      <c r="L72" s="9" t="n">
        <v>-0.61</v>
      </c>
      <c r="M72" s="9" t="n">
        <v>0.02</v>
      </c>
      <c r="N72" s="9" t="n">
        <v>-0.17</v>
      </c>
      <c r="O72" s="9" t="n">
        <v>-0.31</v>
      </c>
      <c r="P72" s="9" t="n">
        <v>-0.68</v>
      </c>
      <c r="Q72" s="58" t="n">
        <f aca="false">TRIMMEAN(B72:P72,2/COUNT(B72:P72))</f>
        <v>-0.015</v>
      </c>
    </row>
    <row r="73" customFormat="false" ht="15.75" hidden="false" customHeight="true" outlineLevel="0" collapsed="false">
      <c r="A73" s="57" t="s">
        <v>217</v>
      </c>
      <c r="B73" s="9" t="n">
        <v>0.67</v>
      </c>
      <c r="C73" s="9" t="n">
        <v>0.44</v>
      </c>
      <c r="D73" s="9" t="n">
        <v>0.41</v>
      </c>
      <c r="E73" s="9"/>
      <c r="F73" s="9" t="n">
        <v>1.14</v>
      </c>
      <c r="G73" s="9" t="n">
        <v>1.87</v>
      </c>
      <c r="H73" s="9"/>
      <c r="I73" s="9" t="n">
        <v>-0.7</v>
      </c>
      <c r="J73" s="9" t="n">
        <v>-0.44</v>
      </c>
      <c r="K73" s="9"/>
      <c r="L73" s="9" t="n">
        <v>-0.53</v>
      </c>
      <c r="M73" s="9" t="n">
        <v>0.35</v>
      </c>
      <c r="N73" s="9"/>
      <c r="O73" s="9" t="n">
        <v>0.09</v>
      </c>
      <c r="P73" s="9" t="n">
        <v>0.2</v>
      </c>
      <c r="Q73" s="58" t="n">
        <f aca="false">TRIMMEAN(B73:P73,2/COUNT(B73:P73))</f>
        <v>0.258888888888889</v>
      </c>
    </row>
    <row r="74" customFormat="false" ht="15.75" hidden="false" customHeight="true" outlineLevel="0" collapsed="false">
      <c r="A74" s="57" t="s">
        <v>218</v>
      </c>
      <c r="B74" s="9"/>
      <c r="C74" s="9" t="n">
        <v>-0.56</v>
      </c>
      <c r="D74" s="9"/>
      <c r="E74" s="9" t="n">
        <v>0.54</v>
      </c>
      <c r="F74" s="9" t="n">
        <v>0.94</v>
      </c>
      <c r="G74" s="9"/>
      <c r="H74" s="9" t="n">
        <v>-0.29</v>
      </c>
      <c r="I74" s="9"/>
      <c r="J74" s="9"/>
      <c r="K74" s="9" t="n">
        <v>0.46</v>
      </c>
      <c r="L74" s="9" t="n">
        <v>-0.24</v>
      </c>
      <c r="M74" s="9"/>
      <c r="N74" s="9" t="n">
        <v>-0.92</v>
      </c>
      <c r="O74" s="9" t="n">
        <v>0.3</v>
      </c>
      <c r="P74" s="9" t="n">
        <v>1.62</v>
      </c>
      <c r="Q74" s="58" t="n">
        <f aca="false">TRIMMEAN(B74:P74,2/COUNT(B74:P74))</f>
        <v>0.164285714285714</v>
      </c>
    </row>
    <row r="75" customFormat="false" ht="15.75" hidden="false" customHeight="true" outlineLevel="0" collapsed="false">
      <c r="A75" s="59" t="s">
        <v>219</v>
      </c>
      <c r="B75" s="9" t="n">
        <v>1.55</v>
      </c>
      <c r="C75" s="9" t="n">
        <v>-0.92</v>
      </c>
      <c r="D75" s="9" t="n">
        <v>0.11</v>
      </c>
      <c r="E75" s="9"/>
      <c r="F75" s="9" t="n">
        <v>0.12</v>
      </c>
      <c r="G75" s="9" t="n">
        <v>0.44</v>
      </c>
      <c r="H75" s="9" t="n">
        <v>1.07</v>
      </c>
      <c r="I75" s="9"/>
      <c r="J75" s="9" t="n">
        <v>-0.18</v>
      </c>
      <c r="K75" s="9" t="n">
        <v>2.14</v>
      </c>
      <c r="L75" s="9" t="n">
        <v>1.89</v>
      </c>
      <c r="M75" s="9"/>
      <c r="N75" s="9" t="n">
        <v>1.03</v>
      </c>
      <c r="O75" s="9" t="n">
        <v>-1.69</v>
      </c>
      <c r="P75" s="9" t="n">
        <v>-0.05</v>
      </c>
      <c r="Q75" s="58" t="n">
        <f aca="false">TRIMMEAN(B75:P75,2/COUNT(B75:P75))</f>
        <v>0.506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 t="n">
        <v>-0.66</v>
      </c>
      <c r="D77" s="9"/>
      <c r="E77" s="9" t="n">
        <v>-0.25</v>
      </c>
      <c r="F77" s="9"/>
      <c r="G77" s="9"/>
      <c r="H77" s="9"/>
      <c r="I77" s="9"/>
      <c r="J77" s="9"/>
      <c r="K77" s="9" t="n">
        <v>-2.23</v>
      </c>
      <c r="L77" s="9"/>
      <c r="M77" s="9"/>
      <c r="N77" s="9"/>
      <c r="O77" s="9"/>
      <c r="P77" s="9"/>
      <c r="Q77" s="58" t="n">
        <f aca="false">TRIMMEAN(B77:P77,2/COUNT(B77:P77))</f>
        <v>-0.66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 t="n">
        <v>-0.02</v>
      </c>
      <c r="F78" s="9"/>
      <c r="G78" s="9"/>
      <c r="H78" s="9"/>
      <c r="I78" s="9"/>
      <c r="J78" s="9"/>
      <c r="K78" s="9"/>
      <c r="L78" s="9" t="n">
        <v>0.07</v>
      </c>
      <c r="M78" s="9" t="n">
        <v>1.32</v>
      </c>
      <c r="N78" s="9" t="n">
        <v>0.68</v>
      </c>
      <c r="O78" s="9"/>
      <c r="P78" s="9"/>
      <c r="Q78" s="58" t="n">
        <f aca="false">TRIMMEAN(B78:P78,2/COUNT(B78:P78))</f>
        <v>0.375</v>
      </c>
    </row>
    <row r="79" customFormat="false" ht="15.75" hidden="false" customHeight="true" outlineLevel="0" collapsed="false">
      <c r="A79" s="57" t="s">
        <v>223</v>
      </c>
      <c r="B79" s="9" t="n">
        <v>-1.22</v>
      </c>
      <c r="C79" s="9" t="n">
        <v>0.75</v>
      </c>
      <c r="D79" s="9" t="n">
        <v>0.52</v>
      </c>
      <c r="E79" s="9"/>
      <c r="F79" s="9"/>
      <c r="G79" s="9" t="n">
        <v>0.93</v>
      </c>
      <c r="H79" s="9"/>
      <c r="I79" s="9" t="n">
        <v>0.55</v>
      </c>
      <c r="J79" s="9" t="n">
        <v>0.86</v>
      </c>
      <c r="K79" s="9" t="n">
        <v>-0.13</v>
      </c>
      <c r="L79" s="9" t="n">
        <v>0.68</v>
      </c>
      <c r="M79" s="9" t="n">
        <v>0.91</v>
      </c>
      <c r="N79" s="9"/>
      <c r="O79" s="9" t="n">
        <v>-0.48</v>
      </c>
      <c r="P79" s="9"/>
      <c r="Q79" s="58" t="n">
        <f aca="false">TRIMMEAN(B79:P79,2/COUNT(B79:P79))</f>
        <v>0.4575</v>
      </c>
    </row>
    <row r="80" customFormat="false" ht="15.75" hidden="false" customHeight="true" outlineLevel="0" collapsed="false">
      <c r="A80" s="57" t="s">
        <v>224</v>
      </c>
      <c r="B80" s="9" t="n">
        <v>0.1</v>
      </c>
      <c r="C80" s="9" t="n">
        <v>0.37</v>
      </c>
      <c r="D80" s="9" t="n">
        <v>0.04</v>
      </c>
      <c r="E80" s="9" t="n">
        <v>2.64</v>
      </c>
      <c r="F80" s="9" t="n">
        <v>-3.08</v>
      </c>
      <c r="G80" s="9"/>
      <c r="H80" s="9" t="n">
        <v>-1.08</v>
      </c>
      <c r="I80" s="9" t="n">
        <v>-0.13</v>
      </c>
      <c r="J80" s="9"/>
      <c r="K80" s="9" t="n">
        <v>-1.75</v>
      </c>
      <c r="L80" s="9" t="n">
        <v>-1.12</v>
      </c>
      <c r="M80" s="9" t="n">
        <v>-2.78</v>
      </c>
      <c r="N80" s="9" t="n">
        <v>-0.33</v>
      </c>
      <c r="O80" s="9" t="n">
        <v>0.31</v>
      </c>
      <c r="P80" s="9" t="n">
        <v>-0.76</v>
      </c>
      <c r="Q80" s="58" t="n">
        <f aca="false">TRIMMEAN(B80:P80,2/COUNT(B80:P80))</f>
        <v>-0.648181818181818</v>
      </c>
    </row>
    <row r="81" customFormat="false" ht="15.75" hidden="false" customHeight="true" outlineLevel="0" collapsed="false">
      <c r="A81" s="59" t="s">
        <v>225</v>
      </c>
      <c r="B81" s="9" t="n">
        <v>-0.04</v>
      </c>
      <c r="C81" s="9" t="n">
        <v>-1.06</v>
      </c>
      <c r="D81" s="9" t="n">
        <v>-0.21</v>
      </c>
      <c r="E81" s="9"/>
      <c r="F81" s="9" t="n">
        <v>0.64</v>
      </c>
      <c r="G81" s="9" t="n">
        <v>0.47</v>
      </c>
      <c r="H81" s="9"/>
      <c r="I81" s="9" t="n">
        <v>0.54</v>
      </c>
      <c r="J81" s="9" t="n">
        <v>1.06</v>
      </c>
      <c r="K81" s="9" t="n">
        <v>0.25</v>
      </c>
      <c r="L81" s="9"/>
      <c r="M81" s="9" t="n">
        <v>0.73</v>
      </c>
      <c r="N81" s="9"/>
      <c r="O81" s="9" t="n">
        <v>0.55</v>
      </c>
      <c r="P81" s="9" t="n">
        <v>-0.09</v>
      </c>
      <c r="Q81" s="58" t="n">
        <f aca="false">TRIMMEAN(B81:P81,2/COUNT(B81:P81))</f>
        <v>0.315555555555556</v>
      </c>
    </row>
    <row r="82" customFormat="false" ht="15.75" hidden="false" customHeight="true" outlineLevel="0" collapsed="false">
      <c r="A82" s="59" t="s">
        <v>226</v>
      </c>
      <c r="B82" s="9"/>
      <c r="C82" s="9" t="n">
        <v>0.17</v>
      </c>
      <c r="D82" s="9"/>
      <c r="E82" s="9" t="n">
        <v>-0.67</v>
      </c>
      <c r="F82" s="9" t="n">
        <v>-0.29</v>
      </c>
      <c r="G82" s="9"/>
      <c r="H82" s="9" t="n">
        <v>0.29</v>
      </c>
      <c r="I82" s="9"/>
      <c r="J82" s="9"/>
      <c r="K82" s="9" t="n">
        <v>1.07</v>
      </c>
      <c r="L82" s="9" t="n">
        <v>0.36</v>
      </c>
      <c r="M82" s="9" t="n">
        <v>-0.12</v>
      </c>
      <c r="N82" s="9" t="n">
        <v>-0.1</v>
      </c>
      <c r="O82" s="9" t="n">
        <v>-0.16</v>
      </c>
      <c r="P82" s="9" t="n">
        <v>-0.57</v>
      </c>
      <c r="Q82" s="58" t="n">
        <f aca="false">TRIMMEAN(B82:P82,2/COUNT(B82:P82))</f>
        <v>-0.0525</v>
      </c>
    </row>
    <row r="83" customFormat="false" ht="15.75" hidden="false" customHeight="true" outlineLevel="0" collapsed="false">
      <c r="A83" s="59" t="s">
        <v>227</v>
      </c>
      <c r="B83" s="9"/>
      <c r="C83" s="9" t="n">
        <v>0.25</v>
      </c>
      <c r="D83" s="9" t="n">
        <v>-0.22</v>
      </c>
      <c r="E83" s="9" t="n">
        <v>0.6</v>
      </c>
      <c r="F83" s="9" t="n">
        <v>0.27</v>
      </c>
      <c r="G83" s="9"/>
      <c r="H83" s="9" t="n">
        <v>-0.21</v>
      </c>
      <c r="I83" s="9" t="n">
        <v>0.4</v>
      </c>
      <c r="J83" s="9"/>
      <c r="K83" s="9" t="n">
        <v>-0.22</v>
      </c>
      <c r="L83" s="9"/>
      <c r="M83" s="9"/>
      <c r="N83" s="9" t="n">
        <v>1.18</v>
      </c>
      <c r="O83" s="9" t="n">
        <v>1.48</v>
      </c>
      <c r="P83" s="9" t="n">
        <v>-0.96</v>
      </c>
      <c r="Q83" s="58" t="n">
        <f aca="false">TRIMMEAN(B83:P83,2/COUNT(B83:P83))</f>
        <v>0.25625</v>
      </c>
    </row>
    <row r="84" customFormat="false" ht="15.75" hidden="false" customHeight="true" outlineLevel="0" collapsed="false">
      <c r="A84" s="57" t="s">
        <v>228</v>
      </c>
      <c r="B84" s="9" t="n">
        <v>-1.29</v>
      </c>
      <c r="C84" s="9" t="n">
        <v>-1.4</v>
      </c>
      <c r="D84" s="9"/>
      <c r="E84" s="9" t="n">
        <v>-1.49</v>
      </c>
      <c r="F84" s="9" t="n">
        <v>-0.59</v>
      </c>
      <c r="G84" s="9" t="n">
        <v>0.42</v>
      </c>
      <c r="H84" s="9"/>
      <c r="I84" s="9"/>
      <c r="J84" s="9"/>
      <c r="K84" s="9" t="n">
        <v>-0.13</v>
      </c>
      <c r="L84" s="9" t="n">
        <v>-0.92</v>
      </c>
      <c r="M84" s="9"/>
      <c r="N84" s="9"/>
      <c r="O84" s="9"/>
      <c r="P84" s="9"/>
      <c r="Q84" s="58" t="n">
        <f aca="false">TRIMMEAN(B84:P84,2/COUNT(B84:P84))</f>
        <v>-0.866</v>
      </c>
    </row>
    <row r="85" customFormat="false" ht="15.75" hidden="false" customHeight="true" outlineLevel="0" collapsed="false">
      <c r="A85" s="57" t="s">
        <v>229</v>
      </c>
      <c r="B85" s="9" t="n">
        <v>-0.63</v>
      </c>
      <c r="C85" s="9"/>
      <c r="D85" s="9" t="n">
        <v>0.22</v>
      </c>
      <c r="E85" s="9" t="n">
        <v>-0.2</v>
      </c>
      <c r="F85" s="9" t="n">
        <v>-1.55</v>
      </c>
      <c r="G85" s="9" t="n">
        <v>0.09</v>
      </c>
      <c r="H85" s="9"/>
      <c r="I85" s="9"/>
      <c r="J85" s="9" t="n">
        <v>-2.77</v>
      </c>
      <c r="K85" s="9" t="n">
        <v>-1.7</v>
      </c>
      <c r="L85" s="9" t="n">
        <v>-0.41</v>
      </c>
      <c r="M85" s="9" t="n">
        <v>0.51</v>
      </c>
      <c r="N85" s="9"/>
      <c r="O85" s="9"/>
      <c r="P85" s="9"/>
      <c r="Q85" s="58" t="n">
        <f aca="false">TRIMMEAN(B85:P85,2/COUNT(B85:P85))</f>
        <v>-0.597142857142857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0</v>
      </c>
      <c r="D87" s="9"/>
      <c r="E87" s="9" t="n">
        <v>-0.88</v>
      </c>
      <c r="F87" s="9"/>
      <c r="G87" s="9"/>
      <c r="H87" s="9" t="n">
        <v>-0.3</v>
      </c>
      <c r="I87" s="9"/>
      <c r="J87" s="9"/>
      <c r="K87" s="9" t="n">
        <v>-1.77</v>
      </c>
      <c r="L87" s="9" t="n">
        <v>0.36</v>
      </c>
      <c r="M87" s="9" t="n">
        <v>-0.15</v>
      </c>
      <c r="N87" s="9" t="n">
        <v>0.34</v>
      </c>
      <c r="O87" s="9"/>
      <c r="P87" s="9"/>
      <c r="Q87" s="58" t="n">
        <f aca="false">TRIMMEAN(B87:P87,2/COUNT(B87:P87))</f>
        <v>-0.198</v>
      </c>
    </row>
    <row r="88" customFormat="false" ht="15.75" hidden="false" customHeight="true" outlineLevel="0" collapsed="false">
      <c r="A88" s="59" t="s">
        <v>232</v>
      </c>
      <c r="B88" s="9"/>
      <c r="C88" s="9" t="n">
        <v>0.47</v>
      </c>
      <c r="D88" s="9"/>
      <c r="E88" s="9" t="n">
        <v>-1.62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0.39</v>
      </c>
      <c r="C89" s="9" t="n">
        <v>1.24</v>
      </c>
      <c r="D89" s="9" t="n">
        <v>-0.36</v>
      </c>
      <c r="E89" s="9"/>
      <c r="F89" s="9" t="n">
        <v>-0.08</v>
      </c>
      <c r="G89" s="9" t="n">
        <v>0.79</v>
      </c>
      <c r="H89" s="9" t="n">
        <v>0.17</v>
      </c>
      <c r="I89" s="9" t="n">
        <v>-0.17</v>
      </c>
      <c r="J89" s="9" t="n">
        <v>-1.17</v>
      </c>
      <c r="K89" s="9"/>
      <c r="L89" s="9" t="n">
        <v>-2.29</v>
      </c>
      <c r="M89" s="9" t="n">
        <v>0.4</v>
      </c>
      <c r="N89" s="9"/>
      <c r="O89" s="9" t="n">
        <v>-0.21</v>
      </c>
      <c r="P89" s="9" t="n">
        <v>1.51</v>
      </c>
      <c r="Q89" s="58" t="n">
        <f aca="false">TRIMMEAN(B89:P89,2/COUNT(B89:P89))</f>
        <v>0.1</v>
      </c>
    </row>
    <row r="90" customFormat="false" ht="15.75" hidden="false" customHeight="true" outlineLevel="0" collapsed="false">
      <c r="A90" s="59" t="s">
        <v>234</v>
      </c>
      <c r="B90" s="9"/>
      <c r="C90" s="9" t="n">
        <v>0.13</v>
      </c>
      <c r="D90" s="9"/>
      <c r="E90" s="9" t="n">
        <v>-1.2</v>
      </c>
      <c r="F90" s="9" t="n">
        <v>-0.2</v>
      </c>
      <c r="G90" s="9"/>
      <c r="H90" s="9"/>
      <c r="I90" s="9" t="n">
        <v>-2.13</v>
      </c>
      <c r="J90" s="9"/>
      <c r="K90" s="9" t="n">
        <v>0.06</v>
      </c>
      <c r="L90" s="9" t="n">
        <v>-0.19</v>
      </c>
      <c r="M90" s="9" t="n">
        <v>-0.2</v>
      </c>
      <c r="N90" s="9" t="n">
        <v>-1.26</v>
      </c>
      <c r="O90" s="9"/>
      <c r="P90" s="9"/>
      <c r="Q90" s="58" t="n">
        <f aca="false">TRIMMEAN(B90:P90,2/COUNT(B90:P90))</f>
        <v>-0.498333333333333</v>
      </c>
    </row>
    <row r="91" customFormat="false" ht="15.75" hidden="false" customHeight="true" outlineLevel="0" collapsed="false">
      <c r="A91" s="57" t="s">
        <v>235</v>
      </c>
      <c r="B91" s="9" t="n">
        <v>0.53</v>
      </c>
      <c r="C91" s="9" t="n">
        <v>0.51</v>
      </c>
      <c r="D91" s="9" t="n">
        <v>0.18</v>
      </c>
      <c r="E91" s="9"/>
      <c r="F91" s="9" t="n">
        <v>1.31</v>
      </c>
      <c r="G91" s="9" t="n">
        <v>-0.62</v>
      </c>
      <c r="H91" s="9"/>
      <c r="I91" s="9" t="n">
        <v>-0.43</v>
      </c>
      <c r="J91" s="9" t="n">
        <v>1.97</v>
      </c>
      <c r="K91" s="9"/>
      <c r="L91" s="9" t="n">
        <v>0.63</v>
      </c>
      <c r="M91" s="9" t="n">
        <v>-0.47</v>
      </c>
      <c r="N91" s="9" t="n">
        <v>0.73</v>
      </c>
      <c r="O91" s="9"/>
      <c r="P91" s="9" t="n">
        <v>-0.65</v>
      </c>
      <c r="Q91" s="58" t="n">
        <f aca="false">TRIMMEAN(B91:P91,2/COUNT(B91:P91))</f>
        <v>0.263333333333333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1.14</v>
      </c>
      <c r="E92" s="9"/>
      <c r="F92" s="9"/>
      <c r="G92" s="9"/>
      <c r="H92" s="9" t="n">
        <v>0.75</v>
      </c>
      <c r="I92" s="9" t="n">
        <v>-0.6</v>
      </c>
      <c r="J92" s="9"/>
      <c r="K92" s="9"/>
      <c r="L92" s="9" t="n">
        <v>-0.16</v>
      </c>
      <c r="M92" s="9" t="n">
        <v>-1.51</v>
      </c>
      <c r="N92" s="9"/>
      <c r="O92" s="9"/>
      <c r="P92" s="9"/>
      <c r="Q92" s="58" t="n">
        <f aca="false">TRIMMEAN(B92:P92,2/COUNT(B92:P92))</f>
        <v>-0.00333333333333333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-0.15</v>
      </c>
      <c r="D94" s="9" t="n">
        <v>1.27</v>
      </c>
      <c r="E94" s="9"/>
      <c r="F94" s="9"/>
      <c r="G94" s="9" t="n">
        <v>0.88</v>
      </c>
      <c r="H94" s="9"/>
      <c r="I94" s="9" t="n">
        <v>0.82</v>
      </c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0.85</v>
      </c>
    </row>
    <row r="95" customFormat="false" ht="15.75" hidden="false" customHeight="true" outlineLevel="0" collapsed="false">
      <c r="A95" s="59" t="s">
        <v>239</v>
      </c>
      <c r="B95" s="9" t="n">
        <v>0.1</v>
      </c>
      <c r="C95" s="9"/>
      <c r="D95" s="9" t="n">
        <v>-0.29</v>
      </c>
      <c r="E95" s="9"/>
      <c r="F95" s="9" t="n">
        <v>2.12</v>
      </c>
      <c r="G95" s="9" t="n">
        <v>0.56</v>
      </c>
      <c r="H95" s="9"/>
      <c r="I95" s="9" t="n">
        <v>0.17</v>
      </c>
      <c r="J95" s="9" t="n">
        <v>0.55</v>
      </c>
      <c r="K95" s="9"/>
      <c r="L95" s="9"/>
      <c r="M95" s="9" t="n">
        <v>0.43</v>
      </c>
      <c r="N95" s="9"/>
      <c r="O95" s="9" t="n">
        <v>0.38</v>
      </c>
      <c r="P95" s="9"/>
      <c r="Q95" s="58" t="n">
        <f aca="false">TRIMMEAN(B95:P95,2/COUNT(B95:P95))</f>
        <v>0.365</v>
      </c>
    </row>
    <row r="96" customFormat="false" ht="15.75" hidden="false" customHeight="true" outlineLevel="0" collapsed="false">
      <c r="A96" s="57" t="s">
        <v>240</v>
      </c>
      <c r="B96" s="9" t="n">
        <v>-1.25</v>
      </c>
      <c r="C96" s="9" t="n">
        <v>-1.56</v>
      </c>
      <c r="D96" s="9"/>
      <c r="E96" s="9" t="n">
        <v>-2.51</v>
      </c>
      <c r="F96" s="9" t="n">
        <v>-1.45</v>
      </c>
      <c r="G96" s="9" t="n">
        <v>0.12</v>
      </c>
      <c r="H96" s="9"/>
      <c r="I96" s="9" t="n">
        <v>0.85</v>
      </c>
      <c r="J96" s="9" t="n">
        <v>0.7</v>
      </c>
      <c r="K96" s="9" t="n">
        <v>0.57</v>
      </c>
      <c r="L96" s="9" t="n">
        <v>0.55</v>
      </c>
      <c r="M96" s="9"/>
      <c r="N96" s="9"/>
      <c r="O96" s="9"/>
      <c r="P96" s="9"/>
      <c r="Q96" s="58" t="n">
        <f aca="false">TRIMMEAN(B96:P96,2/COUNT(B96:P96))</f>
        <v>-0.331428571428571</v>
      </c>
    </row>
    <row r="97" customFormat="false" ht="15.75" hidden="false" customHeight="true" outlineLevel="0" collapsed="false">
      <c r="A97" s="59" t="s">
        <v>241</v>
      </c>
      <c r="B97" s="9"/>
      <c r="C97" s="9" t="n">
        <v>-1.08</v>
      </c>
      <c r="D97" s="9" t="n">
        <v>0.04</v>
      </c>
      <c r="E97" s="9" t="n">
        <v>-0.16</v>
      </c>
      <c r="F97" s="9" t="n">
        <v>-0.11</v>
      </c>
      <c r="G97" s="9"/>
      <c r="H97" s="9" t="n">
        <v>-1.27</v>
      </c>
      <c r="I97" s="9"/>
      <c r="J97" s="9"/>
      <c r="K97" s="9" t="n">
        <v>-1.53</v>
      </c>
      <c r="L97" s="9"/>
      <c r="M97" s="9" t="n">
        <v>-0.29</v>
      </c>
      <c r="N97" s="9" t="n">
        <v>-2.3</v>
      </c>
      <c r="O97" s="9" t="n">
        <v>-2.48</v>
      </c>
      <c r="P97" s="9"/>
      <c r="Q97" s="58" t="n">
        <f aca="false">TRIMMEAN(B97:P97,2/COUNT(B97:P97))</f>
        <v>-0.962857142857143</v>
      </c>
    </row>
    <row r="98" customFormat="false" ht="15.75" hidden="false" customHeight="true" outlineLevel="0" collapsed="false">
      <c r="A98" s="59" t="s">
        <v>242</v>
      </c>
      <c r="B98" s="9"/>
      <c r="C98" s="9" t="n">
        <v>-1.38</v>
      </c>
      <c r="D98" s="9"/>
      <c r="E98" s="9" t="n">
        <v>-1.08</v>
      </c>
      <c r="F98" s="9"/>
      <c r="G98" s="9"/>
      <c r="H98" s="9"/>
      <c r="I98" s="9" t="n">
        <v>0.96</v>
      </c>
      <c r="J98" s="9"/>
      <c r="K98" s="9" t="n">
        <v>0.2</v>
      </c>
      <c r="L98" s="9" t="n">
        <v>-1.31</v>
      </c>
      <c r="M98" s="9" t="n">
        <v>-0.04</v>
      </c>
      <c r="N98" s="9" t="n">
        <v>0.54</v>
      </c>
      <c r="O98" s="9"/>
      <c r="P98" s="9"/>
      <c r="Q98" s="58" t="n">
        <f aca="false">TRIMMEAN(B98:P98,2/COUNT(B98:P98))</f>
        <v>-0.338</v>
      </c>
    </row>
    <row r="99" customFormat="false" ht="15.75" hidden="false" customHeight="true" outlineLevel="0" collapsed="false">
      <c r="A99" s="57" t="s">
        <v>243</v>
      </c>
      <c r="B99" s="9"/>
      <c r="C99" s="9" t="n">
        <v>0.43</v>
      </c>
      <c r="D99" s="9" t="n">
        <v>-1.42</v>
      </c>
      <c r="E99" s="9" t="n">
        <v>-2.9</v>
      </c>
      <c r="F99" s="9" t="n">
        <v>-2.66</v>
      </c>
      <c r="G99" s="9"/>
      <c r="H99" s="9" t="n">
        <v>0.36</v>
      </c>
      <c r="I99" s="9"/>
      <c r="J99" s="9"/>
      <c r="K99" s="9" t="n">
        <v>-0.4</v>
      </c>
      <c r="L99" s="9" t="n">
        <v>0.12</v>
      </c>
      <c r="M99" s="9" t="n">
        <v>1.41</v>
      </c>
      <c r="N99" s="9" t="n">
        <v>-0.5</v>
      </c>
      <c r="O99" s="9" t="n">
        <v>0.29</v>
      </c>
      <c r="P99" s="9" t="n">
        <v>-0.25</v>
      </c>
      <c r="Q99" s="58" t="n">
        <f aca="false">TRIMMEAN(B99:P99,2/COUNT(B99:P99))</f>
        <v>-0.447777777777778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 t="n">
        <v>-0.99</v>
      </c>
      <c r="F100" s="9" t="n">
        <v>-0.18</v>
      </c>
      <c r="G100" s="9" t="n">
        <v>0.33</v>
      </c>
      <c r="H100" s="9"/>
      <c r="I100" s="9"/>
      <c r="J100" s="9" t="n">
        <v>0.72</v>
      </c>
      <c r="K100" s="9" t="n">
        <v>-0.04</v>
      </c>
      <c r="L100" s="9" t="n">
        <v>0.33</v>
      </c>
      <c r="M100" s="9"/>
      <c r="N100" s="9"/>
      <c r="O100" s="9"/>
      <c r="P100" s="9"/>
      <c r="Q100" s="58" t="n">
        <f aca="false">TRIMMEAN(B100:P100,2/COUNT(B100:P100))</f>
        <v>0.11</v>
      </c>
    </row>
    <row r="101" customFormat="false" ht="15.75" hidden="false" customHeight="true" outlineLevel="0" collapsed="false">
      <c r="A101" s="57" t="s">
        <v>245</v>
      </c>
      <c r="B101" s="9" t="n">
        <v>-1.12</v>
      </c>
      <c r="C101" s="9"/>
      <c r="D101" s="9" t="n">
        <v>1.04</v>
      </c>
      <c r="E101" s="9" t="n">
        <v>0.07</v>
      </c>
      <c r="F101" s="9" t="n">
        <v>1.07</v>
      </c>
      <c r="G101" s="9" t="n">
        <v>-0.68</v>
      </c>
      <c r="H101" s="9"/>
      <c r="I101" s="9"/>
      <c r="J101" s="9" t="n">
        <v>-0.25</v>
      </c>
      <c r="K101" s="9" t="n">
        <v>0.28</v>
      </c>
      <c r="L101" s="9" t="n">
        <v>-0.68</v>
      </c>
      <c r="M101" s="9" t="n">
        <v>0.18</v>
      </c>
      <c r="N101" s="9"/>
      <c r="O101" s="9"/>
      <c r="P101" s="9"/>
      <c r="Q101" s="58" t="n">
        <f aca="false">TRIMMEAN(B101:P101,2/COUNT(B101:P101))</f>
        <v>-0.00571428571428572</v>
      </c>
    </row>
    <row r="102" customFormat="false" ht="15.75" hidden="false" customHeight="true" outlineLevel="0" collapsed="false">
      <c r="A102" s="59" t="s">
        <v>246</v>
      </c>
      <c r="B102" s="9"/>
      <c r="C102" s="9" t="n">
        <v>-0.65</v>
      </c>
      <c r="D102" s="9"/>
      <c r="E102" s="9" t="n">
        <v>0.68</v>
      </c>
      <c r="F102" s="9" t="n">
        <v>-0.89</v>
      </c>
      <c r="G102" s="9"/>
      <c r="H102" s="9" t="n">
        <v>-0.73</v>
      </c>
      <c r="I102" s="9"/>
      <c r="J102" s="9"/>
      <c r="K102" s="9" t="n">
        <v>-0.98</v>
      </c>
      <c r="L102" s="9" t="n">
        <v>-0.21</v>
      </c>
      <c r="M102" s="9" t="n">
        <v>0.56</v>
      </c>
      <c r="N102" s="9" t="n">
        <v>-2.65</v>
      </c>
      <c r="O102" s="9" t="n">
        <v>-2.34</v>
      </c>
      <c r="P102" s="9" t="n">
        <v>-1.05</v>
      </c>
      <c r="Q102" s="58" t="n">
        <f aca="false">TRIMMEAN(B102:P102,2/COUNT(B102:P102))</f>
        <v>-0.78625</v>
      </c>
    </row>
    <row r="103" customFormat="false" ht="15.75" hidden="false" customHeight="true" outlineLevel="0" collapsed="false">
      <c r="A103" s="59" t="s">
        <v>247</v>
      </c>
      <c r="B103" s="9" t="n">
        <v>-0.09</v>
      </c>
      <c r="C103" s="9" t="n">
        <v>-0.51</v>
      </c>
      <c r="D103" s="9" t="n">
        <v>0.65</v>
      </c>
      <c r="E103" s="9" t="n">
        <v>0.64</v>
      </c>
      <c r="F103" s="9" t="n">
        <v>0.16</v>
      </c>
      <c r="G103" s="9" t="n">
        <v>-0.95</v>
      </c>
      <c r="H103" s="9"/>
      <c r="I103" s="9" t="n">
        <v>1.16</v>
      </c>
      <c r="J103" s="9" t="n">
        <v>0.64</v>
      </c>
      <c r="K103" s="9" t="n">
        <v>0.5</v>
      </c>
      <c r="L103" s="9"/>
      <c r="M103" s="9" t="n">
        <v>0.49</v>
      </c>
      <c r="N103" s="9"/>
      <c r="O103" s="9" t="n">
        <v>0.61</v>
      </c>
      <c r="P103" s="9" t="n">
        <v>-1.07</v>
      </c>
      <c r="Q103" s="58" t="n">
        <f aca="false">TRIMMEAN(B103:P103,2/COUNT(B103:P103))</f>
        <v>0.214</v>
      </c>
    </row>
    <row r="104" customFormat="false" ht="15.75" hidden="false" customHeight="true" outlineLevel="0" collapsed="false">
      <c r="A104" s="59" t="s">
        <v>248</v>
      </c>
      <c r="B104" s="9"/>
      <c r="C104" s="9" t="n">
        <v>0.27</v>
      </c>
      <c r="D104" s="9"/>
      <c r="E104" s="9" t="n">
        <v>0.17</v>
      </c>
      <c r="F104" s="9" t="n">
        <v>-0.84</v>
      </c>
      <c r="G104" s="9"/>
      <c r="H104" s="9" t="n">
        <v>0.58</v>
      </c>
      <c r="I104" s="9"/>
      <c r="J104" s="9"/>
      <c r="K104" s="9" t="n">
        <v>-0.3</v>
      </c>
      <c r="L104" s="9" t="n">
        <v>-0.4</v>
      </c>
      <c r="M104" s="9"/>
      <c r="N104" s="9" t="n">
        <v>0.33</v>
      </c>
      <c r="O104" s="9" t="n">
        <v>0.84</v>
      </c>
      <c r="P104" s="9" t="n">
        <v>-0.3</v>
      </c>
      <c r="Q104" s="58" t="n">
        <f aca="false">TRIMMEAN(B104:P104,2/COUNT(B104:P104))</f>
        <v>0.05</v>
      </c>
    </row>
    <row r="105" customFormat="false" ht="15.75" hidden="false" customHeight="true" outlineLevel="0" collapsed="false">
      <c r="A105" s="59" t="s">
        <v>249</v>
      </c>
      <c r="B105" s="9"/>
      <c r="C105" s="9" t="n">
        <v>-0.32</v>
      </c>
      <c r="D105" s="9" t="n">
        <v>0.66</v>
      </c>
      <c r="E105" s="9" t="n">
        <v>-1.5</v>
      </c>
      <c r="F105" s="9" t="n">
        <v>-0.22</v>
      </c>
      <c r="G105" s="9"/>
      <c r="H105" s="9" t="n">
        <v>0.69</v>
      </c>
      <c r="I105" s="9"/>
      <c r="J105" s="9"/>
      <c r="K105" s="9" t="n">
        <v>0.68</v>
      </c>
      <c r="L105" s="9" t="n">
        <v>1.42</v>
      </c>
      <c r="M105" s="9" t="n">
        <v>-0.2</v>
      </c>
      <c r="N105" s="9" t="n">
        <v>-0.7</v>
      </c>
      <c r="O105" s="9" t="n">
        <v>0.61</v>
      </c>
      <c r="P105" s="9" t="n">
        <v>-0.26</v>
      </c>
      <c r="Q105" s="58" t="n">
        <f aca="false">TRIMMEAN(B105:P105,2/COUNT(B105:P105))</f>
        <v>0.104444444444444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 t="n">
        <v>0.37</v>
      </c>
      <c r="F106" s="9" t="n">
        <v>-0.75</v>
      </c>
      <c r="G106" s="9"/>
      <c r="H106" s="9" t="n">
        <v>-2.31</v>
      </c>
      <c r="I106" s="9"/>
      <c r="J106" s="9"/>
      <c r="K106" s="9"/>
      <c r="L106" s="9" t="n">
        <v>-0.78</v>
      </c>
      <c r="M106" s="9" t="n">
        <v>-0.23</v>
      </c>
      <c r="N106" s="9" t="n">
        <v>-0.64</v>
      </c>
      <c r="O106" s="9"/>
      <c r="P106" s="9"/>
      <c r="Q106" s="58" t="n">
        <f aca="false">TRIMMEAN(B106:P106,2/COUNT(B106:P106))</f>
        <v>-0.6</v>
      </c>
    </row>
    <row r="107" customFormat="false" ht="15.75" hidden="false" customHeight="true" outlineLevel="0" collapsed="false">
      <c r="A107" s="59" t="s">
        <v>251</v>
      </c>
      <c r="B107" s="9" t="n">
        <v>-0.3</v>
      </c>
      <c r="C107" s="9" t="n">
        <v>0.29</v>
      </c>
      <c r="D107" s="9" t="n">
        <v>0.32</v>
      </c>
      <c r="E107" s="9" t="n">
        <v>1.66</v>
      </c>
      <c r="F107" s="9" t="n">
        <v>0</v>
      </c>
      <c r="G107" s="9" t="n">
        <v>-0.18</v>
      </c>
      <c r="H107" s="9" t="n">
        <v>0.6</v>
      </c>
      <c r="I107" s="9"/>
      <c r="J107" s="9" t="n">
        <v>0.76</v>
      </c>
      <c r="K107" s="9" t="n">
        <v>1.73</v>
      </c>
      <c r="L107" s="9" t="n">
        <v>1.29</v>
      </c>
      <c r="M107" s="9"/>
      <c r="N107" s="9" t="n">
        <v>0.14</v>
      </c>
      <c r="O107" s="9" t="n">
        <v>0.33</v>
      </c>
      <c r="P107" s="9" t="n">
        <v>0.58</v>
      </c>
      <c r="Q107" s="58" t="n">
        <f aca="false">TRIMMEAN(B107:P107,2/COUNT(B107:P107))</f>
        <v>0.526363636363636</v>
      </c>
    </row>
    <row r="108" customFormat="false" ht="15.75" hidden="false" customHeight="true" outlineLevel="0" collapsed="false">
      <c r="A108" s="57" t="s">
        <v>252</v>
      </c>
      <c r="B108" s="9" t="n">
        <v>0.11</v>
      </c>
      <c r="C108" s="9" t="n">
        <v>1.27</v>
      </c>
      <c r="D108" s="9" t="n">
        <v>0.52</v>
      </c>
      <c r="E108" s="9"/>
      <c r="F108" s="9"/>
      <c r="G108" s="9" t="n">
        <v>0.96</v>
      </c>
      <c r="H108" s="9" t="n">
        <v>-0.75</v>
      </c>
      <c r="I108" s="9" t="n">
        <v>-2.39</v>
      </c>
      <c r="J108" s="9" t="n">
        <v>1.06</v>
      </c>
      <c r="K108" s="9"/>
      <c r="L108" s="9" t="n">
        <v>1.03</v>
      </c>
      <c r="M108" s="9" t="n">
        <v>-0.13</v>
      </c>
      <c r="N108" s="9"/>
      <c r="O108" s="9" t="n">
        <v>-0.66</v>
      </c>
      <c r="P108" s="9"/>
      <c r="Q108" s="58" t="n">
        <f aca="false">TRIMMEAN(B108:P108,2/COUNT(B108:P108))</f>
        <v>0.2675</v>
      </c>
    </row>
    <row r="109" customFormat="false" ht="15.75" hidden="false" customHeight="true" outlineLevel="0" collapsed="false">
      <c r="A109" s="57" t="s">
        <v>253</v>
      </c>
      <c r="B109" s="9"/>
      <c r="C109" s="9" t="n">
        <v>0.59</v>
      </c>
      <c r="D109" s="9" t="n">
        <v>-0.71</v>
      </c>
      <c r="E109" s="9" t="n">
        <v>-0.64</v>
      </c>
      <c r="F109" s="9" t="n">
        <v>-2.28</v>
      </c>
      <c r="G109" s="9"/>
      <c r="H109" s="9"/>
      <c r="I109" s="9"/>
      <c r="J109" s="9"/>
      <c r="K109" s="9"/>
      <c r="L109" s="9" t="n">
        <v>-0.47</v>
      </c>
      <c r="M109" s="9" t="n">
        <v>0.17</v>
      </c>
      <c r="N109" s="9" t="n">
        <v>-0.38</v>
      </c>
      <c r="O109" s="9" t="n">
        <v>-0.21</v>
      </c>
      <c r="P109" s="9" t="n">
        <v>0.09</v>
      </c>
      <c r="Q109" s="58" t="n">
        <f aca="false">TRIMMEAN(B109:P109,2/COUNT(B109:P109))</f>
        <v>-0.307142857142857</v>
      </c>
    </row>
    <row r="110" customFormat="false" ht="15.75" hidden="false" customHeight="true" outlineLevel="0" collapsed="false">
      <c r="A110" s="59" t="s">
        <v>254</v>
      </c>
      <c r="B110" s="9" t="n">
        <v>-1.16</v>
      </c>
      <c r="C110" s="9" t="n">
        <v>-1.07</v>
      </c>
      <c r="D110" s="9" t="n">
        <v>-1.82</v>
      </c>
      <c r="E110" s="9"/>
      <c r="F110" s="9" t="n">
        <v>0.05</v>
      </c>
      <c r="G110" s="9"/>
      <c r="H110" s="9" t="n">
        <v>0.36</v>
      </c>
      <c r="I110" s="9"/>
      <c r="J110" s="9"/>
      <c r="K110" s="9" t="n">
        <v>0.74</v>
      </c>
      <c r="L110" s="9" t="n">
        <v>-0.19</v>
      </c>
      <c r="M110" s="9" t="n">
        <v>0.65</v>
      </c>
      <c r="N110" s="9" t="n">
        <v>-1.53</v>
      </c>
      <c r="O110" s="9"/>
      <c r="P110" s="9"/>
      <c r="Q110" s="58" t="n">
        <f aca="false">TRIMMEAN(B110:P110,2/COUNT(B110:P110))</f>
        <v>-0.412857142857143</v>
      </c>
    </row>
    <row r="111" customFormat="false" ht="15.75" hidden="false" customHeight="true" outlineLevel="0" collapsed="false">
      <c r="A111" s="57" t="s">
        <v>255</v>
      </c>
      <c r="B111" s="9"/>
      <c r="C111" s="9" t="n">
        <v>-0.57</v>
      </c>
      <c r="D111" s="9" t="n">
        <v>-0.68</v>
      </c>
      <c r="E111" s="9" t="n">
        <v>-0.53</v>
      </c>
      <c r="F111" s="9" t="n">
        <v>0.45</v>
      </c>
      <c r="G111" s="9" t="n">
        <v>0.31</v>
      </c>
      <c r="H111" s="9" t="n">
        <v>1.59</v>
      </c>
      <c r="I111" s="9" t="n">
        <v>0.75</v>
      </c>
      <c r="J111" s="9"/>
      <c r="K111" s="9"/>
      <c r="L111" s="9" t="n">
        <v>0.97</v>
      </c>
      <c r="M111" s="9" t="n">
        <v>0.98</v>
      </c>
      <c r="N111" s="9" t="n">
        <v>1.77</v>
      </c>
      <c r="O111" s="9" t="n">
        <v>-0.41</v>
      </c>
      <c r="P111" s="9" t="n">
        <v>0.49</v>
      </c>
      <c r="Q111" s="58" t="n">
        <f aca="false">TRIMMEAN(B111:P111,2/COUNT(B111:P111))</f>
        <v>0.403</v>
      </c>
    </row>
    <row r="112" customFormat="false" ht="15.75" hidden="false" customHeight="true" outlineLevel="0" collapsed="false">
      <c r="A112" s="57" t="s">
        <v>256</v>
      </c>
      <c r="B112" s="9" t="n">
        <v>-0.35</v>
      </c>
      <c r="C112" s="9" t="n">
        <v>-0.96</v>
      </c>
      <c r="D112" s="9"/>
      <c r="E112" s="9" t="n">
        <v>0.1</v>
      </c>
      <c r="F112" s="9" t="n">
        <v>-0.1</v>
      </c>
      <c r="G112" s="9" t="n">
        <v>-1.58</v>
      </c>
      <c r="H112" s="9"/>
      <c r="I112" s="9"/>
      <c r="J112" s="9" t="n">
        <v>-1.6</v>
      </c>
      <c r="K112" s="9" t="n">
        <v>0.85</v>
      </c>
      <c r="L112" s="9" t="n">
        <v>0.03</v>
      </c>
      <c r="M112" s="9" t="n">
        <v>-1.28</v>
      </c>
      <c r="N112" s="9"/>
      <c r="O112" s="9"/>
      <c r="P112" s="9"/>
      <c r="Q112" s="58" t="n">
        <f aca="false">TRIMMEAN(B112:P112,2/COUNT(B112:P112))</f>
        <v>-0.591428571428571</v>
      </c>
    </row>
    <row r="113" customFormat="false" ht="15.75" hidden="false" customHeight="true" outlineLevel="0" collapsed="false">
      <c r="A113" s="59" t="s">
        <v>257</v>
      </c>
      <c r="B113" s="9"/>
      <c r="C113" s="9" t="n">
        <v>0.53</v>
      </c>
      <c r="D113" s="9"/>
      <c r="E113" s="9" t="n">
        <v>-1.11</v>
      </c>
      <c r="F113" s="9" t="n">
        <v>-1.68</v>
      </c>
      <c r="G113" s="9"/>
      <c r="H113" s="9" t="n">
        <v>0.61</v>
      </c>
      <c r="I113" s="9"/>
      <c r="J113" s="9"/>
      <c r="K113" s="9" t="n">
        <v>0.18</v>
      </c>
      <c r="L113" s="9" t="n">
        <v>-0.15</v>
      </c>
      <c r="M113" s="9" t="n">
        <v>-0.44</v>
      </c>
      <c r="N113" s="9" t="n">
        <v>-0.04</v>
      </c>
      <c r="O113" s="9" t="n">
        <v>-0.56</v>
      </c>
      <c r="P113" s="9" t="n">
        <v>0.28</v>
      </c>
      <c r="Q113" s="58" t="n">
        <f aca="false">TRIMMEAN(B113:P113,2/COUNT(B113:P113))</f>
        <v>-0.16375</v>
      </c>
    </row>
    <row r="114" customFormat="false" ht="15.75" hidden="false" customHeight="true" outlineLevel="0" collapsed="false">
      <c r="A114" s="57" t="s">
        <v>258</v>
      </c>
      <c r="B114" s="9" t="n">
        <v>0.25</v>
      </c>
      <c r="C114" s="9" t="n">
        <v>0.58</v>
      </c>
      <c r="D114" s="9" t="n">
        <v>0.67</v>
      </c>
      <c r="E114" s="9"/>
      <c r="F114" s="9"/>
      <c r="G114" s="9"/>
      <c r="H114" s="9" t="n">
        <v>1.61</v>
      </c>
      <c r="I114" s="9" t="n">
        <v>1.41</v>
      </c>
      <c r="J114" s="9" t="n">
        <v>0.57</v>
      </c>
      <c r="K114" s="9"/>
      <c r="L114" s="9" t="n">
        <v>1.03</v>
      </c>
      <c r="M114" s="9" t="n">
        <v>0.86</v>
      </c>
      <c r="N114" s="9"/>
      <c r="O114" s="9"/>
      <c r="P114" s="9"/>
      <c r="Q114" s="58" t="n">
        <f aca="false">TRIMMEAN(B114:P114,2/COUNT(B114:P114))</f>
        <v>0.853333333333333</v>
      </c>
    </row>
    <row r="115" customFormat="false" ht="15.75" hidden="false" customHeight="true" outlineLevel="0" collapsed="false">
      <c r="A115" s="57" t="s">
        <v>259</v>
      </c>
      <c r="B115" s="9"/>
      <c r="C115" s="9" t="n">
        <v>1.43</v>
      </c>
      <c r="D115" s="9"/>
      <c r="E115" s="9" t="n">
        <v>2.3</v>
      </c>
      <c r="F115" s="9" t="n">
        <v>-0.09</v>
      </c>
      <c r="G115" s="9" t="n">
        <v>0.7</v>
      </c>
      <c r="H115" s="9"/>
      <c r="I115" s="9"/>
      <c r="J115" s="9" t="n">
        <v>-0.05</v>
      </c>
      <c r="K115" s="9" t="n">
        <v>-0.17</v>
      </c>
      <c r="L115" s="9" t="n">
        <v>-2.17</v>
      </c>
      <c r="M115" s="9"/>
      <c r="N115" s="9" t="n">
        <v>0.16</v>
      </c>
      <c r="O115" s="9" t="n">
        <v>1.02</v>
      </c>
      <c r="P115" s="9" t="n">
        <v>-0.45</v>
      </c>
      <c r="Q115" s="58" t="n">
        <f aca="false">TRIMMEAN(B115:P115,2/COUNT(B115:P115))</f>
        <v>0.31875</v>
      </c>
    </row>
    <row r="116" customFormat="false" ht="15.75" hidden="false" customHeight="true" outlineLevel="0" collapsed="false">
      <c r="A116" s="59" t="s">
        <v>260</v>
      </c>
      <c r="B116" s="9"/>
      <c r="C116" s="9" t="n">
        <v>0.55</v>
      </c>
      <c r="D116" s="9"/>
      <c r="E116" s="9" t="n">
        <v>-0.57</v>
      </c>
      <c r="F116" s="9" t="n">
        <v>-0.15</v>
      </c>
      <c r="G116" s="9"/>
      <c r="H116" s="9" t="n">
        <v>-1.2</v>
      </c>
      <c r="I116" s="9"/>
      <c r="J116" s="9"/>
      <c r="K116" s="9" t="n">
        <v>-0.71</v>
      </c>
      <c r="L116" s="9" t="n">
        <v>-0.24</v>
      </c>
      <c r="M116" s="9" t="n">
        <v>-0.79</v>
      </c>
      <c r="N116" s="9" t="n">
        <v>-0.08</v>
      </c>
      <c r="O116" s="9" t="n">
        <v>-0.49</v>
      </c>
      <c r="P116" s="9" t="n">
        <v>-0.37</v>
      </c>
      <c r="Q116" s="58" t="n">
        <f aca="false">TRIMMEAN(B116:P116,2/COUNT(B116:P116))</f>
        <v>-0.425</v>
      </c>
    </row>
    <row r="117" customFormat="false" ht="15.75" hidden="false" customHeight="true" outlineLevel="0" collapsed="false">
      <c r="A117" s="57" t="s">
        <v>261</v>
      </c>
      <c r="B117" s="9" t="n">
        <v>-0.89</v>
      </c>
      <c r="C117" s="9" t="n">
        <v>0.07</v>
      </c>
      <c r="D117" s="9" t="n">
        <v>-0.26</v>
      </c>
      <c r="E117" s="9" t="n">
        <v>-0.32</v>
      </c>
      <c r="F117" s="9" t="n">
        <v>-3.02</v>
      </c>
      <c r="G117" s="9" t="n">
        <v>-0.25</v>
      </c>
      <c r="H117" s="9"/>
      <c r="I117" s="9" t="n">
        <v>-0.97</v>
      </c>
      <c r="J117" s="9" t="n">
        <v>-0.57</v>
      </c>
      <c r="K117" s="9" t="n">
        <v>-0.97</v>
      </c>
      <c r="L117" s="9" t="n">
        <v>-1.16</v>
      </c>
      <c r="M117" s="9" t="n">
        <v>-0.04</v>
      </c>
      <c r="N117" s="9" t="n">
        <v>-0.7</v>
      </c>
      <c r="O117" s="9" t="n">
        <v>0.26</v>
      </c>
      <c r="P117" s="9" t="n">
        <v>-0.01</v>
      </c>
      <c r="Q117" s="58" t="n">
        <f aca="false">TRIMMEAN(B117:P117,2/COUNT(B117:P117))</f>
        <v>-0.505833333333333</v>
      </c>
    </row>
    <row r="118" customFormat="false" ht="15.75" hidden="false" customHeight="true" outlineLevel="0" collapsed="false">
      <c r="A118" s="59" t="s">
        <v>262</v>
      </c>
      <c r="B118" s="9"/>
      <c r="C118" s="9" t="n">
        <v>-2.98</v>
      </c>
      <c r="D118" s="9" t="n">
        <v>0.26</v>
      </c>
      <c r="E118" s="9" t="n">
        <v>1.28</v>
      </c>
      <c r="F118" s="9" t="n">
        <v>-3.19</v>
      </c>
      <c r="G118" s="9"/>
      <c r="H118" s="9" t="n">
        <v>-3.64</v>
      </c>
      <c r="I118" s="9"/>
      <c r="J118" s="9"/>
      <c r="K118" s="9" t="n">
        <v>1.3</v>
      </c>
      <c r="L118" s="9" t="n">
        <v>0.62</v>
      </c>
      <c r="M118" s="9" t="n">
        <v>1.26</v>
      </c>
      <c r="N118" s="9" t="n">
        <v>1.99</v>
      </c>
      <c r="O118" s="9" t="n">
        <v>-0.13</v>
      </c>
      <c r="P118" s="9" t="n">
        <v>-1.45</v>
      </c>
      <c r="Q118" s="58" t="n">
        <f aca="false">TRIMMEAN(B118:P118,2/COUNT(B118:P118))</f>
        <v>-0.336666666666667</v>
      </c>
    </row>
    <row r="119" customFormat="false" ht="15.75" hidden="false" customHeight="true" outlineLevel="0" collapsed="false">
      <c r="A119" s="57" t="s">
        <v>263</v>
      </c>
      <c r="B119" s="9" t="n">
        <v>-5.55</v>
      </c>
      <c r="C119" s="9" t="n">
        <v>-0.46</v>
      </c>
      <c r="D119" s="9"/>
      <c r="E119" s="9" t="n">
        <v>-1.43</v>
      </c>
      <c r="F119" s="9" t="n">
        <v>-1.94</v>
      </c>
      <c r="G119" s="9" t="n">
        <v>-0.88</v>
      </c>
      <c r="H119" s="9"/>
      <c r="I119" s="9"/>
      <c r="J119" s="9" t="n">
        <v>-1.2</v>
      </c>
      <c r="K119" s="9" t="n">
        <v>0.44</v>
      </c>
      <c r="L119" s="9" t="n">
        <v>-1.86</v>
      </c>
      <c r="M119" s="9" t="n">
        <v>-1.46</v>
      </c>
      <c r="N119" s="9"/>
      <c r="O119" s="9"/>
      <c r="P119" s="9"/>
      <c r="Q119" s="58" t="n">
        <f aca="false">TRIMMEAN(B119:P119,2/COUNT(B119:P119))</f>
        <v>-1.31857142857143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 t="n">
        <v>0.12</v>
      </c>
      <c r="I120" s="9" t="n">
        <v>0.97</v>
      </c>
      <c r="J120" s="9" t="n">
        <v>-1.17</v>
      </c>
      <c r="K120" s="9"/>
      <c r="L120" s="9" t="n">
        <v>0.5</v>
      </c>
      <c r="M120" s="9" t="n">
        <v>1.46</v>
      </c>
      <c r="N120" s="9" t="n">
        <v>-1.25</v>
      </c>
      <c r="O120" s="9" t="n">
        <v>0.02</v>
      </c>
      <c r="P120" s="9" t="n">
        <v>1.93</v>
      </c>
      <c r="Q120" s="58" t="n">
        <f aca="false">TRIMMEAN(B120:P120,2/COUNT(B120:P120))</f>
        <v>0.316666666666667</v>
      </c>
    </row>
    <row r="121" customFormat="false" ht="15.75" hidden="false" customHeight="true" outlineLevel="0" collapsed="false">
      <c r="A121" s="57" t="s">
        <v>265</v>
      </c>
      <c r="B121" s="9"/>
      <c r="C121" s="9" t="n">
        <v>0.84</v>
      </c>
      <c r="D121" s="9" t="n">
        <v>0.62</v>
      </c>
      <c r="E121" s="9" t="n">
        <v>1.05</v>
      </c>
      <c r="F121" s="9" t="n">
        <v>0.02</v>
      </c>
      <c r="G121" s="9" t="n">
        <v>-1.22</v>
      </c>
      <c r="H121" s="9"/>
      <c r="I121" s="9"/>
      <c r="J121" s="9" t="n">
        <v>1.4</v>
      </c>
      <c r="K121" s="9" t="n">
        <v>0.36</v>
      </c>
      <c r="L121" s="9" t="n">
        <v>-0.62</v>
      </c>
      <c r="M121" s="9" t="n">
        <v>0.51</v>
      </c>
      <c r="N121" s="9" t="n">
        <v>0.11</v>
      </c>
      <c r="O121" s="9"/>
      <c r="P121" s="9"/>
      <c r="Q121" s="58" t="n">
        <f aca="false">TRIMMEAN(B121:P121,2/COUNT(B121:P121))</f>
        <v>0.36125</v>
      </c>
    </row>
    <row r="122" customFormat="false" ht="15.75" hidden="false" customHeight="true" outlineLevel="0" collapsed="false">
      <c r="A122" s="59" t="s">
        <v>266</v>
      </c>
      <c r="B122" s="9"/>
      <c r="C122" s="9" t="n">
        <v>-1.63</v>
      </c>
      <c r="D122" s="9" t="n">
        <v>0.65</v>
      </c>
      <c r="E122" s="9"/>
      <c r="F122" s="9" t="n">
        <v>-0.22</v>
      </c>
      <c r="G122" s="9" t="n">
        <v>0.8</v>
      </c>
      <c r="H122" s="9"/>
      <c r="I122" s="9" t="n">
        <v>1.58</v>
      </c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0.41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 t="n">
        <v>0.64</v>
      </c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-2.21</v>
      </c>
      <c r="C124" s="9" t="n">
        <v>-2.9</v>
      </c>
      <c r="D124" s="9"/>
      <c r="E124" s="9" t="n">
        <v>-2.33</v>
      </c>
      <c r="F124" s="9" t="n">
        <v>0.03</v>
      </c>
      <c r="G124" s="9" t="n">
        <v>-0.18</v>
      </c>
      <c r="H124" s="9"/>
      <c r="I124" s="9"/>
      <c r="J124" s="9" t="n">
        <v>0.17</v>
      </c>
      <c r="K124" s="9" t="n">
        <v>1.38</v>
      </c>
      <c r="L124" s="9" t="n">
        <v>-1.13</v>
      </c>
      <c r="M124" s="9" t="n">
        <v>0.12</v>
      </c>
      <c r="N124" s="9"/>
      <c r="O124" s="9"/>
      <c r="P124" s="9"/>
      <c r="Q124" s="58" t="n">
        <f aca="false">TRIMMEAN(B124:P124,2/COUNT(B124:P124))</f>
        <v>-0.79</v>
      </c>
    </row>
    <row r="125" customFormat="false" ht="15.75" hidden="false" customHeight="true" outlineLevel="0" collapsed="false">
      <c r="A125" s="59" t="s">
        <v>269</v>
      </c>
      <c r="B125" s="9"/>
      <c r="C125" s="9" t="n">
        <v>-0.61</v>
      </c>
      <c r="D125" s="9"/>
      <c r="E125" s="9" t="n">
        <v>-1.15</v>
      </c>
      <c r="F125" s="9" t="n">
        <v>-0.11</v>
      </c>
      <c r="G125" s="9"/>
      <c r="H125" s="9" t="n">
        <v>-0.46</v>
      </c>
      <c r="I125" s="9"/>
      <c r="J125" s="9"/>
      <c r="K125" s="9" t="n">
        <v>-0.52</v>
      </c>
      <c r="L125" s="9" t="n">
        <v>-0.91</v>
      </c>
      <c r="M125" s="9" t="n">
        <v>-0.36</v>
      </c>
      <c r="N125" s="9" t="n">
        <v>0.23</v>
      </c>
      <c r="O125" s="9" t="n">
        <v>-1.08</v>
      </c>
      <c r="P125" s="9" t="n">
        <v>0.37</v>
      </c>
      <c r="Q125" s="58" t="n">
        <f aca="false">TRIMMEAN(B125:P125,2/COUNT(B125:P125))</f>
        <v>-0.4775</v>
      </c>
    </row>
    <row r="126" customFormat="false" ht="15.75" hidden="false" customHeight="true" outlineLevel="0" collapsed="false">
      <c r="A126" s="57" t="s">
        <v>270</v>
      </c>
      <c r="B126" s="9" t="n">
        <v>-0.49</v>
      </c>
      <c r="C126" s="9" t="n">
        <v>0.51</v>
      </c>
      <c r="D126" s="9" t="n">
        <v>0.29</v>
      </c>
      <c r="E126" s="9" t="n">
        <v>1.32</v>
      </c>
      <c r="F126" s="9" t="n">
        <v>0.13</v>
      </c>
      <c r="G126" s="9"/>
      <c r="H126" s="9"/>
      <c r="I126" s="9"/>
      <c r="J126" s="9" t="n">
        <v>2.2</v>
      </c>
      <c r="K126" s="9" t="n">
        <v>0.95</v>
      </c>
      <c r="L126" s="9" t="n">
        <v>-2.43</v>
      </c>
      <c r="M126" s="9" t="n">
        <v>0.04</v>
      </c>
      <c r="N126" s="9"/>
      <c r="O126" s="9"/>
      <c r="P126" s="9"/>
      <c r="Q126" s="58" t="n">
        <f aca="false">TRIMMEAN(B126:P126,2/COUNT(B126:P126))</f>
        <v>0.392857142857143</v>
      </c>
    </row>
    <row r="127" customFormat="false" ht="15.75" hidden="false" customHeight="true" outlineLevel="0" collapsed="false">
      <c r="A127" s="59" t="s">
        <v>271</v>
      </c>
      <c r="B127" s="9"/>
      <c r="C127" s="9" t="n">
        <v>-1.32</v>
      </c>
      <c r="D127" s="9"/>
      <c r="E127" s="9" t="n">
        <v>-0.02</v>
      </c>
      <c r="F127" s="9" t="n">
        <v>0.35</v>
      </c>
      <c r="G127" s="9"/>
      <c r="H127" s="9" t="n">
        <v>0.35</v>
      </c>
      <c r="I127" s="9"/>
      <c r="J127" s="9"/>
      <c r="K127" s="9" t="n">
        <v>0.51</v>
      </c>
      <c r="L127" s="9" t="n">
        <v>-0.03</v>
      </c>
      <c r="M127" s="9" t="n">
        <v>-0.05</v>
      </c>
      <c r="N127" s="9" t="n">
        <v>-0.65</v>
      </c>
      <c r="O127" s="9" t="n">
        <v>-0.78</v>
      </c>
      <c r="P127" s="9" t="n">
        <v>-0.05</v>
      </c>
      <c r="Q127" s="58" t="n">
        <f aca="false">TRIMMEAN(B127:P127,2/COUNT(B127:P127))</f>
        <v>-0.11</v>
      </c>
    </row>
    <row r="128" customFormat="false" ht="15.75" hidden="false" customHeight="true" outlineLevel="0" collapsed="false">
      <c r="A128" s="57" t="s">
        <v>272</v>
      </c>
      <c r="B128" s="9" t="n">
        <v>1.22</v>
      </c>
      <c r="C128" s="9" t="n">
        <v>-0.27</v>
      </c>
      <c r="D128" s="9"/>
      <c r="E128" s="9" t="n">
        <v>-0.5</v>
      </c>
      <c r="F128" s="9" t="n">
        <v>0.76</v>
      </c>
      <c r="G128" s="9" t="n">
        <v>-1.73</v>
      </c>
      <c r="H128" s="9"/>
      <c r="I128" s="9"/>
      <c r="J128" s="9" t="n">
        <v>-1.84</v>
      </c>
      <c r="K128" s="9" t="n">
        <v>-1.46</v>
      </c>
      <c r="L128" s="9" t="n">
        <v>-1.06</v>
      </c>
      <c r="M128" s="9" t="n">
        <v>-0.1</v>
      </c>
      <c r="N128" s="9"/>
      <c r="O128" s="9"/>
      <c r="P128" s="9"/>
      <c r="Q128" s="58" t="n">
        <f aca="false">TRIMMEAN(B128:P128,2/COUNT(B128:P128))</f>
        <v>-0.622857142857143</v>
      </c>
    </row>
    <row r="129" customFormat="false" ht="15.75" hidden="false" customHeight="true" outlineLevel="0" collapsed="false">
      <c r="A129" s="57" t="s">
        <v>273</v>
      </c>
      <c r="B129" s="9"/>
      <c r="C129" s="9" t="n">
        <v>0.69</v>
      </c>
      <c r="D129" s="9" t="n">
        <v>-0.27</v>
      </c>
      <c r="E129" s="9" t="n">
        <v>1.58</v>
      </c>
      <c r="F129" s="9" t="n">
        <v>0.66</v>
      </c>
      <c r="G129" s="9"/>
      <c r="H129" s="9" t="n">
        <v>0.13</v>
      </c>
      <c r="I129" s="9" t="n">
        <v>1.67</v>
      </c>
      <c r="J129" s="9"/>
      <c r="K129" s="9" t="n">
        <v>0.62</v>
      </c>
      <c r="L129" s="9" t="n">
        <v>1.3</v>
      </c>
      <c r="M129" s="9" t="n">
        <v>0.16</v>
      </c>
      <c r="N129" s="9" t="n">
        <v>-2.61</v>
      </c>
      <c r="O129" s="9" t="n">
        <v>-0.42</v>
      </c>
      <c r="P129" s="9" t="n">
        <v>0.06</v>
      </c>
      <c r="Q129" s="58" t="n">
        <f aca="false">TRIMMEAN(B129:P129,2/COUNT(B129:P129))</f>
        <v>0.451</v>
      </c>
    </row>
    <row r="130" customFormat="false" ht="15.75" hidden="false" customHeight="true" outlineLevel="0" collapsed="false">
      <c r="A130" s="59" t="s">
        <v>274</v>
      </c>
      <c r="B130" s="9"/>
      <c r="C130" s="9" t="n">
        <v>0.6</v>
      </c>
      <c r="D130" s="9"/>
      <c r="E130" s="9" t="n">
        <v>-0.55</v>
      </c>
      <c r="F130" s="9"/>
      <c r="G130" s="9"/>
      <c r="H130" s="9"/>
      <c r="I130" s="9"/>
      <c r="J130" s="9"/>
      <c r="K130" s="9" t="n">
        <v>0.29</v>
      </c>
      <c r="L130" s="9" t="n">
        <v>0.58</v>
      </c>
      <c r="M130" s="9" t="n">
        <v>0.09</v>
      </c>
      <c r="N130" s="9"/>
      <c r="O130" s="9"/>
      <c r="P130" s="9"/>
      <c r="Q130" s="58" t="n">
        <f aca="false">TRIMMEAN(B130:P130,2/COUNT(B130:P130))</f>
        <v>0.32</v>
      </c>
    </row>
    <row r="131" customFormat="false" ht="15.75" hidden="false" customHeight="true" outlineLevel="0" collapsed="false">
      <c r="A131" s="57" t="s">
        <v>275</v>
      </c>
      <c r="B131" s="9" t="n">
        <v>-0.31</v>
      </c>
      <c r="C131" s="9" t="n">
        <v>0.74</v>
      </c>
      <c r="D131" s="9" t="n">
        <v>-0.14</v>
      </c>
      <c r="E131" s="9"/>
      <c r="F131" s="9" t="n">
        <v>0.71</v>
      </c>
      <c r="G131" s="9" t="n">
        <v>0.07</v>
      </c>
      <c r="H131" s="9"/>
      <c r="I131" s="9" t="n">
        <v>-0.46</v>
      </c>
      <c r="J131" s="9" t="n">
        <v>0.84</v>
      </c>
      <c r="K131" s="9" t="n">
        <v>-0.41</v>
      </c>
      <c r="L131" s="9" t="n">
        <v>0.69</v>
      </c>
      <c r="M131" s="9" t="n">
        <v>0.39</v>
      </c>
      <c r="N131" s="9" t="n">
        <v>1.13</v>
      </c>
      <c r="O131" s="9" t="n">
        <v>-0.1</v>
      </c>
      <c r="P131" s="9" t="n">
        <v>0.87</v>
      </c>
      <c r="Q131" s="58" t="n">
        <f aca="false">TRIMMEAN(B131:P131,2/COUNT(B131:P131))</f>
        <v>0.304545454545455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1.73</v>
      </c>
      <c r="C133" s="9" t="n">
        <v>0.2</v>
      </c>
      <c r="D133" s="9" t="n">
        <v>-0.4</v>
      </c>
      <c r="E133" s="9" t="n">
        <v>0.21</v>
      </c>
      <c r="F133" s="9"/>
      <c r="G133" s="9" t="n">
        <v>1.33</v>
      </c>
      <c r="H133" s="9"/>
      <c r="I133" s="9" t="n">
        <v>1.89</v>
      </c>
      <c r="J133" s="9" t="n">
        <v>1</v>
      </c>
      <c r="K133" s="9"/>
      <c r="L133" s="9" t="n">
        <v>0.78</v>
      </c>
      <c r="M133" s="9" t="n">
        <v>0.48</v>
      </c>
      <c r="N133" s="9"/>
      <c r="O133" s="9" t="n">
        <v>0.91</v>
      </c>
      <c r="P133" s="9"/>
      <c r="Q133" s="58" t="n">
        <f aca="false">TRIMMEAN(B133:P133,2/COUNT(B133:P133))</f>
        <v>0.83</v>
      </c>
    </row>
    <row r="134" customFormat="false" ht="15.75" hidden="false" customHeight="true" outlineLevel="0" collapsed="false">
      <c r="A134" s="57" t="s">
        <v>13</v>
      </c>
      <c r="B134" s="9"/>
      <c r="C134" s="9" t="n">
        <v>1.45</v>
      </c>
      <c r="D134" s="9"/>
      <c r="E134" s="9" t="n">
        <v>1.18</v>
      </c>
      <c r="F134" s="9" t="n">
        <v>0.39</v>
      </c>
      <c r="G134" s="9"/>
      <c r="H134" s="9" t="n">
        <v>0.69</v>
      </c>
      <c r="I134" s="9" t="n">
        <v>0.94</v>
      </c>
      <c r="J134" s="9"/>
      <c r="K134" s="9" t="n">
        <v>1.21</v>
      </c>
      <c r="L134" s="9" t="n">
        <v>1.95</v>
      </c>
      <c r="M134" s="9" t="n">
        <v>1.92</v>
      </c>
      <c r="N134" s="9" t="n">
        <v>1.03</v>
      </c>
      <c r="O134" s="9"/>
      <c r="P134" s="9" t="n">
        <v>1.09</v>
      </c>
      <c r="Q134" s="58" t="n">
        <f aca="false">TRIMMEAN(B134:P134,2/COUNT(B134:P134))</f>
        <v>1.18875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 t="n">
        <v>1.28</v>
      </c>
      <c r="E135" s="9" t="n">
        <v>0.22</v>
      </c>
      <c r="F135" s="9" t="n">
        <v>-1.8</v>
      </c>
      <c r="G135" s="9"/>
      <c r="H135" s="9" t="n">
        <v>1.15</v>
      </c>
      <c r="I135" s="9" t="n">
        <v>-0.37</v>
      </c>
      <c r="J135" s="9"/>
      <c r="K135" s="9"/>
      <c r="L135" s="9" t="n">
        <v>1.1</v>
      </c>
      <c r="M135" s="9"/>
      <c r="N135" s="9" t="n">
        <v>1.1</v>
      </c>
      <c r="O135" s="9" t="n">
        <v>1.16</v>
      </c>
      <c r="P135" s="9" t="n">
        <v>0.51</v>
      </c>
      <c r="Q135" s="58" t="n">
        <f aca="false">TRIMMEAN(B135:P135,2/COUNT(B135:P135))</f>
        <v>0.695714285714286</v>
      </c>
    </row>
    <row r="136" customFormat="false" ht="15.75" hidden="false" customHeight="true" outlineLevel="0" collapsed="false">
      <c r="A136" s="57" t="s">
        <v>279</v>
      </c>
      <c r="B136" s="9" t="n">
        <v>1.17</v>
      </c>
      <c r="C136" s="9" t="n">
        <v>1.55</v>
      </c>
      <c r="D136" s="9" t="n">
        <v>0.37</v>
      </c>
      <c r="E136" s="9"/>
      <c r="F136" s="9"/>
      <c r="G136" s="9" t="n">
        <v>0.13</v>
      </c>
      <c r="H136" s="9"/>
      <c r="I136" s="9" t="n">
        <v>0.94</v>
      </c>
      <c r="J136" s="9" t="n">
        <v>2.09</v>
      </c>
      <c r="K136" s="9"/>
      <c r="L136" s="9" t="n">
        <v>-1.12</v>
      </c>
      <c r="M136" s="9" t="n">
        <v>0.7</v>
      </c>
      <c r="N136" s="9" t="n">
        <v>0.25</v>
      </c>
      <c r="O136" s="9"/>
      <c r="P136" s="9"/>
      <c r="Q136" s="58" t="n">
        <f aca="false">TRIMMEAN(B136:P136,2/COUNT(B136:P136))</f>
        <v>0.73</v>
      </c>
    </row>
    <row r="137" customFormat="false" ht="15.75" hidden="false" customHeight="true" outlineLevel="0" collapsed="false">
      <c r="A137" s="59" t="s">
        <v>280</v>
      </c>
      <c r="B137" s="9"/>
      <c r="C137" s="9" t="n">
        <v>-0.88</v>
      </c>
      <c r="D137" s="9"/>
      <c r="E137" s="9" t="n">
        <v>1.15</v>
      </c>
      <c r="F137" s="9" t="n">
        <v>-1.98</v>
      </c>
      <c r="G137" s="9"/>
      <c r="H137" s="9" t="n">
        <v>-2.14</v>
      </c>
      <c r="I137" s="9"/>
      <c r="J137" s="9"/>
      <c r="K137" s="9" t="n">
        <v>-2.46</v>
      </c>
      <c r="L137" s="9" t="n">
        <v>-0.14</v>
      </c>
      <c r="M137" s="9"/>
      <c r="N137" s="9" t="n">
        <v>-1.51</v>
      </c>
      <c r="O137" s="9" t="n">
        <v>-0.54</v>
      </c>
      <c r="P137" s="9" t="n">
        <v>-0.32</v>
      </c>
      <c r="Q137" s="58" t="n">
        <f aca="false">TRIMMEAN(B137:P137,2/COUNT(B137:P137))</f>
        <v>-1.07285714285714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 t="n">
        <v>-0.54</v>
      </c>
      <c r="J138" s="9" t="n">
        <v>-0.12</v>
      </c>
      <c r="K138" s="9"/>
      <c r="L138" s="9" t="n">
        <v>1.41</v>
      </c>
      <c r="M138" s="9" t="n">
        <v>0.12</v>
      </c>
      <c r="N138" s="9" t="n">
        <v>1.82</v>
      </c>
      <c r="O138" s="9" t="n">
        <v>-0.23</v>
      </c>
      <c r="P138" s="9"/>
      <c r="Q138" s="58" t="n">
        <f aca="false">TRIMMEAN(B138:P138,2/COUNT(B138:P138))</f>
        <v>0.295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1.03</v>
      </c>
      <c r="D140" s="9" t="n">
        <v>-0.44</v>
      </c>
      <c r="E140" s="9" t="n">
        <v>0.51</v>
      </c>
      <c r="F140" s="9"/>
      <c r="G140" s="9"/>
      <c r="H140" s="9" t="n">
        <v>0.21</v>
      </c>
      <c r="I140" s="9" t="n">
        <v>-1.56</v>
      </c>
      <c r="J140" s="9"/>
      <c r="K140" s="9"/>
      <c r="L140" s="9" t="n">
        <v>0.92</v>
      </c>
      <c r="M140" s="9" t="n">
        <v>0.22</v>
      </c>
      <c r="N140" s="9"/>
      <c r="O140" s="9"/>
      <c r="P140" s="9" t="n">
        <v>-0.18</v>
      </c>
      <c r="Q140" s="58" t="n">
        <f aca="false">TRIMMEAN(B140:P140,2/COUNT(B140:P140))</f>
        <v>0.206666666666667</v>
      </c>
    </row>
    <row r="141" customFormat="false" ht="15.75" hidden="false" customHeight="true" outlineLevel="0" collapsed="false">
      <c r="A141" s="59" t="s">
        <v>284</v>
      </c>
      <c r="B141" s="9"/>
      <c r="C141" s="9" t="n">
        <v>-0.17</v>
      </c>
      <c r="D141" s="9"/>
      <c r="E141" s="9" t="n">
        <v>-0.15</v>
      </c>
      <c r="F141" s="9" t="n">
        <v>1.58</v>
      </c>
      <c r="G141" s="9"/>
      <c r="H141" s="9"/>
      <c r="I141" s="9"/>
      <c r="J141" s="9"/>
      <c r="K141" s="9" t="n">
        <v>0.8</v>
      </c>
      <c r="L141" s="9" t="n">
        <v>-0.39</v>
      </c>
      <c r="M141" s="9"/>
      <c r="N141" s="9" t="n">
        <v>2.16</v>
      </c>
      <c r="O141" s="9" t="n">
        <v>0.35</v>
      </c>
      <c r="P141" s="9" t="n">
        <v>-0.13</v>
      </c>
      <c r="Q141" s="58" t="n">
        <f aca="false">TRIMMEAN(B141:P141,2/COUNT(B141:P141))</f>
        <v>0.38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 t="n">
        <v>0.51</v>
      </c>
      <c r="J142" s="9"/>
      <c r="K142" s="9" t="n">
        <v>-1.04</v>
      </c>
      <c r="L142" s="9" t="n">
        <v>0.08</v>
      </c>
      <c r="M142" s="9"/>
      <c r="N142" s="9" t="n">
        <v>2.34</v>
      </c>
      <c r="O142" s="9" t="n">
        <v>0.53</v>
      </c>
      <c r="P142" s="9" t="n">
        <v>0.36</v>
      </c>
      <c r="Q142" s="58" t="n">
        <f aca="false">TRIMMEAN(B142:P142,2/COUNT(B142:P142))</f>
        <v>0.37</v>
      </c>
    </row>
    <row r="143" customFormat="false" ht="15.75" hidden="false" customHeight="true" outlineLevel="0" collapsed="false">
      <c r="A143" s="57" t="s">
        <v>286</v>
      </c>
      <c r="B143" s="9" t="n">
        <v>-1.46</v>
      </c>
      <c r="C143" s="9" t="n">
        <v>-0.3</v>
      </c>
      <c r="D143" s="9"/>
      <c r="E143" s="9"/>
      <c r="F143" s="9"/>
      <c r="G143" s="9"/>
      <c r="H143" s="9"/>
      <c r="I143" s="9"/>
      <c r="J143" s="9" t="n">
        <v>-1.33</v>
      </c>
      <c r="K143" s="9" t="n">
        <v>0.02</v>
      </c>
      <c r="L143" s="9" t="n">
        <v>-0.42</v>
      </c>
      <c r="M143" s="9"/>
      <c r="N143" s="9"/>
      <c r="O143" s="9"/>
      <c r="P143" s="9"/>
      <c r="Q143" s="58" t="n">
        <f aca="false">TRIMMEAN(B143:P143,2/COUNT(B143:P143))</f>
        <v>-0.683333333333333</v>
      </c>
    </row>
    <row r="144" customFormat="false" ht="15.75" hidden="false" customHeight="true" outlineLevel="0" collapsed="false">
      <c r="A144" s="59" t="s">
        <v>287</v>
      </c>
      <c r="B144" s="9"/>
      <c r="C144" s="9" t="n">
        <v>-0.22</v>
      </c>
      <c r="D144" s="9"/>
      <c r="E144" s="9" t="n">
        <v>-0.35</v>
      </c>
      <c r="F144" s="9" t="n">
        <v>0.77</v>
      </c>
      <c r="G144" s="9" t="n">
        <v>0.26</v>
      </c>
      <c r="H144" s="9"/>
      <c r="I144" s="9"/>
      <c r="J144" s="9"/>
      <c r="K144" s="9" t="n">
        <v>-0.19</v>
      </c>
      <c r="L144" s="9"/>
      <c r="M144" s="9"/>
      <c r="N144" s="9" t="n">
        <v>-2.83</v>
      </c>
      <c r="O144" s="9" t="n">
        <v>1.31</v>
      </c>
      <c r="P144" s="9" t="n">
        <v>-0.46</v>
      </c>
      <c r="Q144" s="58" t="n">
        <f aca="false">TRIMMEAN(B144:P144,2/COUNT(B144:P144))</f>
        <v>-0.0316666666666667</v>
      </c>
    </row>
    <row r="145" customFormat="false" ht="15.75" hidden="false" customHeight="true" outlineLevel="0" collapsed="false">
      <c r="A145" s="57" t="s">
        <v>288</v>
      </c>
      <c r="B145" s="9" t="n">
        <v>0.22</v>
      </c>
      <c r="C145" s="9"/>
      <c r="D145" s="9"/>
      <c r="E145" s="9" t="n">
        <v>-1.33</v>
      </c>
      <c r="F145" s="9"/>
      <c r="G145" s="9" t="n">
        <v>-1.43</v>
      </c>
      <c r="H145" s="9"/>
      <c r="I145" s="9"/>
      <c r="J145" s="9" t="n">
        <v>-0.17</v>
      </c>
      <c r="K145" s="9" t="n">
        <v>0.6</v>
      </c>
      <c r="L145" s="9" t="n">
        <v>-1.15</v>
      </c>
      <c r="M145" s="9" t="n">
        <v>-1.36</v>
      </c>
      <c r="N145" s="9"/>
      <c r="O145" s="9"/>
      <c r="P145" s="9"/>
      <c r="Q145" s="58" t="n">
        <f aca="false">TRIMMEAN(B145:P145,2/COUNT(B145:P145))</f>
        <v>-0.758</v>
      </c>
    </row>
    <row r="146" customFormat="false" ht="15.75" hidden="false" customHeight="true" outlineLevel="0" collapsed="false">
      <c r="A146" s="57" t="s">
        <v>289</v>
      </c>
      <c r="B146" s="9" t="n">
        <v>-0.32</v>
      </c>
      <c r="C146" s="9" t="n">
        <v>-0.24</v>
      </c>
      <c r="D146" s="9"/>
      <c r="E146" s="9" t="n">
        <v>-2.32</v>
      </c>
      <c r="F146" s="9" t="n">
        <v>0.38</v>
      </c>
      <c r="G146" s="9" t="n">
        <v>-2.85</v>
      </c>
      <c r="H146" s="9"/>
      <c r="I146" s="9"/>
      <c r="J146" s="9" t="n">
        <v>0.81</v>
      </c>
      <c r="K146" s="9" t="n">
        <v>-1.67</v>
      </c>
      <c r="L146" s="9" t="n">
        <v>0.36</v>
      </c>
      <c r="M146" s="9" t="n">
        <v>0.17</v>
      </c>
      <c r="N146" s="9"/>
      <c r="O146" s="9"/>
      <c r="P146" s="9"/>
      <c r="Q146" s="58" t="n">
        <f aca="false">TRIMMEAN(B146:P146,2/COUNT(B146:P146))</f>
        <v>-0.52</v>
      </c>
    </row>
    <row r="147" customFormat="false" ht="15.75" hidden="false" customHeight="true" outlineLevel="0" collapsed="false">
      <c r="A147" s="59" t="s">
        <v>290</v>
      </c>
      <c r="B147" s="9"/>
      <c r="C147" s="9" t="n">
        <v>-0.68</v>
      </c>
      <c r="D147" s="9"/>
      <c r="E147" s="9" t="n">
        <v>-2.11</v>
      </c>
      <c r="F147" s="9"/>
      <c r="G147" s="9"/>
      <c r="H147" s="9"/>
      <c r="I147" s="9"/>
      <c r="J147" s="9"/>
      <c r="K147" s="9" t="n">
        <v>-1.31</v>
      </c>
      <c r="L147" s="9" t="n">
        <v>-1.12</v>
      </c>
      <c r="M147" s="9"/>
      <c r="N147" s="9"/>
      <c r="O147" s="9"/>
      <c r="P147" s="9"/>
      <c r="Q147" s="58" t="n">
        <f aca="false">TRIMMEAN(B147:P147,2/COUNT(B147:P147))</f>
        <v>-1.215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-0.58</v>
      </c>
      <c r="D149" s="9"/>
      <c r="E149" s="9" t="n">
        <v>-2.85</v>
      </c>
      <c r="F149" s="9" t="n">
        <v>-1.83</v>
      </c>
      <c r="G149" s="9"/>
      <c r="H149" s="9" t="n">
        <v>-1.92</v>
      </c>
      <c r="I149" s="9"/>
      <c r="J149" s="9"/>
      <c r="K149" s="9" t="n">
        <v>-2.02</v>
      </c>
      <c r="L149" s="9" t="n">
        <v>-1.35</v>
      </c>
      <c r="M149" s="9" t="n">
        <v>-3.12</v>
      </c>
      <c r="N149" s="9" t="n">
        <v>-0.56</v>
      </c>
      <c r="O149" s="9" t="n">
        <v>-3.22</v>
      </c>
      <c r="P149" s="9" t="n">
        <v>-1.78</v>
      </c>
      <c r="Q149" s="58" t="n">
        <f aca="false">TRIMMEAN(B149:P149,2/COUNT(B149:P149))</f>
        <v>-1.93125</v>
      </c>
    </row>
    <row r="150" customFormat="false" ht="15.75" hidden="false" customHeight="true" outlineLevel="0" collapsed="false">
      <c r="A150" s="57" t="s">
        <v>293</v>
      </c>
      <c r="B150" s="9" t="n">
        <v>-1.46</v>
      </c>
      <c r="C150" s="9" t="n">
        <v>0.23</v>
      </c>
      <c r="D150" s="9"/>
      <c r="E150" s="9" t="n">
        <v>-0.21</v>
      </c>
      <c r="F150" s="9" t="n">
        <v>-1.12</v>
      </c>
      <c r="G150" s="9" t="n">
        <v>-0.2</v>
      </c>
      <c r="H150" s="9"/>
      <c r="I150" s="9"/>
      <c r="J150" s="9" t="n">
        <v>-0.82</v>
      </c>
      <c r="K150" s="9" t="n">
        <v>-1.41</v>
      </c>
      <c r="L150" s="9" t="n">
        <v>-1.6</v>
      </c>
      <c r="M150" s="9"/>
      <c r="N150" s="9"/>
      <c r="O150" s="9"/>
      <c r="P150" s="9"/>
      <c r="Q150" s="58" t="n">
        <f aca="false">TRIMMEAN(B150:P150,2/COUNT(B150:P150))</f>
        <v>-0.87</v>
      </c>
    </row>
    <row r="151" customFormat="false" ht="15.75" hidden="false" customHeight="true" outlineLevel="0" collapsed="false">
      <c r="A151" s="57" t="s">
        <v>294</v>
      </c>
      <c r="B151" s="9" t="n">
        <v>-0.37</v>
      </c>
      <c r="C151" s="9" t="n">
        <v>-0.39</v>
      </c>
      <c r="D151" s="9"/>
      <c r="E151" s="9" t="n">
        <v>-0.38</v>
      </c>
      <c r="F151" s="9" t="n">
        <v>0.67</v>
      </c>
      <c r="G151" s="9"/>
      <c r="H151" s="9"/>
      <c r="I151" s="9"/>
      <c r="J151" s="9" t="n">
        <v>0.53</v>
      </c>
      <c r="K151" s="9" t="n">
        <v>-0.35</v>
      </c>
      <c r="L151" s="9" t="n">
        <v>-1.07</v>
      </c>
      <c r="M151" s="9" t="n">
        <v>1.02</v>
      </c>
      <c r="N151" s="9"/>
      <c r="O151" s="9"/>
      <c r="P151" s="9"/>
      <c r="Q151" s="58" t="n">
        <f aca="false">TRIMMEAN(B151:P151,2/COUNT(B151:P151))</f>
        <v>-0.0483333333333333</v>
      </c>
    </row>
    <row r="152" customFormat="false" ht="15.75" hidden="false" customHeight="true" outlineLevel="0" collapsed="false">
      <c r="A152" s="59" t="s">
        <v>295</v>
      </c>
      <c r="B152" s="9"/>
      <c r="C152" s="9" t="n">
        <v>-0.49</v>
      </c>
      <c r="D152" s="9"/>
      <c r="E152" s="9" t="n">
        <v>-0.06</v>
      </c>
      <c r="F152" s="9" t="n">
        <v>0.67</v>
      </c>
      <c r="G152" s="9"/>
      <c r="H152" s="9" t="n">
        <v>0.36</v>
      </c>
      <c r="I152" s="9"/>
      <c r="J152" s="9"/>
      <c r="K152" s="9" t="n">
        <v>-0.21</v>
      </c>
      <c r="L152" s="9" t="n">
        <v>0.49</v>
      </c>
      <c r="M152" s="9" t="n">
        <v>-0.36</v>
      </c>
      <c r="N152" s="9" t="n">
        <v>1.58</v>
      </c>
      <c r="O152" s="9" t="n">
        <v>0.45</v>
      </c>
      <c r="P152" s="9" t="n">
        <v>-1.43</v>
      </c>
      <c r="Q152" s="58" t="n">
        <f aca="false">TRIMMEAN(B152:P152,2/COUNT(B152:P152))</f>
        <v>0.10625</v>
      </c>
    </row>
    <row r="153" customFormat="false" ht="15.75" hidden="false" customHeight="true" outlineLevel="0" collapsed="false">
      <c r="A153" s="57" t="s">
        <v>296</v>
      </c>
      <c r="B153" s="9"/>
      <c r="C153" s="9" t="n">
        <v>-2.15</v>
      </c>
      <c r="D153" s="9"/>
      <c r="E153" s="9"/>
      <c r="F153" s="9" t="n">
        <v>-1.38</v>
      </c>
      <c r="G153" s="9"/>
      <c r="H153" s="9"/>
      <c r="I153" s="9"/>
      <c r="J153" s="9" t="n">
        <v>0.07</v>
      </c>
      <c r="K153" s="9" t="n">
        <v>-2.94</v>
      </c>
      <c r="L153" s="9" t="n">
        <v>-1.86</v>
      </c>
      <c r="M153" s="9"/>
      <c r="N153" s="9"/>
      <c r="O153" s="9"/>
      <c r="P153" s="9"/>
      <c r="Q153" s="58" t="n">
        <f aca="false">TRIMMEAN(B153:P153,2/COUNT(B153:P153))</f>
        <v>-1.79666666666667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 t="n">
        <v>-0.51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-0.21</v>
      </c>
      <c r="C155" s="9" t="n">
        <v>0.32</v>
      </c>
      <c r="D155" s="9" t="n">
        <v>0.53</v>
      </c>
      <c r="E155" s="9"/>
      <c r="F155" s="9"/>
      <c r="G155" s="9" t="n">
        <v>-0.2</v>
      </c>
      <c r="H155" s="9"/>
      <c r="I155" s="9" t="n">
        <v>0.67</v>
      </c>
      <c r="J155" s="9" t="n">
        <v>0.61</v>
      </c>
      <c r="K155" s="9"/>
      <c r="L155" s="9" t="n">
        <v>0.89</v>
      </c>
      <c r="M155" s="9" t="n">
        <v>-0.48</v>
      </c>
      <c r="N155" s="9"/>
      <c r="O155" s="9"/>
      <c r="P155" s="9"/>
      <c r="Q155" s="58" t="n">
        <f aca="false">TRIMMEAN(B155:P155,2/COUNT(B155:P155))</f>
        <v>0.286666666666667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-0.76</v>
      </c>
      <c r="D157" s="9" t="n">
        <v>0.99</v>
      </c>
      <c r="E157" s="9" t="n">
        <v>0.74</v>
      </c>
      <c r="F157" s="9" t="n">
        <v>-0.89</v>
      </c>
      <c r="G157" s="9"/>
      <c r="H157" s="9" t="n">
        <v>0.87</v>
      </c>
      <c r="I157" s="9"/>
      <c r="J157" s="9"/>
      <c r="K157" s="9" t="n">
        <v>-0.52</v>
      </c>
      <c r="L157" s="9" t="n">
        <v>-1.18</v>
      </c>
      <c r="M157" s="9" t="n">
        <v>-0.38</v>
      </c>
      <c r="N157" s="9" t="n">
        <v>0.38</v>
      </c>
      <c r="O157" s="9" t="n">
        <v>-1.24</v>
      </c>
      <c r="P157" s="9" t="n">
        <v>-0.03</v>
      </c>
      <c r="Q157" s="58" t="n">
        <f aca="false">TRIMMEAN(B157:P157,2/COUNT(B157:P157))</f>
        <v>-0.196666666666667</v>
      </c>
    </row>
    <row r="158" customFormat="false" ht="15.75" hidden="false" customHeight="true" outlineLevel="0" collapsed="false">
      <c r="A158" s="57" t="s">
        <v>301</v>
      </c>
      <c r="B158" s="9" t="n">
        <v>1.07</v>
      </c>
      <c r="C158" s="9"/>
      <c r="D158" s="9" t="n">
        <v>-0.43</v>
      </c>
      <c r="E158" s="9" t="n">
        <v>-0.63</v>
      </c>
      <c r="F158" s="9" t="n">
        <v>-1.9</v>
      </c>
      <c r="G158" s="9" t="n">
        <v>-0.68</v>
      </c>
      <c r="H158" s="9"/>
      <c r="I158" s="9"/>
      <c r="J158" s="9" t="n">
        <v>-2.55</v>
      </c>
      <c r="K158" s="9"/>
      <c r="L158" s="9" t="n">
        <v>-0.85</v>
      </c>
      <c r="M158" s="9"/>
      <c r="N158" s="9"/>
      <c r="O158" s="9"/>
      <c r="P158" s="9"/>
      <c r="Q158" s="58" t="n">
        <f aca="false">TRIMMEAN(B158:P158,2/COUNT(B158:P158))</f>
        <v>-0.898</v>
      </c>
    </row>
    <row r="159" customFormat="false" ht="15.75" hidden="false" customHeight="true" outlineLevel="0" collapsed="false">
      <c r="A159" s="57" t="s">
        <v>302</v>
      </c>
      <c r="B159" s="9" t="n">
        <v>0.67</v>
      </c>
      <c r="C159" s="9" t="n">
        <v>1.01</v>
      </c>
      <c r="D159" s="9"/>
      <c r="E159" s="9" t="n">
        <v>0.08</v>
      </c>
      <c r="F159" s="9" t="n">
        <v>-0.71</v>
      </c>
      <c r="G159" s="9" t="n">
        <v>0.58</v>
      </c>
      <c r="H159" s="9"/>
      <c r="I159" s="9"/>
      <c r="J159" s="9" t="n">
        <v>1.68</v>
      </c>
      <c r="K159" s="9" t="n">
        <v>0.45</v>
      </c>
      <c r="L159" s="9" t="n">
        <v>1.3</v>
      </c>
      <c r="M159" s="9"/>
      <c r="N159" s="9"/>
      <c r="O159" s="9"/>
      <c r="P159" s="9"/>
      <c r="Q159" s="58" t="n">
        <f aca="false">TRIMMEAN(B159:P159,2/COUNT(B159:P159))</f>
        <v>0.681666666666667</v>
      </c>
    </row>
    <row r="160" customFormat="false" ht="15.75" hidden="false" customHeight="true" outlineLevel="0" collapsed="false">
      <c r="A160" s="59" t="s">
        <v>303</v>
      </c>
      <c r="B160" s="9" t="n">
        <v>-0.06</v>
      </c>
      <c r="C160" s="9" t="n">
        <v>0.05</v>
      </c>
      <c r="D160" s="9" t="n">
        <v>0.25</v>
      </c>
      <c r="E160" s="9"/>
      <c r="F160" s="9" t="n">
        <v>-1.01</v>
      </c>
      <c r="G160" s="9"/>
      <c r="H160" s="9" t="n">
        <v>0.91</v>
      </c>
      <c r="I160" s="9"/>
      <c r="J160" s="9"/>
      <c r="K160" s="9" t="n">
        <v>-0.14</v>
      </c>
      <c r="L160" s="9" t="n">
        <v>0.76</v>
      </c>
      <c r="M160" s="9"/>
      <c r="N160" s="9" t="n">
        <v>-1.93</v>
      </c>
      <c r="O160" s="9" t="n">
        <v>-0.57</v>
      </c>
      <c r="P160" s="9" t="n">
        <v>-1.82</v>
      </c>
      <c r="Q160" s="58" t="n">
        <f aca="false">TRIMMEAN(B160:P160,2/COUNT(B160:P160))</f>
        <v>-0.3175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 t="n">
        <v>-1.21</v>
      </c>
      <c r="F161" s="9"/>
      <c r="G161" s="9"/>
      <c r="H161" s="9"/>
      <c r="I161" s="9"/>
      <c r="J161" s="9"/>
      <c r="K161" s="9" t="n">
        <v>-0.7</v>
      </c>
      <c r="L161" s="9" t="n">
        <v>-0.28</v>
      </c>
      <c r="M161" s="9" t="n">
        <v>0.14</v>
      </c>
      <c r="N161" s="9" t="n">
        <v>-0.43</v>
      </c>
      <c r="O161" s="9"/>
      <c r="P161" s="9" t="n">
        <v>-2.54</v>
      </c>
      <c r="Q161" s="58" t="n">
        <f aca="false">TRIMMEAN(B161:P161,2/COUNT(B161:P161))</f>
        <v>-0.655</v>
      </c>
    </row>
    <row r="162" customFormat="false" ht="15.75" hidden="false" customHeight="true" outlineLevel="0" collapsed="false">
      <c r="A162" s="59" t="s">
        <v>305</v>
      </c>
      <c r="B162" s="9"/>
      <c r="C162" s="9" t="n">
        <v>-0.13</v>
      </c>
      <c r="D162" s="9"/>
      <c r="E162" s="9" t="n">
        <v>0.72</v>
      </c>
      <c r="F162" s="9"/>
      <c r="G162" s="9"/>
      <c r="H162" s="9" t="n">
        <v>-1</v>
      </c>
      <c r="I162" s="9"/>
      <c r="J162" s="9"/>
      <c r="K162" s="9" t="n">
        <v>-0.49</v>
      </c>
      <c r="L162" s="9" t="n">
        <v>-1.69</v>
      </c>
      <c r="M162" s="9" t="n">
        <v>0.59</v>
      </c>
      <c r="N162" s="9" t="n">
        <v>0.18</v>
      </c>
      <c r="O162" s="9" t="n">
        <v>0.66</v>
      </c>
      <c r="P162" s="9" t="n">
        <v>-0.2</v>
      </c>
      <c r="Q162" s="58" t="n">
        <f aca="false">TRIMMEAN(B162:P162,2/COUNT(B162:P162))</f>
        <v>-0.0557142857142857</v>
      </c>
    </row>
    <row r="163" customFormat="false" ht="15.75" hidden="false" customHeight="true" outlineLevel="0" collapsed="false">
      <c r="A163" s="57" t="s">
        <v>306</v>
      </c>
      <c r="B163" s="9" t="n">
        <v>0.09</v>
      </c>
      <c r="C163" s="9"/>
      <c r="D163" s="9" t="n">
        <v>-0.08</v>
      </c>
      <c r="E163" s="9"/>
      <c r="F163" s="9"/>
      <c r="G163" s="9" t="n">
        <v>1.66</v>
      </c>
      <c r="H163" s="9" t="n">
        <v>0.93</v>
      </c>
      <c r="I163" s="9" t="n">
        <v>1.2</v>
      </c>
      <c r="J163" s="9" t="n">
        <v>1.26</v>
      </c>
      <c r="K163" s="9"/>
      <c r="L163" s="9" t="n">
        <v>1.34</v>
      </c>
      <c r="M163" s="9" t="n">
        <v>0.44</v>
      </c>
      <c r="N163" s="9"/>
      <c r="O163" s="9"/>
      <c r="P163" s="9"/>
      <c r="Q163" s="58" t="n">
        <f aca="false">TRIMMEAN(B163:P163,2/COUNT(B163:P163))</f>
        <v>0.876666666666667</v>
      </c>
    </row>
    <row r="164" customFormat="false" ht="15.75" hidden="false" customHeight="true" outlineLevel="0" collapsed="false">
      <c r="A164" s="57" t="s">
        <v>307</v>
      </c>
      <c r="B164" s="9"/>
      <c r="C164" s="9" t="n">
        <v>-0.38</v>
      </c>
      <c r="D164" s="9"/>
      <c r="E164" s="9" t="n">
        <v>-1.1</v>
      </c>
      <c r="F164" s="9" t="n">
        <v>0.79</v>
      </c>
      <c r="G164" s="9" t="n">
        <v>-0.88</v>
      </c>
      <c r="H164" s="9"/>
      <c r="I164" s="9"/>
      <c r="J164" s="9" t="n">
        <v>-0.03</v>
      </c>
      <c r="K164" s="9" t="n">
        <v>-1.54</v>
      </c>
      <c r="L164" s="9" t="n">
        <v>0.02</v>
      </c>
      <c r="M164" s="9"/>
      <c r="N164" s="9"/>
      <c r="O164" s="9"/>
      <c r="P164" s="9"/>
      <c r="Q164" s="58" t="n">
        <f aca="false">TRIMMEAN(B164:P164,2/COUNT(B164:P164))</f>
        <v>-0.474</v>
      </c>
    </row>
    <row r="165" customFormat="false" ht="15.75" hidden="false" customHeight="true" outlineLevel="0" collapsed="false">
      <c r="A165" s="57" t="s">
        <v>308</v>
      </c>
      <c r="B165" s="9"/>
      <c r="C165" s="9" t="n">
        <v>0.06</v>
      </c>
      <c r="D165" s="9" t="n">
        <v>-0.68</v>
      </c>
      <c r="E165" s="9"/>
      <c r="F165" s="9" t="n">
        <v>-0.3</v>
      </c>
      <c r="G165" s="9" t="n">
        <v>-0.77</v>
      </c>
      <c r="H165" s="9" t="n">
        <v>0.66</v>
      </c>
      <c r="I165" s="9" t="n">
        <v>-0.49</v>
      </c>
      <c r="J165" s="9" t="n">
        <v>1.28</v>
      </c>
      <c r="K165" s="9"/>
      <c r="L165" s="9" t="n">
        <v>2.42</v>
      </c>
      <c r="M165" s="9" t="n">
        <v>-0.44</v>
      </c>
      <c r="N165" s="9"/>
      <c r="O165" s="9"/>
      <c r="P165" s="9"/>
      <c r="Q165" s="58" t="n">
        <f aca="false">TRIMMEAN(B165:P165,2/COUNT(B165:P165))</f>
        <v>0.0128571428571429</v>
      </c>
    </row>
    <row r="166" customFormat="false" ht="15.75" hidden="false" customHeight="true" outlineLevel="0" collapsed="false">
      <c r="A166" s="59" t="s">
        <v>309</v>
      </c>
      <c r="B166" s="9"/>
      <c r="C166" s="9" t="n">
        <v>-1.17</v>
      </c>
      <c r="D166" s="9"/>
      <c r="E166" s="9" t="n">
        <v>0.36</v>
      </c>
      <c r="F166" s="9"/>
      <c r="G166" s="9"/>
      <c r="H166" s="9" t="n">
        <v>-2.74</v>
      </c>
      <c r="I166" s="9"/>
      <c r="J166" s="9"/>
      <c r="K166" s="9" t="n">
        <v>-0.29</v>
      </c>
      <c r="L166" s="9" t="n">
        <v>-2.57</v>
      </c>
      <c r="M166" s="9" t="n">
        <v>0.01</v>
      </c>
      <c r="N166" s="9" t="n">
        <v>-1.01</v>
      </c>
      <c r="O166" s="9" t="n">
        <v>-0.51</v>
      </c>
      <c r="P166" s="9" t="n">
        <v>-0.38</v>
      </c>
      <c r="Q166" s="58" t="n">
        <f aca="false">TRIMMEAN(B166:P166,2/COUNT(B166:P166))</f>
        <v>-0.845714285714286</v>
      </c>
    </row>
    <row r="167" customFormat="false" ht="15.75" hidden="false" customHeight="true" outlineLevel="0" collapsed="false">
      <c r="A167" s="57" t="s">
        <v>310</v>
      </c>
      <c r="B167" s="9" t="n">
        <v>0.21</v>
      </c>
      <c r="C167" s="9" t="n">
        <v>0.56</v>
      </c>
      <c r="D167" s="9"/>
      <c r="E167" s="9" t="n">
        <v>0.58</v>
      </c>
      <c r="F167" s="9" t="n">
        <v>-0.4</v>
      </c>
      <c r="G167" s="9" t="n">
        <v>1.49</v>
      </c>
      <c r="H167" s="9"/>
      <c r="I167" s="9"/>
      <c r="J167" s="9" t="n">
        <v>1.27</v>
      </c>
      <c r="K167" s="9" t="n">
        <v>-0.23</v>
      </c>
      <c r="L167" s="9" t="n">
        <v>1.03</v>
      </c>
      <c r="M167" s="9"/>
      <c r="N167" s="9"/>
      <c r="O167" s="9"/>
      <c r="P167" s="9"/>
      <c r="Q167" s="58" t="n">
        <f aca="false">TRIMMEAN(B167:P167,2/COUNT(B167:P167))</f>
        <v>0.57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 t="n">
        <v>-0.26</v>
      </c>
      <c r="F168" s="9"/>
      <c r="G168" s="9" t="n">
        <v>-0.28</v>
      </c>
      <c r="H168" s="9"/>
      <c r="I168" s="9"/>
      <c r="J168" s="9" t="n">
        <v>-1.24</v>
      </c>
      <c r="K168" s="9"/>
      <c r="L168" s="9" t="n">
        <v>-0.4</v>
      </c>
      <c r="M168" s="9"/>
      <c r="N168" s="9"/>
      <c r="O168" s="9"/>
      <c r="P168" s="9"/>
      <c r="Q168" s="58" t="n">
        <f aca="false">TRIMMEAN(B168:P168,2/COUNT(B168:P168))</f>
        <v>-0.34</v>
      </c>
    </row>
    <row r="169" customFormat="false" ht="15.75" hidden="false" customHeight="true" outlineLevel="0" collapsed="false">
      <c r="A169" s="59" t="s">
        <v>312</v>
      </c>
      <c r="B169" s="9"/>
      <c r="C169" s="9" t="n">
        <v>-0.92</v>
      </c>
      <c r="D169" s="9"/>
      <c r="E169" s="9" t="n">
        <v>-1.49</v>
      </c>
      <c r="F169" s="9" t="n">
        <v>-1.4</v>
      </c>
      <c r="G169" s="9"/>
      <c r="H169" s="9" t="n">
        <v>-0.42</v>
      </c>
      <c r="I169" s="9"/>
      <c r="J169" s="9"/>
      <c r="K169" s="9" t="n">
        <v>0.17</v>
      </c>
      <c r="L169" s="9" t="n">
        <v>1.96</v>
      </c>
      <c r="M169" s="9" t="n">
        <v>0.86</v>
      </c>
      <c r="N169" s="9" t="n">
        <v>-0.28</v>
      </c>
      <c r="O169" s="9"/>
      <c r="P169" s="9"/>
      <c r="Q169" s="58" t="n">
        <f aca="false">TRIMMEAN(B169:P169,2/COUNT(B169:P169))</f>
        <v>-0.331666666666667</v>
      </c>
    </row>
    <row r="170" customFormat="false" ht="15.75" hidden="false" customHeight="true" outlineLevel="0" collapsed="false">
      <c r="A170" s="59" t="s">
        <v>313</v>
      </c>
      <c r="B170" s="9" t="n">
        <v>0.78</v>
      </c>
      <c r="C170" s="9" t="n">
        <v>-0.49</v>
      </c>
      <c r="D170" s="9" t="n">
        <v>0.4</v>
      </c>
      <c r="E170" s="9"/>
      <c r="F170" s="9" t="n">
        <v>1.42</v>
      </c>
      <c r="G170" s="9" t="n">
        <v>-0.7</v>
      </c>
      <c r="H170" s="9"/>
      <c r="I170" s="9" t="n">
        <v>0.43</v>
      </c>
      <c r="J170" s="9" t="n">
        <v>0.3</v>
      </c>
      <c r="K170" s="9"/>
      <c r="L170" s="9"/>
      <c r="M170" s="9" t="n">
        <v>0.55</v>
      </c>
      <c r="N170" s="9" t="n">
        <v>-0.66</v>
      </c>
      <c r="O170" s="9" t="n">
        <v>1.85</v>
      </c>
      <c r="P170" s="9" t="n">
        <v>0.85</v>
      </c>
      <c r="Q170" s="58" t="n">
        <f aca="false">TRIMMEAN(B170:P170,2/COUNT(B170:P170))</f>
        <v>0.397777777777778</v>
      </c>
    </row>
    <row r="171" customFormat="false" ht="15.75" hidden="false" customHeight="true" outlineLevel="0" collapsed="false">
      <c r="A171" s="59" t="s">
        <v>314</v>
      </c>
      <c r="B171" s="9" t="n">
        <v>0.2</v>
      </c>
      <c r="C171" s="9" t="n">
        <v>0.19</v>
      </c>
      <c r="D171" s="9" t="n">
        <v>-0.08</v>
      </c>
      <c r="E171" s="9"/>
      <c r="F171" s="9"/>
      <c r="G171" s="9" t="n">
        <v>-0.09</v>
      </c>
      <c r="H171" s="9" t="n">
        <v>0.73</v>
      </c>
      <c r="I171" s="9"/>
      <c r="J171" s="9" t="n">
        <v>0.19</v>
      </c>
      <c r="K171" s="9" t="n">
        <v>0.06</v>
      </c>
      <c r="L171" s="9" t="n">
        <v>-0.23</v>
      </c>
      <c r="M171" s="9"/>
      <c r="N171" s="9" t="n">
        <v>1.06</v>
      </c>
      <c r="O171" s="9" t="n">
        <v>-0.32</v>
      </c>
      <c r="P171" s="9" t="n">
        <v>0.12</v>
      </c>
      <c r="Q171" s="58" t="n">
        <f aca="false">TRIMMEAN(B171:P171,2/COUNT(B171:P171))</f>
        <v>0.121111111111111</v>
      </c>
    </row>
    <row r="172" customFormat="false" ht="15.75" hidden="false" customHeight="true" outlineLevel="0" collapsed="false">
      <c r="A172" s="57" t="s">
        <v>315</v>
      </c>
      <c r="B172" s="9" t="n">
        <v>1.75</v>
      </c>
      <c r="C172" s="9" t="n">
        <v>1.13</v>
      </c>
      <c r="D172" s="9" t="n">
        <v>-0.29</v>
      </c>
      <c r="E172" s="9"/>
      <c r="F172" s="9" t="n">
        <v>0.52</v>
      </c>
      <c r="G172" s="9" t="n">
        <v>-2.05</v>
      </c>
      <c r="H172" s="9"/>
      <c r="I172" s="9" t="n">
        <v>-1.53</v>
      </c>
      <c r="J172" s="9" t="n">
        <v>2.24</v>
      </c>
      <c r="K172" s="9"/>
      <c r="L172" s="9" t="n">
        <v>-1.43</v>
      </c>
      <c r="M172" s="9" t="n">
        <v>-0.53</v>
      </c>
      <c r="N172" s="9"/>
      <c r="O172" s="9" t="n">
        <v>0.81</v>
      </c>
      <c r="P172" s="9" t="n">
        <v>-0.5</v>
      </c>
      <c r="Q172" s="58" t="n">
        <f aca="false">TRIMMEAN(B172:P172,2/COUNT(B172:P172))</f>
        <v>-0.00777777777777778</v>
      </c>
    </row>
    <row r="173" customFormat="false" ht="15.75" hidden="false" customHeight="true" outlineLevel="0" collapsed="false">
      <c r="A173" s="57" t="s">
        <v>316</v>
      </c>
      <c r="B173" s="9"/>
      <c r="C173" s="9" t="n">
        <v>-1.58</v>
      </c>
      <c r="D173" s="9" t="n">
        <v>0.06</v>
      </c>
      <c r="E173" s="9" t="n">
        <v>0.15</v>
      </c>
      <c r="F173" s="9" t="n">
        <v>1.22</v>
      </c>
      <c r="G173" s="9"/>
      <c r="H173" s="9" t="n">
        <v>0.62</v>
      </c>
      <c r="I173" s="9" t="n">
        <v>-0.29</v>
      </c>
      <c r="J173" s="9"/>
      <c r="K173" s="9" t="n">
        <v>1.17</v>
      </c>
      <c r="L173" s="9" t="n">
        <v>0.4</v>
      </c>
      <c r="M173" s="9" t="n">
        <v>0.58</v>
      </c>
      <c r="N173" s="9" t="n">
        <v>-0.77</v>
      </c>
      <c r="O173" s="9" t="n">
        <v>0.16</v>
      </c>
      <c r="P173" s="9" t="n">
        <v>-0.91</v>
      </c>
      <c r="Q173" s="58" t="n">
        <f aca="false">TRIMMEAN(B173:P173,2/COUNT(B173:P173))</f>
        <v>0.117</v>
      </c>
    </row>
    <row r="174" customFormat="false" ht="15.75" hidden="false" customHeight="true" outlineLevel="0" collapsed="false">
      <c r="A174" s="57" t="s">
        <v>317</v>
      </c>
      <c r="B174" s="9" t="n">
        <v>-1.52</v>
      </c>
      <c r="C174" s="9" t="n">
        <v>1.09</v>
      </c>
      <c r="D174" s="9" t="n">
        <v>0.44</v>
      </c>
      <c r="E174" s="9"/>
      <c r="F174" s="9" t="n">
        <v>0.54</v>
      </c>
      <c r="G174" s="9" t="n">
        <v>-1</v>
      </c>
      <c r="H174" s="9"/>
      <c r="I174" s="9"/>
      <c r="J174" s="9" t="n">
        <v>0.43</v>
      </c>
      <c r="K174" s="9"/>
      <c r="L174" s="9" t="n">
        <v>1.08</v>
      </c>
      <c r="M174" s="9" t="n">
        <v>-1.63</v>
      </c>
      <c r="N174" s="9"/>
      <c r="O174" s="9"/>
      <c r="P174" s="9"/>
      <c r="Q174" s="58" t="n">
        <f aca="false">TRIMMEAN(B174:P174,2/COUNT(B174:P174))</f>
        <v>-0.00499999999999999</v>
      </c>
    </row>
    <row r="175" customFormat="false" ht="15.75" hidden="false" customHeight="true" outlineLevel="0" collapsed="false">
      <c r="A175" s="57" t="s">
        <v>318</v>
      </c>
      <c r="B175" s="9"/>
      <c r="C175" s="9" t="n">
        <v>1.02</v>
      </c>
      <c r="D175" s="9" t="n">
        <v>0.28</v>
      </c>
      <c r="E175" s="9"/>
      <c r="F175" s="9"/>
      <c r="G175" s="9" t="n">
        <v>1.47</v>
      </c>
      <c r="H175" s="9"/>
      <c r="I175" s="9" t="n">
        <v>-0.89</v>
      </c>
      <c r="J175" s="9"/>
      <c r="K175" s="9"/>
      <c r="L175" s="9" t="n">
        <v>-0.36</v>
      </c>
      <c r="M175" s="9" t="n">
        <v>-0.29</v>
      </c>
      <c r="N175" s="9"/>
      <c r="O175" s="9"/>
      <c r="P175" s="9"/>
      <c r="Q175" s="58" t="n">
        <f aca="false">TRIMMEAN(B175:P175,2/COUNT(B175:P175))</f>
        <v>0.1625</v>
      </c>
    </row>
    <row r="176" customFormat="false" ht="15.75" hidden="false" customHeight="true" outlineLevel="0" collapsed="false">
      <c r="A176" s="59" t="s">
        <v>319</v>
      </c>
      <c r="B176" s="9" t="n">
        <v>-0.43</v>
      </c>
      <c r="C176" s="9" t="n">
        <v>-0.1</v>
      </c>
      <c r="D176" s="9" t="n">
        <v>0.78</v>
      </c>
      <c r="E176" s="9"/>
      <c r="F176" s="9"/>
      <c r="G176" s="9" t="n">
        <v>0.58</v>
      </c>
      <c r="H176" s="9"/>
      <c r="I176" s="9" t="n">
        <v>0.11</v>
      </c>
      <c r="J176" s="9" t="n">
        <v>-0.37</v>
      </c>
      <c r="K176" s="9"/>
      <c r="L176" s="9"/>
      <c r="M176" s="9" t="n">
        <v>-1.21</v>
      </c>
      <c r="N176" s="9" t="n">
        <v>0.19</v>
      </c>
      <c r="O176" s="9"/>
      <c r="P176" s="9" t="n">
        <v>-0.58</v>
      </c>
      <c r="Q176" s="58" t="n">
        <f aca="false">TRIMMEAN(B176:P176,2/COUNT(B176:P176))</f>
        <v>-0.0857142857142857</v>
      </c>
    </row>
    <row r="177" customFormat="false" ht="15.75" hidden="false" customHeight="true" outlineLevel="0" collapsed="false">
      <c r="A177" s="57" t="s">
        <v>320</v>
      </c>
      <c r="B177" s="9"/>
      <c r="C177" s="9" t="n">
        <v>0.1</v>
      </c>
      <c r="D177" s="9"/>
      <c r="E177" s="9" t="n">
        <v>0.36</v>
      </c>
      <c r="F177" s="9" t="n">
        <v>1</v>
      </c>
      <c r="G177" s="9" t="n">
        <v>0.26</v>
      </c>
      <c r="H177" s="9" t="n">
        <v>-0.39</v>
      </c>
      <c r="I177" s="9"/>
      <c r="J177" s="9" t="n">
        <v>-0.58</v>
      </c>
      <c r="K177" s="9" t="n">
        <v>0.14</v>
      </c>
      <c r="L177" s="9" t="n">
        <v>0.98</v>
      </c>
      <c r="M177" s="9"/>
      <c r="N177" s="9" t="n">
        <v>-0.42</v>
      </c>
      <c r="O177" s="9" t="n">
        <v>-0.08</v>
      </c>
      <c r="P177" s="9" t="n">
        <v>-0.79</v>
      </c>
      <c r="Q177" s="58" t="n">
        <f aca="false">TRIMMEAN(B177:P177,2/COUNT(B177:P177))</f>
        <v>0.0411111111111111</v>
      </c>
    </row>
    <row r="178" customFormat="false" ht="15.75" hidden="false" customHeight="true" outlineLevel="0" collapsed="false">
      <c r="A178" s="57" t="s">
        <v>321</v>
      </c>
      <c r="B178" s="9"/>
      <c r="C178" s="9" t="n">
        <v>0.74</v>
      </c>
      <c r="D178" s="9"/>
      <c r="E178" s="9" t="n">
        <v>-1.82</v>
      </c>
      <c r="F178" s="9" t="n">
        <v>0.23</v>
      </c>
      <c r="G178" s="9" t="n">
        <v>-1.19</v>
      </c>
      <c r="H178" s="9"/>
      <c r="I178" s="9"/>
      <c r="J178" s="9"/>
      <c r="K178" s="9" t="n">
        <v>0.15</v>
      </c>
      <c r="L178" s="9" t="n">
        <v>0.1</v>
      </c>
      <c r="M178" s="9"/>
      <c r="N178" s="9"/>
      <c r="O178" s="9"/>
      <c r="P178" s="9"/>
      <c r="Q178" s="58" t="n">
        <f aca="false">TRIMMEAN(B178:P178,2/COUNT(B178:P178))</f>
        <v>-0.1775</v>
      </c>
    </row>
    <row r="179" customFormat="false" ht="15.75" hidden="false" customHeight="true" outlineLevel="0" collapsed="false">
      <c r="A179" s="57" t="s">
        <v>322</v>
      </c>
      <c r="B179" s="9" t="n">
        <v>1.59</v>
      </c>
      <c r="C179" s="9" t="n">
        <v>0.56</v>
      </c>
      <c r="D179" s="9"/>
      <c r="E179" s="9"/>
      <c r="F179" s="9" t="n">
        <v>-1.21</v>
      </c>
      <c r="G179" s="9" t="n">
        <v>0.53</v>
      </c>
      <c r="H179" s="9"/>
      <c r="I179" s="9"/>
      <c r="J179" s="9" t="n">
        <v>-0.79</v>
      </c>
      <c r="K179" s="9" t="n">
        <v>-2.44</v>
      </c>
      <c r="L179" s="9" t="n">
        <v>-0.42</v>
      </c>
      <c r="M179" s="9"/>
      <c r="N179" s="9"/>
      <c r="O179" s="9"/>
      <c r="P179" s="9"/>
      <c r="Q179" s="58" t="n">
        <f aca="false">TRIMMEAN(B179:P179,2/COUNT(B179:P179))</f>
        <v>-0.266</v>
      </c>
    </row>
    <row r="180" customFormat="false" ht="15.75" hidden="false" customHeight="true" outlineLevel="0" collapsed="false">
      <c r="A180" s="59" t="s">
        <v>323</v>
      </c>
      <c r="B180" s="9" t="n">
        <v>-0.86</v>
      </c>
      <c r="C180" s="9"/>
      <c r="D180" s="9" t="n">
        <v>-0.15</v>
      </c>
      <c r="E180" s="9" t="n">
        <v>0.36</v>
      </c>
      <c r="F180" s="9" t="n">
        <v>0.74</v>
      </c>
      <c r="G180" s="9"/>
      <c r="H180" s="9" t="n">
        <v>0.55</v>
      </c>
      <c r="I180" s="9" t="n">
        <v>0.41</v>
      </c>
      <c r="J180" s="9" t="n">
        <v>0.68</v>
      </c>
      <c r="K180" s="9" t="n">
        <v>-0.52</v>
      </c>
      <c r="L180" s="9"/>
      <c r="M180" s="9" t="n">
        <v>0.61</v>
      </c>
      <c r="N180" s="9" t="n">
        <v>1.03</v>
      </c>
      <c r="O180" s="9"/>
      <c r="P180" s="9" t="n">
        <v>0.69</v>
      </c>
      <c r="Q180" s="58" t="n">
        <f aca="false">TRIMMEAN(B180:P180,2/COUNT(B180:P180))</f>
        <v>0.374444444444444</v>
      </c>
    </row>
    <row r="181" customFormat="false" ht="15.75" hidden="false" customHeight="true" outlineLevel="0" collapsed="false">
      <c r="A181" s="57" t="s">
        <v>324</v>
      </c>
      <c r="B181" s="9" t="n">
        <v>1.3</v>
      </c>
      <c r="C181" s="9" t="n">
        <v>-0.64</v>
      </c>
      <c r="D181" s="9"/>
      <c r="E181" s="9"/>
      <c r="F181" s="9"/>
      <c r="G181" s="9" t="n">
        <v>0.69</v>
      </c>
      <c r="H181" s="9"/>
      <c r="I181" s="9"/>
      <c r="J181" s="9" t="n">
        <v>-2.94</v>
      </c>
      <c r="K181" s="9"/>
      <c r="L181" s="9" t="n">
        <v>1.69</v>
      </c>
      <c r="M181" s="9" t="n">
        <v>0.44</v>
      </c>
      <c r="N181" s="9"/>
      <c r="O181" s="9"/>
      <c r="P181" s="9"/>
      <c r="Q181" s="58" t="n">
        <f aca="false">TRIMMEAN(B181:P181,2/COUNT(B181:P181))</f>
        <v>0.4475</v>
      </c>
    </row>
    <row r="182" customFormat="false" ht="15.75" hidden="false" customHeight="true" outlineLevel="0" collapsed="false">
      <c r="A182" s="59" t="s">
        <v>325</v>
      </c>
      <c r="B182" s="9"/>
      <c r="C182" s="9" t="n">
        <v>0.34</v>
      </c>
      <c r="D182" s="9"/>
      <c r="E182" s="9" t="n">
        <v>-1.22</v>
      </c>
      <c r="F182" s="9"/>
      <c r="G182" s="9"/>
      <c r="H182" s="9"/>
      <c r="I182" s="9" t="n">
        <v>-0.41</v>
      </c>
      <c r="J182" s="9"/>
      <c r="K182" s="9"/>
      <c r="L182" s="9"/>
      <c r="M182" s="9"/>
      <c r="N182" s="9"/>
      <c r="O182" s="9"/>
      <c r="P182" s="9"/>
      <c r="Q182" s="58" t="n">
        <f aca="false">TRIMMEAN(B182:P182,2/COUNT(B182:P182))</f>
        <v>-0.41</v>
      </c>
    </row>
    <row r="183" customFormat="false" ht="15.75" hidden="false" customHeight="true" outlineLevel="0" collapsed="false">
      <c r="A183" s="57" t="s">
        <v>326</v>
      </c>
      <c r="B183" s="9"/>
      <c r="C183" s="9" t="n">
        <v>0.41</v>
      </c>
      <c r="D183" s="9"/>
      <c r="E183" s="9" t="n">
        <v>0.05</v>
      </c>
      <c r="F183" s="9" t="n">
        <v>-0.44</v>
      </c>
      <c r="G183" s="9"/>
      <c r="H183" s="9" t="n">
        <v>0.33</v>
      </c>
      <c r="I183" s="9"/>
      <c r="J183" s="9"/>
      <c r="K183" s="9" t="n">
        <v>-1.12</v>
      </c>
      <c r="L183" s="9" t="n">
        <v>-1.62</v>
      </c>
      <c r="M183" s="9"/>
      <c r="N183" s="9" t="n">
        <v>0.22</v>
      </c>
      <c r="O183" s="9"/>
      <c r="P183" s="9"/>
      <c r="Q183" s="58" t="n">
        <f aca="false">TRIMMEAN(B183:P183,2/COUNT(B183:P183))</f>
        <v>-0.192</v>
      </c>
    </row>
    <row r="184" customFormat="false" ht="15.75" hidden="false" customHeight="true" outlineLevel="0" collapsed="false">
      <c r="A184" s="59" t="s">
        <v>327</v>
      </c>
      <c r="B184" s="9" t="n">
        <v>0.33</v>
      </c>
      <c r="C184" s="9"/>
      <c r="D184" s="9" t="n">
        <v>-0.01</v>
      </c>
      <c r="E184" s="9"/>
      <c r="F184" s="9"/>
      <c r="G184" s="9"/>
      <c r="H184" s="9" t="n">
        <v>0.06</v>
      </c>
      <c r="I184" s="9" t="n">
        <v>0.56</v>
      </c>
      <c r="J184" s="9" t="n">
        <v>2.1</v>
      </c>
      <c r="K184" s="9"/>
      <c r="L184" s="9"/>
      <c r="M184" s="9" t="n">
        <v>1.27</v>
      </c>
      <c r="N184" s="9"/>
      <c r="O184" s="9"/>
      <c r="P184" s="9"/>
      <c r="Q184" s="58" t="n">
        <f aca="false">TRIMMEAN(B184:P184,2/COUNT(B184:P184))</f>
        <v>0.555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 t="n">
        <v>-0.12</v>
      </c>
      <c r="E185" s="9" t="n">
        <v>-0.23</v>
      </c>
      <c r="F185" s="9" t="n">
        <v>0.03</v>
      </c>
      <c r="G185" s="9"/>
      <c r="H185" s="9" t="n">
        <v>0.6</v>
      </c>
      <c r="I185" s="9" t="n">
        <v>0.08</v>
      </c>
      <c r="J185" s="9"/>
      <c r="K185" s="9" t="n">
        <v>1.15</v>
      </c>
      <c r="L185" s="9" t="n">
        <v>1.83</v>
      </c>
      <c r="M185" s="9"/>
      <c r="N185" s="9" t="n">
        <v>2.19</v>
      </c>
      <c r="O185" s="9" t="n">
        <v>0.95</v>
      </c>
      <c r="P185" s="9" t="n">
        <v>-0.66</v>
      </c>
      <c r="Q185" s="58" t="n">
        <f aca="false">TRIMMEAN(B185:P185,2/COUNT(B185:P185))</f>
        <v>0.53625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-1</v>
      </c>
      <c r="C187" s="9" t="n">
        <v>0.01</v>
      </c>
      <c r="D187" s="9"/>
      <c r="E187" s="9" t="n">
        <v>-1.5</v>
      </c>
      <c r="F187" s="9" t="n">
        <v>-1.75</v>
      </c>
      <c r="G187" s="9" t="n">
        <v>-1.16</v>
      </c>
      <c r="H187" s="9"/>
      <c r="I187" s="9"/>
      <c r="J187" s="9" t="n">
        <v>-2.09</v>
      </c>
      <c r="K187" s="9" t="n">
        <v>-0.8</v>
      </c>
      <c r="L187" s="9" t="n">
        <v>-0.57</v>
      </c>
      <c r="M187" s="9"/>
      <c r="N187" s="9"/>
      <c r="O187" s="9"/>
      <c r="P187" s="9"/>
      <c r="Q187" s="58" t="n">
        <f aca="false">TRIMMEAN(B187:P187,2/COUNT(B187:P187))</f>
        <v>-1.13</v>
      </c>
    </row>
    <row r="188" customFormat="false" ht="15.75" hidden="false" customHeight="true" outlineLevel="0" collapsed="false">
      <c r="A188" s="57" t="s">
        <v>331</v>
      </c>
      <c r="B188" s="9"/>
      <c r="C188" s="9" t="n">
        <v>-0.15</v>
      </c>
      <c r="D188" s="9"/>
      <c r="E188" s="9" t="n">
        <v>-0.15</v>
      </c>
      <c r="F188" s="9" t="n">
        <v>0.06</v>
      </c>
      <c r="G188" s="9"/>
      <c r="H188" s="9" t="n">
        <v>-0.02</v>
      </c>
      <c r="I188" s="9"/>
      <c r="J188" s="9"/>
      <c r="K188" s="9" t="n">
        <v>0.56</v>
      </c>
      <c r="L188" s="9" t="n">
        <v>0.51</v>
      </c>
      <c r="M188" s="9" t="n">
        <v>-0.81</v>
      </c>
      <c r="N188" s="9" t="n">
        <v>0.94</v>
      </c>
      <c r="O188" s="9" t="n">
        <v>0.16</v>
      </c>
      <c r="P188" s="9"/>
      <c r="Q188" s="58" t="n">
        <f aca="false">TRIMMEAN(B188:P188,2/COUNT(B188:P188))</f>
        <v>0.138571428571429</v>
      </c>
    </row>
    <row r="189" customFormat="false" ht="15.75" hidden="false" customHeight="true" outlineLevel="0" collapsed="false">
      <c r="A189" s="57" t="s">
        <v>332</v>
      </c>
      <c r="B189" s="9"/>
      <c r="C189" s="9" t="n">
        <v>-2.32</v>
      </c>
      <c r="D189" s="9" t="n">
        <v>-0.3</v>
      </c>
      <c r="E189" s="9" t="n">
        <v>0.22</v>
      </c>
      <c r="F189" s="9" t="n">
        <v>-0.31</v>
      </c>
      <c r="G189" s="9"/>
      <c r="H189" s="9" t="n">
        <v>0.43</v>
      </c>
      <c r="I189" s="9"/>
      <c r="J189" s="9"/>
      <c r="K189" s="9" t="n">
        <v>-0.1</v>
      </c>
      <c r="L189" s="9" t="n">
        <v>-0.32</v>
      </c>
      <c r="M189" s="9" t="n">
        <v>0.64</v>
      </c>
      <c r="N189" s="9" t="n">
        <v>-0.14</v>
      </c>
      <c r="O189" s="9" t="n">
        <v>-1.03</v>
      </c>
      <c r="P189" s="9" t="n">
        <v>0.82</v>
      </c>
      <c r="Q189" s="58" t="n">
        <f aca="false">TRIMMEAN(B189:P189,2/COUNT(B189:P189))</f>
        <v>-0.101111111111111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 t="n">
        <v>-0.68</v>
      </c>
      <c r="D191" s="9" t="n">
        <v>1.19</v>
      </c>
      <c r="E191" s="9"/>
      <c r="F191" s="9" t="n">
        <v>1.01</v>
      </c>
      <c r="G191" s="9" t="n">
        <v>0.79</v>
      </c>
      <c r="H191" s="9"/>
      <c r="I191" s="9" t="n">
        <v>1.34</v>
      </c>
      <c r="J191" s="9"/>
      <c r="K191" s="9"/>
      <c r="L191" s="9"/>
      <c r="M191" s="9" t="n">
        <v>-0.99</v>
      </c>
      <c r="N191" s="9"/>
      <c r="O191" s="9"/>
      <c r="P191" s="9"/>
      <c r="Q191" s="58" t="n">
        <f aca="false">TRIMMEAN(B191:P191,2/COUNT(B191:P191))</f>
        <v>0.5775</v>
      </c>
    </row>
    <row r="192" customFormat="false" ht="15.75" hidden="false" customHeight="true" outlineLevel="0" collapsed="false">
      <c r="A192" s="57" t="s">
        <v>335</v>
      </c>
      <c r="B192" s="9" t="n">
        <v>1.08</v>
      </c>
      <c r="C192" s="9" t="n">
        <v>0.87</v>
      </c>
      <c r="D192" s="9" t="n">
        <v>0.22</v>
      </c>
      <c r="E192" s="9"/>
      <c r="F192" s="9"/>
      <c r="G192" s="9" t="n">
        <v>0.88</v>
      </c>
      <c r="H192" s="9" t="n">
        <v>-2.44</v>
      </c>
      <c r="I192" s="9" t="n">
        <v>-2.79</v>
      </c>
      <c r="J192" s="9" t="n">
        <v>-0.99</v>
      </c>
      <c r="K192" s="9"/>
      <c r="L192" s="9" t="n">
        <v>-1.06</v>
      </c>
      <c r="M192" s="9" t="n">
        <v>1.31</v>
      </c>
      <c r="N192" s="9"/>
      <c r="O192" s="9"/>
      <c r="P192" s="9" t="n">
        <v>-0.22</v>
      </c>
      <c r="Q192" s="58" t="n">
        <f aca="false">TRIMMEAN(B192:P192,2/COUNT(B192:P192))</f>
        <v>-0.2075</v>
      </c>
    </row>
    <row r="193" customFormat="false" ht="15.75" hidden="false" customHeight="true" outlineLevel="0" collapsed="false">
      <c r="A193" s="57" t="s">
        <v>336</v>
      </c>
      <c r="B193" s="9" t="n">
        <v>0.88</v>
      </c>
      <c r="C193" s="9" t="n">
        <v>0.1</v>
      </c>
      <c r="D193" s="9"/>
      <c r="E193" s="9" t="n">
        <v>-0.29</v>
      </c>
      <c r="F193" s="9" t="n">
        <v>1.61</v>
      </c>
      <c r="G193" s="9"/>
      <c r="H193" s="9"/>
      <c r="I193" s="9" t="n">
        <v>-0.22</v>
      </c>
      <c r="J193" s="9" t="n">
        <v>-0.34</v>
      </c>
      <c r="K193" s="9" t="n">
        <v>-0.45</v>
      </c>
      <c r="L193" s="9" t="n">
        <v>-0.89</v>
      </c>
      <c r="M193" s="9" t="n">
        <v>0.11</v>
      </c>
      <c r="N193" s="9"/>
      <c r="O193" s="9"/>
      <c r="P193" s="9"/>
      <c r="Q193" s="58" t="n">
        <f aca="false">TRIMMEAN(B193:P193,2/COUNT(B193:P193))</f>
        <v>-0.03</v>
      </c>
    </row>
    <row r="194" customFormat="false" ht="15.75" hidden="false" customHeight="true" outlineLevel="0" collapsed="false">
      <c r="A194" s="59" t="s">
        <v>337</v>
      </c>
      <c r="B194" s="9"/>
      <c r="C194" s="9" t="n">
        <v>0.32</v>
      </c>
      <c r="D194" s="9"/>
      <c r="E194" s="9" t="n">
        <v>-1.41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 t="n">
        <v>-0.28</v>
      </c>
      <c r="D195" s="9"/>
      <c r="E195" s="9"/>
      <c r="F195" s="9"/>
      <c r="G195" s="9"/>
      <c r="H195" s="9"/>
      <c r="I195" s="9"/>
      <c r="J195" s="9"/>
      <c r="K195" s="9" t="n">
        <v>0.66</v>
      </c>
      <c r="L195" s="9" t="n">
        <v>-0.65</v>
      </c>
      <c r="M195" s="9" t="n">
        <v>-0.13</v>
      </c>
      <c r="N195" s="9"/>
      <c r="O195" s="9"/>
      <c r="P195" s="9"/>
      <c r="Q195" s="58" t="n">
        <f aca="false">TRIMMEAN(B195:P195,2/COUNT(B195:P195))</f>
        <v>-0.205</v>
      </c>
    </row>
    <row r="196" customFormat="false" ht="15.75" hidden="false" customHeight="true" outlineLevel="0" collapsed="false">
      <c r="A196" s="57" t="s">
        <v>339</v>
      </c>
      <c r="B196" s="9" t="n">
        <v>0.06</v>
      </c>
      <c r="C196" s="9" t="n">
        <v>0.74</v>
      </c>
      <c r="D196" s="9" t="n">
        <v>1.1</v>
      </c>
      <c r="E196" s="9"/>
      <c r="F196" s="9" t="n">
        <v>1.09</v>
      </c>
      <c r="G196" s="9" t="n">
        <v>-0.47</v>
      </c>
      <c r="H196" s="9"/>
      <c r="I196" s="9" t="n">
        <v>-0.77</v>
      </c>
      <c r="J196" s="9" t="n">
        <v>0.59</v>
      </c>
      <c r="K196" s="9" t="n">
        <v>-1.67</v>
      </c>
      <c r="L196" s="9" t="n">
        <v>0.07</v>
      </c>
      <c r="M196" s="9" t="n">
        <v>0.36</v>
      </c>
      <c r="N196" s="9"/>
      <c r="O196" s="9" t="n">
        <v>-0.4</v>
      </c>
      <c r="P196" s="9" t="n">
        <v>0.16</v>
      </c>
      <c r="Q196" s="58" t="n">
        <f aca="false">TRIMMEAN(B196:P196,2/COUNT(B196:P196))</f>
        <v>0.143</v>
      </c>
    </row>
    <row r="197" customFormat="false" ht="15.75" hidden="false" customHeight="true" outlineLevel="0" collapsed="false">
      <c r="A197" s="59" t="s">
        <v>340</v>
      </c>
      <c r="B197" s="9"/>
      <c r="C197" s="9" t="n">
        <v>0.26</v>
      </c>
      <c r="D197" s="9"/>
      <c r="E197" s="9" t="n">
        <v>-0.27</v>
      </c>
      <c r="F197" s="9" t="n">
        <v>-2.7</v>
      </c>
      <c r="G197" s="9"/>
      <c r="H197" s="9" t="n">
        <v>-0.06</v>
      </c>
      <c r="I197" s="9"/>
      <c r="J197" s="9"/>
      <c r="K197" s="9" t="n">
        <v>0.66</v>
      </c>
      <c r="L197" s="9" t="n">
        <v>-1.14</v>
      </c>
      <c r="M197" s="9" t="n">
        <v>-0.64</v>
      </c>
      <c r="N197" s="9" t="n">
        <v>-0.17</v>
      </c>
      <c r="O197" s="9" t="n">
        <v>-1.39</v>
      </c>
      <c r="P197" s="9" t="n">
        <v>-0.71</v>
      </c>
      <c r="Q197" s="58" t="n">
        <f aca="false">TRIMMEAN(B197:P197,2/COUNT(B197:P197))</f>
        <v>-0.515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 t="n">
        <v>-1.27</v>
      </c>
      <c r="F198" s="9" t="n">
        <v>0.41</v>
      </c>
      <c r="G198" s="9"/>
      <c r="H198" s="9" t="n">
        <v>0.42</v>
      </c>
      <c r="I198" s="9"/>
      <c r="J198" s="9"/>
      <c r="K198" s="9" t="n">
        <v>0.21</v>
      </c>
      <c r="L198" s="9" t="n">
        <v>0.9</v>
      </c>
      <c r="M198" s="9"/>
      <c r="N198" s="9" t="n">
        <v>-1.29</v>
      </c>
      <c r="O198" s="9" t="n">
        <v>-0.17</v>
      </c>
      <c r="P198" s="9" t="n">
        <v>0.31</v>
      </c>
      <c r="Q198" s="58" t="n">
        <f aca="false">TRIMMEAN(B198:P198,2/COUNT(B198:P198))</f>
        <v>-0.015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 t="n">
        <v>-0.37</v>
      </c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 t="n">
        <v>-0.76</v>
      </c>
      <c r="D200" s="9"/>
      <c r="E200" s="9"/>
      <c r="F200" s="9" t="n">
        <v>-0.58</v>
      </c>
      <c r="G200" s="9" t="n">
        <v>0.51</v>
      </c>
      <c r="H200" s="9"/>
      <c r="I200" s="9" t="n">
        <v>-1.46</v>
      </c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-0.67</v>
      </c>
    </row>
    <row r="201" customFormat="false" ht="15.75" hidden="false" customHeight="true" outlineLevel="0" collapsed="false">
      <c r="A201" s="57" t="s">
        <v>344</v>
      </c>
      <c r="B201" s="9" t="n">
        <v>0.12</v>
      </c>
      <c r="C201" s="9" t="n">
        <v>-1.08</v>
      </c>
      <c r="D201" s="9"/>
      <c r="E201" s="9" t="n">
        <v>-0.32</v>
      </c>
      <c r="F201" s="9" t="n">
        <v>-0.24</v>
      </c>
      <c r="G201" s="9" t="n">
        <v>-0.69</v>
      </c>
      <c r="H201" s="9"/>
      <c r="I201" s="9"/>
      <c r="J201" s="9" t="n">
        <v>-1.22</v>
      </c>
      <c r="K201" s="9" t="n">
        <v>-1.87</v>
      </c>
      <c r="L201" s="9" t="n">
        <v>-1.67</v>
      </c>
      <c r="M201" s="9"/>
      <c r="N201" s="9"/>
      <c r="O201" s="9"/>
      <c r="P201" s="9"/>
      <c r="Q201" s="58" t="n">
        <f aca="false">TRIMMEAN(B201:P201,2/COUNT(B201:P201))</f>
        <v>-0.87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 t="n">
        <v>-3.48</v>
      </c>
      <c r="G202" s="9"/>
      <c r="H202" s="9"/>
      <c r="I202" s="9"/>
      <c r="J202" s="9"/>
      <c r="K202" s="9"/>
      <c r="L202" s="9"/>
      <c r="M202" s="9" t="n">
        <v>-3.26</v>
      </c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1.02</v>
      </c>
      <c r="D203" s="9" t="n">
        <v>0.67</v>
      </c>
      <c r="E203" s="9" t="n">
        <v>0.15</v>
      </c>
      <c r="F203" s="9" t="n">
        <v>-0.21</v>
      </c>
      <c r="G203" s="9"/>
      <c r="H203" s="9" t="n">
        <v>0.67</v>
      </c>
      <c r="I203" s="9" t="n">
        <v>1.09</v>
      </c>
      <c r="J203" s="9"/>
      <c r="K203" s="9"/>
      <c r="L203" s="9" t="n">
        <v>0.65</v>
      </c>
      <c r="M203" s="9" t="n">
        <v>0.45</v>
      </c>
      <c r="N203" s="9" t="n">
        <v>0.19</v>
      </c>
      <c r="O203" s="9" t="n">
        <v>-0.53</v>
      </c>
      <c r="P203" s="9" t="n">
        <v>-0.79</v>
      </c>
      <c r="Q203" s="58" t="n">
        <f aca="false">TRIMMEAN(B203:P203,2/COUNT(B203:P203))</f>
        <v>0.34</v>
      </c>
    </row>
    <row r="204" customFormat="false" ht="15.75" hidden="false" customHeight="true" outlineLevel="0" collapsed="false">
      <c r="A204" s="59" t="s">
        <v>347</v>
      </c>
      <c r="B204" s="9"/>
      <c r="C204" s="9" t="n">
        <v>-3.94</v>
      </c>
      <c r="D204" s="9"/>
      <c r="E204" s="9" t="n">
        <v>-0.37</v>
      </c>
      <c r="F204" s="9"/>
      <c r="G204" s="9"/>
      <c r="H204" s="9" t="n">
        <v>-1.18</v>
      </c>
      <c r="I204" s="9"/>
      <c r="J204" s="9"/>
      <c r="K204" s="9" t="n">
        <v>-4.24</v>
      </c>
      <c r="L204" s="9" t="n">
        <v>-0.43</v>
      </c>
      <c r="M204" s="9" t="n">
        <v>-0.23</v>
      </c>
      <c r="N204" s="9" t="n">
        <v>1.88</v>
      </c>
      <c r="O204" s="9"/>
      <c r="P204" s="9"/>
      <c r="Q204" s="58" t="n">
        <f aca="false">TRIMMEAN(B204:P204,2/COUNT(B204:P204))</f>
        <v>-1.23</v>
      </c>
    </row>
    <row r="205" customFormat="false" ht="15.75" hidden="false" customHeight="true" outlineLevel="0" collapsed="false">
      <c r="A205" s="57" t="s">
        <v>348</v>
      </c>
      <c r="B205" s="9"/>
      <c r="C205" s="9" t="n">
        <v>-1.02</v>
      </c>
      <c r="D205" s="9"/>
      <c r="E205" s="9" t="n">
        <v>0.79</v>
      </c>
      <c r="F205" s="9" t="n">
        <v>0.55</v>
      </c>
      <c r="G205" s="9"/>
      <c r="H205" s="9" t="n">
        <v>0.68</v>
      </c>
      <c r="I205" s="9"/>
      <c r="J205" s="9"/>
      <c r="K205" s="9" t="n">
        <v>-1.85</v>
      </c>
      <c r="L205" s="9" t="n">
        <v>-0.63</v>
      </c>
      <c r="M205" s="9"/>
      <c r="N205" s="9" t="n">
        <v>-0.73</v>
      </c>
      <c r="O205" s="9" t="n">
        <v>-1.34</v>
      </c>
      <c r="P205" s="9" t="n">
        <v>-2.07</v>
      </c>
      <c r="Q205" s="58" t="n">
        <f aca="false">TRIMMEAN(B205:P205,2/COUNT(B205:P205))</f>
        <v>-0.62</v>
      </c>
    </row>
    <row r="206" customFormat="false" ht="15.75" hidden="false" customHeight="true" outlineLevel="0" collapsed="false">
      <c r="A206" s="59" t="s">
        <v>349</v>
      </c>
      <c r="B206" s="9" t="n">
        <v>0.93</v>
      </c>
      <c r="C206" s="9" t="n">
        <v>0.66</v>
      </c>
      <c r="D206" s="9" t="n">
        <v>0.12</v>
      </c>
      <c r="E206" s="9" t="n">
        <v>0.6</v>
      </c>
      <c r="F206" s="9"/>
      <c r="G206" s="9" t="n">
        <v>-0.53</v>
      </c>
      <c r="H206" s="9" t="n">
        <v>-0.25</v>
      </c>
      <c r="I206" s="9"/>
      <c r="J206" s="9" t="n">
        <v>-0.83</v>
      </c>
      <c r="K206" s="9" t="n">
        <v>-0.68</v>
      </c>
      <c r="L206" s="9" t="n">
        <v>0.78</v>
      </c>
      <c r="M206" s="9" t="n">
        <v>0.7</v>
      </c>
      <c r="N206" s="9" t="n">
        <v>-0.76</v>
      </c>
      <c r="O206" s="9" t="n">
        <v>-1.51</v>
      </c>
      <c r="P206" s="9" t="n">
        <v>0.7</v>
      </c>
      <c r="Q206" s="58" t="n">
        <f aca="false">TRIMMEAN(B206:P206,2/COUNT(B206:P206))</f>
        <v>0.0463636363636364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 t="n">
        <v>0.53</v>
      </c>
      <c r="E207" s="9"/>
      <c r="F207" s="9"/>
      <c r="G207" s="9"/>
      <c r="H207" s="9"/>
      <c r="I207" s="9"/>
      <c r="J207" s="9"/>
      <c r="K207" s="9" t="n">
        <v>0.21</v>
      </c>
      <c r="L207" s="9" t="n">
        <v>-1.71</v>
      </c>
      <c r="M207" s="9" t="n">
        <v>0.77</v>
      </c>
      <c r="N207" s="9"/>
      <c r="O207" s="9" t="n">
        <v>0.12</v>
      </c>
      <c r="P207" s="9" t="n">
        <v>0.17</v>
      </c>
      <c r="Q207" s="58" t="n">
        <f aca="false">TRIMMEAN(B207:P207,2/COUNT(B207:P207))</f>
        <v>0.2575</v>
      </c>
    </row>
    <row r="208" customFormat="false" ht="15.75" hidden="false" customHeight="true" outlineLevel="0" collapsed="false">
      <c r="A208" s="57" t="s">
        <v>351</v>
      </c>
      <c r="B208" s="9"/>
      <c r="C208" s="9" t="n">
        <v>1.51</v>
      </c>
      <c r="D208" s="9"/>
      <c r="E208" s="9" t="n">
        <v>0.7</v>
      </c>
      <c r="F208" s="9" t="n">
        <v>-0.1</v>
      </c>
      <c r="G208" s="9" t="n">
        <v>-0.37</v>
      </c>
      <c r="H208" s="9"/>
      <c r="I208" s="9"/>
      <c r="J208" s="9"/>
      <c r="K208" s="9" t="n">
        <v>-0.07</v>
      </c>
      <c r="L208" s="9" t="n">
        <v>0.44</v>
      </c>
      <c r="M208" s="9" t="n">
        <v>-0.78</v>
      </c>
      <c r="N208" s="9"/>
      <c r="O208" s="9"/>
      <c r="P208" s="9"/>
      <c r="Q208" s="58" t="n">
        <f aca="false">TRIMMEAN(B208:P208,2/COUNT(B208:P208))</f>
        <v>0.12</v>
      </c>
    </row>
    <row r="209" customFormat="false" ht="15.75" hidden="false" customHeight="true" outlineLevel="0" collapsed="false">
      <c r="A209" s="59" t="s">
        <v>352</v>
      </c>
      <c r="B209" s="9"/>
      <c r="C209" s="9" t="n">
        <v>-0.77</v>
      </c>
      <c r="D209" s="9"/>
      <c r="E209" s="9" t="n">
        <v>1.43</v>
      </c>
      <c r="F209" s="9" t="n">
        <v>0.22</v>
      </c>
      <c r="G209" s="9"/>
      <c r="H209" s="9" t="n">
        <v>0.2</v>
      </c>
      <c r="I209" s="9"/>
      <c r="J209" s="9"/>
      <c r="K209" s="9" t="n">
        <v>0.96</v>
      </c>
      <c r="L209" s="9" t="n">
        <v>0.37</v>
      </c>
      <c r="M209" s="9" t="n">
        <v>0.53</v>
      </c>
      <c r="N209" s="9" t="n">
        <v>-0.88</v>
      </c>
      <c r="O209" s="9"/>
      <c r="P209" s="9"/>
      <c r="Q209" s="58" t="n">
        <f aca="false">TRIMMEAN(B209:P209,2/COUNT(B209:P209))</f>
        <v>0.251666666666667</v>
      </c>
    </row>
    <row r="210" customFormat="false" ht="15.75" hidden="false" customHeight="true" outlineLevel="0" collapsed="false">
      <c r="A210" s="59" t="s">
        <v>353</v>
      </c>
      <c r="B210" s="9"/>
      <c r="C210" s="9" t="n">
        <v>-2.61</v>
      </c>
      <c r="D210" s="9"/>
      <c r="E210" s="9" t="n">
        <v>-1.09</v>
      </c>
      <c r="F210" s="9" t="n">
        <v>0.25</v>
      </c>
      <c r="G210" s="9"/>
      <c r="H210" s="9" t="n">
        <v>-0.31</v>
      </c>
      <c r="I210" s="9" t="n">
        <v>-1.6</v>
      </c>
      <c r="J210" s="9"/>
      <c r="K210" s="9" t="n">
        <v>-0.19</v>
      </c>
      <c r="L210" s="9" t="n">
        <v>0.95</v>
      </c>
      <c r="M210" s="9"/>
      <c r="N210" s="9" t="n">
        <v>0.53</v>
      </c>
      <c r="O210" s="9" t="n">
        <v>-0.23</v>
      </c>
      <c r="P210" s="9" t="n">
        <v>-0.1</v>
      </c>
      <c r="Q210" s="58" t="n">
        <f aca="false">TRIMMEAN(B210:P210,2/COUNT(B210:P210))</f>
        <v>-0.3425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 t="n">
        <v>-1.41</v>
      </c>
      <c r="F211" s="9"/>
      <c r="G211" s="9"/>
      <c r="H211" s="9"/>
      <c r="I211" s="9"/>
      <c r="J211" s="9"/>
      <c r="K211" s="9"/>
      <c r="L211" s="9" t="n">
        <v>-0.51</v>
      </c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0.39</v>
      </c>
      <c r="C212" s="9" t="n">
        <v>0.95</v>
      </c>
      <c r="D212" s="9" t="n">
        <v>-0.37</v>
      </c>
      <c r="E212" s="9"/>
      <c r="F212" s="9" t="n">
        <v>0.4</v>
      </c>
      <c r="G212" s="9" t="n">
        <v>2.42</v>
      </c>
      <c r="H212" s="9"/>
      <c r="I212" s="9" t="n">
        <v>-0.53</v>
      </c>
      <c r="J212" s="9" t="n">
        <v>-0.36</v>
      </c>
      <c r="K212" s="9" t="n">
        <v>-0.65</v>
      </c>
      <c r="L212" s="9"/>
      <c r="M212" s="9" t="n">
        <v>-0.76</v>
      </c>
      <c r="N212" s="9"/>
      <c r="O212" s="9"/>
      <c r="P212" s="9" t="n">
        <v>0.4</v>
      </c>
      <c r="Q212" s="58" t="n">
        <f aca="false">TRIMMEAN(B212:P212,2/COUNT(B212:P212))</f>
        <v>0.02875</v>
      </c>
    </row>
    <row r="213" customFormat="false" ht="15.75" hidden="false" customHeight="true" outlineLevel="0" collapsed="false">
      <c r="A213" s="57" t="s">
        <v>356</v>
      </c>
      <c r="B213" s="9" t="n">
        <v>0.96</v>
      </c>
      <c r="C213" s="9" t="n">
        <v>-0.28</v>
      </c>
      <c r="D213" s="9" t="n">
        <v>0.44</v>
      </c>
      <c r="E213" s="9"/>
      <c r="F213" s="9"/>
      <c r="G213" s="9"/>
      <c r="H213" s="9" t="n">
        <v>0.27</v>
      </c>
      <c r="I213" s="9"/>
      <c r="J213" s="9"/>
      <c r="K213" s="9" t="n">
        <v>-1.98</v>
      </c>
      <c r="L213" s="9" t="n">
        <v>0.88</v>
      </c>
      <c r="M213" s="9" t="n">
        <v>-0.98</v>
      </c>
      <c r="N213" s="9" t="n">
        <v>0.8</v>
      </c>
      <c r="O213" s="9" t="n">
        <v>-2.02</v>
      </c>
      <c r="P213" s="9" t="n">
        <v>-3.04</v>
      </c>
      <c r="Q213" s="58" t="n">
        <f aca="false">TRIMMEAN(B213:P213,2/COUNT(B213:P213))</f>
        <v>-0.35875</v>
      </c>
    </row>
    <row r="214" customFormat="false" ht="15.75" hidden="false" customHeight="true" outlineLevel="0" collapsed="false">
      <c r="A214" s="59" t="s">
        <v>357</v>
      </c>
      <c r="B214" s="9"/>
      <c r="C214" s="9" t="n">
        <v>-1.28</v>
      </c>
      <c r="D214" s="9"/>
      <c r="E214" s="9" t="n">
        <v>-1.04</v>
      </c>
      <c r="F214" s="9" t="n">
        <v>0.27</v>
      </c>
      <c r="G214" s="9"/>
      <c r="H214" s="9" t="n">
        <v>-0.52</v>
      </c>
      <c r="I214" s="9"/>
      <c r="J214" s="9"/>
      <c r="K214" s="9" t="n">
        <v>-1.83</v>
      </c>
      <c r="L214" s="9"/>
      <c r="M214" s="9" t="n">
        <v>-0.57</v>
      </c>
      <c r="N214" s="9" t="n">
        <v>1.82</v>
      </c>
      <c r="O214" s="9" t="n">
        <v>-0.95</v>
      </c>
      <c r="P214" s="9" t="n">
        <v>-1.01</v>
      </c>
      <c r="Q214" s="58" t="n">
        <f aca="false">TRIMMEAN(B214:P214,2/COUNT(B214:P214))</f>
        <v>-0.728571428571429</v>
      </c>
    </row>
    <row r="215" customFormat="false" ht="15.75" hidden="false" customHeight="true" outlineLevel="0" collapsed="false">
      <c r="A215" s="57" t="s">
        <v>358</v>
      </c>
      <c r="B215" s="9" t="n">
        <v>-1.19</v>
      </c>
      <c r="C215" s="9" t="n">
        <v>3.2</v>
      </c>
      <c r="D215" s="9"/>
      <c r="E215" s="9" t="n">
        <v>0.98</v>
      </c>
      <c r="F215" s="9" t="n">
        <v>0.94</v>
      </c>
      <c r="G215" s="9" t="n">
        <v>-2.27</v>
      </c>
      <c r="H215" s="9"/>
      <c r="I215" s="9"/>
      <c r="J215" s="9" t="n">
        <v>-0.46</v>
      </c>
      <c r="K215" s="9" t="n">
        <v>-0.25</v>
      </c>
      <c r="L215" s="9" t="n">
        <v>-3.02</v>
      </c>
      <c r="M215" s="9"/>
      <c r="N215" s="9"/>
      <c r="O215" s="9"/>
      <c r="P215" s="9"/>
      <c r="Q215" s="58" t="n">
        <f aca="false">TRIMMEAN(B215:P215,2/COUNT(B215:P215))</f>
        <v>-0.375</v>
      </c>
    </row>
    <row r="216" customFormat="false" ht="15.75" hidden="false" customHeight="true" outlineLevel="0" collapsed="false">
      <c r="A216" s="57" t="s">
        <v>359</v>
      </c>
      <c r="B216" s="9" t="n">
        <v>-0.95</v>
      </c>
      <c r="C216" s="9" t="n">
        <v>0.14</v>
      </c>
      <c r="D216" s="9" t="n">
        <v>-0.16</v>
      </c>
      <c r="E216" s="9"/>
      <c r="F216" s="9" t="n">
        <v>-0.57</v>
      </c>
      <c r="G216" s="9" t="n">
        <v>0.02</v>
      </c>
      <c r="H216" s="9"/>
      <c r="I216" s="9" t="n">
        <v>-1.67</v>
      </c>
      <c r="J216" s="9" t="n">
        <v>-1.12</v>
      </c>
      <c r="K216" s="9"/>
      <c r="L216" s="9" t="n">
        <v>-0.09</v>
      </c>
      <c r="M216" s="9" t="n">
        <v>-1.3</v>
      </c>
      <c r="N216" s="9"/>
      <c r="O216" s="9"/>
      <c r="P216" s="9"/>
      <c r="Q216" s="58" t="n">
        <f aca="false">TRIMMEAN(B216:P216,2/COUNT(B216:P216))</f>
        <v>-0.595714285714286</v>
      </c>
    </row>
    <row r="217" customFormat="false" ht="15.75" hidden="false" customHeight="true" outlineLevel="0" collapsed="false">
      <c r="A217" s="57" t="s">
        <v>360</v>
      </c>
      <c r="B217" s="9" t="n">
        <v>0.61</v>
      </c>
      <c r="C217" s="9" t="n">
        <v>0.12</v>
      </c>
      <c r="D217" s="9" t="n">
        <v>0.15</v>
      </c>
      <c r="E217" s="9"/>
      <c r="F217" s="9" t="n">
        <v>0.22</v>
      </c>
      <c r="G217" s="9"/>
      <c r="H217" s="9" t="n">
        <v>-2.26</v>
      </c>
      <c r="I217" s="9" t="n">
        <v>0.27</v>
      </c>
      <c r="J217" s="9"/>
      <c r="K217" s="9" t="n">
        <v>0.62</v>
      </c>
      <c r="L217" s="9" t="n">
        <v>0.46</v>
      </c>
      <c r="M217" s="9"/>
      <c r="N217" s="9" t="n">
        <v>-0.38</v>
      </c>
      <c r="O217" s="9" t="n">
        <v>0.43</v>
      </c>
      <c r="P217" s="9" t="n">
        <v>0.69</v>
      </c>
      <c r="Q217" s="58" t="n">
        <f aca="false">TRIMMEAN(B217:P217,2/COUNT(B217:P217))</f>
        <v>0.277777777777778</v>
      </c>
    </row>
    <row r="218" customFormat="false" ht="15.75" hidden="false" customHeight="true" outlineLevel="0" collapsed="false">
      <c r="A218" s="57" t="s">
        <v>361</v>
      </c>
      <c r="B218" s="9"/>
      <c r="C218" s="9" t="n">
        <v>2.19</v>
      </c>
      <c r="D218" s="9" t="n">
        <v>0.35</v>
      </c>
      <c r="E218" s="9"/>
      <c r="F218" s="9" t="n">
        <v>-0.55</v>
      </c>
      <c r="G218" s="9" t="n">
        <v>2.19</v>
      </c>
      <c r="H218" s="9"/>
      <c r="I218" s="9" t="n">
        <v>-1.55</v>
      </c>
      <c r="J218" s="9"/>
      <c r="K218" s="9"/>
      <c r="L218" s="9" t="n">
        <v>-0.6</v>
      </c>
      <c r="M218" s="9" t="n">
        <v>1.37</v>
      </c>
      <c r="N218" s="9"/>
      <c r="O218" s="9"/>
      <c r="P218" s="9"/>
      <c r="Q218" s="58" t="n">
        <f aca="false">TRIMMEAN(B218:P218,2/COUNT(B218:P218))</f>
        <v>0.552</v>
      </c>
    </row>
    <row r="219" customFormat="false" ht="15.75" hidden="false" customHeight="true" outlineLevel="0" collapsed="false">
      <c r="A219" s="57" t="s">
        <v>362</v>
      </c>
      <c r="B219" s="9"/>
      <c r="C219" s="9" t="n">
        <v>0.77</v>
      </c>
      <c r="D219" s="9" t="n">
        <v>1.82</v>
      </c>
      <c r="E219" s="9"/>
      <c r="F219" s="9"/>
      <c r="G219" s="9" t="n">
        <v>1.33</v>
      </c>
      <c r="H219" s="9" t="n">
        <v>0.36</v>
      </c>
      <c r="I219" s="9" t="n">
        <v>0.12</v>
      </c>
      <c r="J219" s="9" t="n">
        <v>0.15</v>
      </c>
      <c r="K219" s="9"/>
      <c r="L219" s="9" t="n">
        <v>1.12</v>
      </c>
      <c r="M219" s="9" t="n">
        <v>-0.11</v>
      </c>
      <c r="N219" s="9"/>
      <c r="O219" s="9"/>
      <c r="P219" s="9" t="n">
        <v>0.67</v>
      </c>
      <c r="Q219" s="58" t="n">
        <f aca="false">TRIMMEAN(B219:P219,2/COUNT(B219:P219))</f>
        <v>0.645714285714286</v>
      </c>
    </row>
    <row r="220" customFormat="false" ht="15.75" hidden="false" customHeight="true" outlineLevel="0" collapsed="false">
      <c r="A220" s="59" t="s">
        <v>363</v>
      </c>
      <c r="B220" s="9"/>
      <c r="C220" s="9" t="n">
        <v>-1.13</v>
      </c>
      <c r="D220" s="9"/>
      <c r="E220" s="9" t="n">
        <v>0.45</v>
      </c>
      <c r="F220" s="9" t="n">
        <v>-1.57</v>
      </c>
      <c r="G220" s="9"/>
      <c r="H220" s="9" t="n">
        <v>-2.7</v>
      </c>
      <c r="I220" s="9"/>
      <c r="J220" s="9"/>
      <c r="K220" s="9" t="n">
        <v>-1.61</v>
      </c>
      <c r="L220" s="9" t="n">
        <v>-0.45</v>
      </c>
      <c r="M220" s="9" t="n">
        <v>-0.55</v>
      </c>
      <c r="N220" s="9" t="n">
        <v>0.17</v>
      </c>
      <c r="O220" s="9" t="n">
        <v>-1.16</v>
      </c>
      <c r="P220" s="9" t="n">
        <v>0.24</v>
      </c>
      <c r="Q220" s="58" t="n">
        <f aca="false">TRIMMEAN(B220:P220,2/COUNT(B220:P220))</f>
        <v>-0.7575</v>
      </c>
    </row>
    <row r="221" customFormat="false" ht="15.75" hidden="false" customHeight="true" outlineLevel="0" collapsed="false">
      <c r="A221" s="57" t="s">
        <v>364</v>
      </c>
      <c r="B221" s="9" t="n">
        <v>0.08</v>
      </c>
      <c r="C221" s="9" t="n">
        <v>-2.15</v>
      </c>
      <c r="D221" s="9"/>
      <c r="E221" s="9" t="n">
        <v>0.67</v>
      </c>
      <c r="F221" s="9" t="n">
        <v>0</v>
      </c>
      <c r="G221" s="9" t="n">
        <v>0.63</v>
      </c>
      <c r="H221" s="9"/>
      <c r="I221" s="9"/>
      <c r="J221" s="9" t="n">
        <v>-1.51</v>
      </c>
      <c r="K221" s="9" t="n">
        <v>-0.98</v>
      </c>
      <c r="L221" s="9" t="n">
        <v>-0.61</v>
      </c>
      <c r="M221" s="9" t="n">
        <v>0.84</v>
      </c>
      <c r="N221" s="9"/>
      <c r="O221" s="9"/>
      <c r="P221" s="9"/>
      <c r="Q221" s="58" t="n">
        <f aca="false">TRIMMEAN(B221:P221,2/COUNT(B221:P221))</f>
        <v>-0.245714285714286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 t="n">
        <v>-0.04</v>
      </c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1.57</v>
      </c>
      <c r="E223" s="9"/>
      <c r="F223" s="9"/>
      <c r="G223" s="9"/>
      <c r="H223" s="9"/>
      <c r="I223" s="9" t="n">
        <v>0.72</v>
      </c>
      <c r="J223" s="9" t="n">
        <v>0.02</v>
      </c>
      <c r="K223" s="9" t="n">
        <v>0.22</v>
      </c>
      <c r="L223" s="9" t="n">
        <v>0.44</v>
      </c>
      <c r="M223" s="9" t="n">
        <v>1.28</v>
      </c>
      <c r="N223" s="9"/>
      <c r="O223" s="9"/>
      <c r="P223" s="9"/>
      <c r="Q223" s="58" t="n">
        <f aca="false">TRIMMEAN(B223:P223,2/COUNT(B223:P223))</f>
        <v>0.665</v>
      </c>
    </row>
    <row r="224" customFormat="false" ht="15.75" hidden="false" customHeight="true" outlineLevel="0" collapsed="false">
      <c r="A224" s="57" t="s">
        <v>367</v>
      </c>
      <c r="B224" s="9" t="n">
        <v>0.47</v>
      </c>
      <c r="C224" s="9" t="n">
        <v>1.26</v>
      </c>
      <c r="D224" s="9" t="n">
        <v>0.55</v>
      </c>
      <c r="E224" s="9"/>
      <c r="F224" s="9"/>
      <c r="G224" s="9" t="n">
        <v>2.29</v>
      </c>
      <c r="H224" s="9" t="n">
        <v>0.01</v>
      </c>
      <c r="I224" s="9" t="n">
        <v>0.36</v>
      </c>
      <c r="J224" s="9" t="n">
        <v>-0.65</v>
      </c>
      <c r="K224" s="9"/>
      <c r="L224" s="9" t="n">
        <v>-0.96</v>
      </c>
      <c r="M224" s="9" t="n">
        <v>0.55</v>
      </c>
      <c r="N224" s="9"/>
      <c r="O224" s="9"/>
      <c r="P224" s="9"/>
      <c r="Q224" s="58" t="n">
        <f aca="false">TRIMMEAN(B224:P224,2/COUNT(B224:P224))</f>
        <v>0.364285714285714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-0.26</v>
      </c>
      <c r="D226" s="9" t="n">
        <v>-1.08</v>
      </c>
      <c r="E226" s="9" t="n">
        <v>-2.14</v>
      </c>
      <c r="F226" s="9" t="n">
        <v>-0.03</v>
      </c>
      <c r="G226" s="9"/>
      <c r="H226" s="9" t="n">
        <v>-1.99</v>
      </c>
      <c r="I226" s="9"/>
      <c r="J226" s="9"/>
      <c r="K226" s="9" t="n">
        <v>0.25</v>
      </c>
      <c r="L226" s="9" t="n">
        <v>0.31</v>
      </c>
      <c r="M226" s="9" t="n">
        <v>0.28</v>
      </c>
      <c r="N226" s="9" t="n">
        <v>-2.3</v>
      </c>
      <c r="O226" s="9" t="n">
        <v>0.69</v>
      </c>
      <c r="P226" s="9" t="n">
        <v>-1.54</v>
      </c>
      <c r="Q226" s="58" t="n">
        <f aca="false">TRIMMEAN(B226:P226,2/COUNT(B226:P226))</f>
        <v>-0.688888888888889</v>
      </c>
    </row>
    <row r="227" customFormat="false" ht="15.75" hidden="false" customHeight="true" outlineLevel="0" collapsed="false">
      <c r="A227" s="59" t="s">
        <v>370</v>
      </c>
      <c r="B227" s="9" t="n">
        <v>-0.63</v>
      </c>
      <c r="C227" s="9" t="n">
        <v>-0.51</v>
      </c>
      <c r="D227" s="9" t="n">
        <v>0.13</v>
      </c>
      <c r="E227" s="9" t="n">
        <v>0.25</v>
      </c>
      <c r="F227" s="9" t="n">
        <v>-1.6</v>
      </c>
      <c r="G227" s="9" t="n">
        <v>-0.28</v>
      </c>
      <c r="H227" s="9"/>
      <c r="I227" s="9" t="n">
        <v>-0.82</v>
      </c>
      <c r="J227" s="9"/>
      <c r="K227" s="9" t="n">
        <v>-0.82</v>
      </c>
      <c r="L227" s="9"/>
      <c r="M227" s="9"/>
      <c r="N227" s="9" t="n">
        <v>-2.98</v>
      </c>
      <c r="O227" s="9" t="n">
        <v>0.66</v>
      </c>
      <c r="P227" s="9" t="n">
        <v>-1.29</v>
      </c>
      <c r="Q227" s="58" t="n">
        <f aca="false">TRIMMEAN(B227:P227,2/COUNT(B227:P227))</f>
        <v>-0.618888888888889</v>
      </c>
    </row>
    <row r="228" customFormat="false" ht="15.75" hidden="false" customHeight="true" outlineLevel="0" collapsed="false">
      <c r="A228" s="57" t="s">
        <v>371</v>
      </c>
      <c r="B228" s="9" t="n">
        <v>0.34</v>
      </c>
      <c r="C228" s="9" t="n">
        <v>-0.66</v>
      </c>
      <c r="D228" s="9"/>
      <c r="E228" s="9" t="n">
        <v>-1.22</v>
      </c>
      <c r="F228" s="9" t="n">
        <v>-1.15</v>
      </c>
      <c r="G228" s="9" t="n">
        <v>-0.34</v>
      </c>
      <c r="H228" s="9"/>
      <c r="I228" s="9"/>
      <c r="J228" s="9" t="n">
        <v>0.66</v>
      </c>
      <c r="K228" s="9" t="n">
        <v>0.54</v>
      </c>
      <c r="L228" s="9" t="n">
        <v>-0.27</v>
      </c>
      <c r="M228" s="9"/>
      <c r="N228" s="9"/>
      <c r="O228" s="9"/>
      <c r="P228" s="9"/>
      <c r="Q228" s="58" t="n">
        <f aca="false">TRIMMEAN(B228:P228,2/COUNT(B228:P228))</f>
        <v>-0.256666666666667</v>
      </c>
    </row>
    <row r="229" customFormat="false" ht="15.75" hidden="false" customHeight="true" outlineLevel="0" collapsed="false">
      <c r="A229" s="59" t="s">
        <v>372</v>
      </c>
      <c r="B229" s="9" t="n">
        <v>0</v>
      </c>
      <c r="C229" s="9" t="n">
        <v>0.11</v>
      </c>
      <c r="D229" s="9" t="n">
        <v>1.01</v>
      </c>
      <c r="E229" s="9"/>
      <c r="F229" s="9"/>
      <c r="G229" s="9" t="n">
        <v>1.41</v>
      </c>
      <c r="H229" s="9" t="n">
        <v>-0.37</v>
      </c>
      <c r="I229" s="9" t="n">
        <v>1.13</v>
      </c>
      <c r="J229" s="9" t="n">
        <v>0.34</v>
      </c>
      <c r="K229" s="9"/>
      <c r="L229" s="9"/>
      <c r="M229" s="9" t="n">
        <v>-0.02</v>
      </c>
      <c r="N229" s="9"/>
      <c r="O229" s="9"/>
      <c r="P229" s="9"/>
      <c r="Q229" s="58" t="n">
        <f aca="false">TRIMMEAN(B229:P229,2/COUNT(B229:P229))</f>
        <v>0.428333333333333</v>
      </c>
    </row>
    <row r="230" customFormat="false" ht="15.75" hidden="false" customHeight="true" outlineLevel="0" collapsed="false">
      <c r="A230" s="59" t="s">
        <v>373</v>
      </c>
      <c r="B230" s="9"/>
      <c r="C230" s="9" t="n">
        <v>-1.32</v>
      </c>
      <c r="D230" s="9"/>
      <c r="E230" s="9"/>
      <c r="F230" s="9"/>
      <c r="G230" s="9"/>
      <c r="H230" s="9"/>
      <c r="I230" s="9"/>
      <c r="J230" s="9"/>
      <c r="K230" s="9"/>
      <c r="L230" s="9" t="n">
        <v>0.71</v>
      </c>
      <c r="M230" s="9" t="n">
        <v>1.76</v>
      </c>
      <c r="N230" s="9"/>
      <c r="O230" s="9"/>
      <c r="P230" s="9"/>
      <c r="Q230" s="58" t="n">
        <f aca="false">TRIMMEAN(B230:P230,2/COUNT(B230:P230))</f>
        <v>0.71</v>
      </c>
    </row>
    <row r="231" customFormat="false" ht="15.75" hidden="false" customHeight="true" outlineLevel="0" collapsed="false">
      <c r="A231" s="57" t="s">
        <v>374</v>
      </c>
      <c r="B231" s="9"/>
      <c r="C231" s="9" t="n">
        <v>-0.82</v>
      </c>
      <c r="D231" s="9"/>
      <c r="E231" s="9" t="n">
        <v>-0.28</v>
      </c>
      <c r="F231" s="9" t="n">
        <v>-0.86</v>
      </c>
      <c r="G231" s="9"/>
      <c r="H231" s="9" t="n">
        <v>0.02</v>
      </c>
      <c r="I231" s="9" t="n">
        <v>-1.07</v>
      </c>
      <c r="J231" s="9"/>
      <c r="K231" s="9" t="n">
        <v>-0.91</v>
      </c>
      <c r="L231" s="9" t="n">
        <v>0.16</v>
      </c>
      <c r="M231" s="9" t="n">
        <v>0.38</v>
      </c>
      <c r="N231" s="9" t="n">
        <v>0.51</v>
      </c>
      <c r="O231" s="9" t="n">
        <v>0.29</v>
      </c>
      <c r="P231" s="9" t="n">
        <v>0.9</v>
      </c>
      <c r="Q231" s="58" t="n">
        <f aca="false">TRIMMEAN(B231:P231,2/COUNT(B231:P231))</f>
        <v>-0.167777777777778</v>
      </c>
    </row>
    <row r="232" customFormat="false" ht="15.75" hidden="false" customHeight="true" outlineLevel="0" collapsed="false">
      <c r="A232" s="57" t="s">
        <v>375</v>
      </c>
      <c r="B232" s="9" t="n">
        <v>0.51</v>
      </c>
      <c r="C232" s="9" t="n">
        <v>0.05</v>
      </c>
      <c r="D232" s="9"/>
      <c r="E232" s="9"/>
      <c r="F232" s="9" t="n">
        <v>1.08</v>
      </c>
      <c r="G232" s="9" t="n">
        <v>0.53</v>
      </c>
      <c r="H232" s="9"/>
      <c r="I232" s="9"/>
      <c r="J232" s="9" t="n">
        <v>-0.42</v>
      </c>
      <c r="K232" s="9"/>
      <c r="L232" s="9" t="n">
        <v>0.63</v>
      </c>
      <c r="M232" s="9" t="n">
        <v>-0.22</v>
      </c>
      <c r="N232" s="9"/>
      <c r="O232" s="9"/>
      <c r="P232" s="9"/>
      <c r="Q232" s="58" t="n">
        <f aca="false">TRIMMEAN(B232:P232,2/COUNT(B232:P232))</f>
        <v>0.3</v>
      </c>
    </row>
    <row r="233" customFormat="false" ht="15.75" hidden="false" customHeight="true" outlineLevel="0" collapsed="false">
      <c r="A233" s="59" t="s">
        <v>376</v>
      </c>
      <c r="B233" s="9"/>
      <c r="C233" s="9" t="n">
        <v>-0.03</v>
      </c>
      <c r="D233" s="9"/>
      <c r="E233" s="9" t="n">
        <v>0.18</v>
      </c>
      <c r="F233" s="9" t="n">
        <v>0.34</v>
      </c>
      <c r="G233" s="9"/>
      <c r="H233" s="9" t="n">
        <v>0.39</v>
      </c>
      <c r="I233" s="9" t="n">
        <v>-1.22</v>
      </c>
      <c r="J233" s="9"/>
      <c r="K233" s="9" t="n">
        <v>-1.54</v>
      </c>
      <c r="L233" s="9" t="n">
        <v>0.15</v>
      </c>
      <c r="M233" s="9" t="n">
        <v>-2.5</v>
      </c>
      <c r="N233" s="9" t="n">
        <v>-0.15</v>
      </c>
      <c r="O233" s="9" t="n">
        <v>-0.95</v>
      </c>
      <c r="P233" s="9" t="n">
        <v>-0.11</v>
      </c>
      <c r="Q233" s="58" t="n">
        <f aca="false">TRIMMEAN(B233:P233,2/COUNT(B233:P233))</f>
        <v>-0.37</v>
      </c>
    </row>
    <row r="234" customFormat="false" ht="15.75" hidden="false" customHeight="true" outlineLevel="0" collapsed="false">
      <c r="A234" s="59" t="s">
        <v>377</v>
      </c>
      <c r="B234" s="9"/>
      <c r="C234" s="9" t="n">
        <v>0.3</v>
      </c>
      <c r="D234" s="9"/>
      <c r="E234" s="9" t="n">
        <v>0.7</v>
      </c>
      <c r="F234" s="9" t="n">
        <v>1.14</v>
      </c>
      <c r="G234" s="9"/>
      <c r="H234" s="9" t="n">
        <v>0.51</v>
      </c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0.605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-1.3</v>
      </c>
      <c r="E235" s="9" t="n">
        <v>0.15</v>
      </c>
      <c r="F235" s="9" t="n">
        <v>-0.07</v>
      </c>
      <c r="G235" s="9"/>
      <c r="H235" s="9"/>
      <c r="I235" s="9" t="n">
        <v>0.19</v>
      </c>
      <c r="J235" s="9"/>
      <c r="K235" s="9"/>
      <c r="L235" s="9" t="n">
        <v>-0.02</v>
      </c>
      <c r="M235" s="9" t="n">
        <v>-1.75</v>
      </c>
      <c r="N235" s="9"/>
      <c r="O235" s="9" t="n">
        <v>0.32</v>
      </c>
      <c r="P235" s="9" t="n">
        <v>0.71</v>
      </c>
      <c r="Q235" s="58" t="n">
        <f aca="false">TRIMMEAN(B235:P235,2/COUNT(B235:P235))</f>
        <v>-0.121666666666667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 t="n">
        <v>-0.92</v>
      </c>
      <c r="D237" s="9"/>
      <c r="E237" s="9" t="n">
        <v>-3.83</v>
      </c>
      <c r="F237" s="9"/>
      <c r="G237" s="9"/>
      <c r="H237" s="9"/>
      <c r="I237" s="9"/>
      <c r="J237" s="9"/>
      <c r="K237" s="9" t="n">
        <v>-2.77</v>
      </c>
      <c r="L237" s="9" t="n">
        <v>-1.38</v>
      </c>
      <c r="M237" s="9" t="n">
        <v>0.81</v>
      </c>
      <c r="N237" s="9" t="n">
        <v>-3.27</v>
      </c>
      <c r="O237" s="9" t="n">
        <v>-1.14</v>
      </c>
      <c r="P237" s="9" t="n">
        <v>-0.47</v>
      </c>
      <c r="Q237" s="58" t="n">
        <f aca="false">TRIMMEAN(B237:P237,2/COUNT(B237:P237))</f>
        <v>-1.65833333333333</v>
      </c>
    </row>
    <row r="238" customFormat="false" ht="15.75" hidden="false" customHeight="true" outlineLevel="0" collapsed="false">
      <c r="A238" s="57" t="s">
        <v>381</v>
      </c>
      <c r="B238" s="9" t="n">
        <v>-0.77</v>
      </c>
      <c r="C238" s="9" t="n">
        <v>0.59</v>
      </c>
      <c r="D238" s="9" t="n">
        <v>-0.25</v>
      </c>
      <c r="E238" s="9" t="n">
        <v>1.42</v>
      </c>
      <c r="F238" s="9"/>
      <c r="G238" s="9" t="n">
        <v>0.21</v>
      </c>
      <c r="H238" s="9"/>
      <c r="I238" s="9" t="n">
        <v>-1.88</v>
      </c>
      <c r="J238" s="9"/>
      <c r="K238" s="9" t="n">
        <v>-1.52</v>
      </c>
      <c r="L238" s="9" t="n">
        <v>0.38</v>
      </c>
      <c r="M238" s="9" t="n">
        <v>0.27</v>
      </c>
      <c r="N238" s="9"/>
      <c r="O238" s="9"/>
      <c r="P238" s="9"/>
      <c r="Q238" s="58" t="n">
        <f aca="false">TRIMMEAN(B238:P238,2/COUNT(B238:P238))</f>
        <v>-0.155714285714286</v>
      </c>
    </row>
    <row r="239" customFormat="false" ht="15.75" hidden="false" customHeight="true" outlineLevel="0" collapsed="false">
      <c r="A239" s="57" t="s">
        <v>382</v>
      </c>
      <c r="B239" s="9"/>
      <c r="C239" s="9" t="n">
        <v>-0.24</v>
      </c>
      <c r="D239" s="9" t="n">
        <v>-0.34</v>
      </c>
      <c r="E239" s="9"/>
      <c r="F239" s="9"/>
      <c r="G239" s="9" t="n">
        <v>0.67</v>
      </c>
      <c r="H239" s="9"/>
      <c r="I239" s="9" t="n">
        <v>0.51</v>
      </c>
      <c r="J239" s="9" t="n">
        <v>-0.53</v>
      </c>
      <c r="K239" s="9"/>
      <c r="L239" s="9" t="n">
        <v>-0.74</v>
      </c>
      <c r="M239" s="9" t="n">
        <v>0.47</v>
      </c>
      <c r="N239" s="9"/>
      <c r="O239" s="9" t="n">
        <v>1.28</v>
      </c>
      <c r="P239" s="9"/>
      <c r="Q239" s="58" t="n">
        <f aca="false">TRIMMEAN(B239:P239,2/COUNT(B239:P239))</f>
        <v>0.09</v>
      </c>
    </row>
    <row r="240" customFormat="false" ht="15.75" hidden="false" customHeight="true" outlineLevel="0" collapsed="false">
      <c r="A240" s="57" t="s">
        <v>383</v>
      </c>
      <c r="B240" s="9" t="n">
        <v>1.66</v>
      </c>
      <c r="C240" s="9"/>
      <c r="D240" s="9" t="n">
        <v>1.42</v>
      </c>
      <c r="E240" s="9" t="n">
        <v>1.32</v>
      </c>
      <c r="F240" s="9"/>
      <c r="G240" s="9" t="n">
        <v>0.75</v>
      </c>
      <c r="H240" s="9"/>
      <c r="I240" s="9" t="n">
        <v>0.92</v>
      </c>
      <c r="J240" s="9" t="n">
        <v>1.69</v>
      </c>
      <c r="K240" s="9"/>
      <c r="L240" s="9" t="n">
        <v>-0.87</v>
      </c>
      <c r="M240" s="9" t="n">
        <v>1.41</v>
      </c>
      <c r="N240" s="9" t="n">
        <v>1.16</v>
      </c>
      <c r="O240" s="9"/>
      <c r="P240" s="9"/>
      <c r="Q240" s="58" t="n">
        <f aca="false">TRIMMEAN(B240:P240,2/COUNT(B240:P240))</f>
        <v>1.23428571428571</v>
      </c>
    </row>
    <row r="241" customFormat="false" ht="15.75" hidden="false" customHeight="true" outlineLevel="0" collapsed="false">
      <c r="A241" s="59" t="s">
        <v>384</v>
      </c>
      <c r="B241" s="9"/>
      <c r="C241" s="9" t="n">
        <v>-2.66</v>
      </c>
      <c r="D241" s="9" t="n">
        <v>0.23</v>
      </c>
      <c r="E241" s="9" t="n">
        <v>-1</v>
      </c>
      <c r="F241" s="9" t="n">
        <v>-1.14</v>
      </c>
      <c r="G241" s="9"/>
      <c r="H241" s="9" t="n">
        <v>0.36</v>
      </c>
      <c r="I241" s="9"/>
      <c r="J241" s="9"/>
      <c r="K241" s="9" t="n">
        <v>-0.32</v>
      </c>
      <c r="L241" s="9" t="n">
        <v>-0.42</v>
      </c>
      <c r="M241" s="9"/>
      <c r="N241" s="9" t="n">
        <v>-0.07</v>
      </c>
      <c r="O241" s="9" t="n">
        <v>0.67</v>
      </c>
      <c r="P241" s="9" t="n">
        <v>-1.43</v>
      </c>
      <c r="Q241" s="58" t="n">
        <f aca="false">TRIMMEAN(B241:P241,2/COUNT(B241:P241))</f>
        <v>-0.47375</v>
      </c>
    </row>
    <row r="242" customFormat="false" ht="15.75" hidden="false" customHeight="true" outlineLevel="0" collapsed="false">
      <c r="A242" s="57" t="s">
        <v>385</v>
      </c>
      <c r="B242" s="9"/>
      <c r="C242" s="9" t="n">
        <v>-1.2</v>
      </c>
      <c r="D242" s="9" t="n">
        <v>0.36</v>
      </c>
      <c r="E242" s="9" t="n">
        <v>0.69</v>
      </c>
      <c r="F242" s="9"/>
      <c r="G242" s="9"/>
      <c r="H242" s="9" t="n">
        <v>-1.65</v>
      </c>
      <c r="I242" s="9" t="n">
        <v>0.2</v>
      </c>
      <c r="J242" s="9"/>
      <c r="K242" s="9"/>
      <c r="L242" s="9" t="n">
        <v>0.85</v>
      </c>
      <c r="M242" s="9"/>
      <c r="N242" s="9" t="n">
        <v>-0.43</v>
      </c>
      <c r="O242" s="9" t="n">
        <v>-0.61</v>
      </c>
      <c r="P242" s="9" t="n">
        <v>0.53</v>
      </c>
      <c r="Q242" s="58" t="n">
        <f aca="false">TRIMMEAN(B242:P242,2/COUNT(B242:P242))</f>
        <v>-0.0657142857142857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-0.58</v>
      </c>
      <c r="C244" s="9" t="n">
        <v>1.18</v>
      </c>
      <c r="D244" s="9"/>
      <c r="E244" s="9" t="n">
        <v>-1.19</v>
      </c>
      <c r="F244" s="9" t="n">
        <v>-2.15</v>
      </c>
      <c r="G244" s="9"/>
      <c r="H244" s="9"/>
      <c r="I244" s="9"/>
      <c r="J244" s="9" t="n">
        <v>0.15</v>
      </c>
      <c r="K244" s="9" t="n">
        <v>-0.78</v>
      </c>
      <c r="L244" s="9" t="n">
        <v>-1.49</v>
      </c>
      <c r="M244" s="9" t="n">
        <v>-0.1</v>
      </c>
      <c r="N244" s="9"/>
      <c r="O244" s="9"/>
      <c r="P244" s="9"/>
      <c r="Q244" s="58" t="n">
        <f aca="false">TRIMMEAN(B244:P244,2/COUNT(B244:P244))</f>
        <v>-0.665</v>
      </c>
    </row>
    <row r="245" customFormat="false" ht="15.75" hidden="false" customHeight="true" outlineLevel="0" collapsed="false">
      <c r="A245" s="57" t="s">
        <v>388</v>
      </c>
      <c r="B245" s="9" t="n">
        <v>1.95</v>
      </c>
      <c r="C245" s="9" t="n">
        <v>0.21</v>
      </c>
      <c r="D245" s="9" t="n">
        <v>-0.51</v>
      </c>
      <c r="E245" s="9"/>
      <c r="F245" s="9"/>
      <c r="G245" s="9" t="n">
        <v>0.89</v>
      </c>
      <c r="H245" s="9"/>
      <c r="I245" s="9" t="n">
        <v>-0.98</v>
      </c>
      <c r="J245" s="9" t="n">
        <v>0.89</v>
      </c>
      <c r="K245" s="9"/>
      <c r="L245" s="9" t="n">
        <v>-0.48</v>
      </c>
      <c r="M245" s="9" t="n">
        <v>0.99</v>
      </c>
      <c r="N245" s="9"/>
      <c r="O245" s="9"/>
      <c r="P245" s="9"/>
      <c r="Q245" s="58" t="n">
        <f aca="false">TRIMMEAN(B245:P245,2/COUNT(B245:P245))</f>
        <v>0.331666666666667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-0.87</v>
      </c>
      <c r="D247" s="9"/>
      <c r="E247" s="9" t="n">
        <v>-1.61</v>
      </c>
      <c r="F247" s="9" t="n">
        <v>0.24</v>
      </c>
      <c r="G247" s="9"/>
      <c r="H247" s="9" t="n">
        <v>0.23</v>
      </c>
      <c r="I247" s="9" t="n">
        <v>0.15</v>
      </c>
      <c r="J247" s="9"/>
      <c r="K247" s="9" t="n">
        <v>-0.93</v>
      </c>
      <c r="L247" s="9"/>
      <c r="M247" s="9"/>
      <c r="N247" s="9"/>
      <c r="O247" s="9"/>
      <c r="P247" s="9"/>
      <c r="Q247" s="58" t="n">
        <f aca="false">TRIMMEAN(B247:P247,2/COUNT(B247:P247))</f>
        <v>-0.355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 t="n">
        <v>-0.5</v>
      </c>
      <c r="F248" s="9" t="n">
        <v>-2.25</v>
      </c>
      <c r="G248" s="9" t="n">
        <v>0.46</v>
      </c>
      <c r="H248" s="9"/>
      <c r="I248" s="9"/>
      <c r="J248" s="9" t="n">
        <v>-2.08</v>
      </c>
      <c r="K248" s="9" t="n">
        <v>-0.19</v>
      </c>
      <c r="L248" s="9" t="n">
        <v>-2.36</v>
      </c>
      <c r="M248" s="9"/>
      <c r="N248" s="9"/>
      <c r="O248" s="9"/>
      <c r="P248" s="9"/>
      <c r="Q248" s="58" t="n">
        <f aca="false">TRIMMEAN(B248:P248,2/COUNT(B248:P248))</f>
        <v>-1.255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-2.4</v>
      </c>
      <c r="D250" s="9"/>
      <c r="E250" s="9" t="n">
        <v>1.15</v>
      </c>
      <c r="F250" s="9"/>
      <c r="G250" s="9"/>
      <c r="H250" s="9" t="n">
        <v>0.46</v>
      </c>
      <c r="I250" s="9" t="n">
        <v>-0.66</v>
      </c>
      <c r="J250" s="9"/>
      <c r="K250" s="9" t="n">
        <v>-0.65</v>
      </c>
      <c r="L250" s="9" t="n">
        <v>0.68</v>
      </c>
      <c r="M250" s="9" t="n">
        <v>-1.56</v>
      </c>
      <c r="N250" s="9" t="n">
        <v>0.56</v>
      </c>
      <c r="O250" s="9" t="n">
        <v>0.05</v>
      </c>
      <c r="P250" s="9" t="n">
        <v>-1.08</v>
      </c>
      <c r="Q250" s="58" t="n">
        <f aca="false">TRIMMEAN(B250:P250,2/COUNT(B250:P250))</f>
        <v>-0.275</v>
      </c>
    </row>
    <row r="251" customFormat="false" ht="15.75" hidden="false" customHeight="true" outlineLevel="0" collapsed="false">
      <c r="A251" s="59" t="s">
        <v>394</v>
      </c>
      <c r="B251" s="9"/>
      <c r="C251" s="9" t="n">
        <v>0.09</v>
      </c>
      <c r="D251" s="9"/>
      <c r="E251" s="9"/>
      <c r="F251" s="9" t="n">
        <v>-0.53</v>
      </c>
      <c r="G251" s="9"/>
      <c r="H251" s="9"/>
      <c r="I251" s="9"/>
      <c r="J251" s="9"/>
      <c r="K251" s="9" t="n">
        <v>-0.51</v>
      </c>
      <c r="L251" s="9"/>
      <c r="M251" s="9"/>
      <c r="N251" s="9"/>
      <c r="O251" s="9" t="n">
        <v>-1.05</v>
      </c>
      <c r="P251" s="9" t="n">
        <v>1.16</v>
      </c>
      <c r="Q251" s="58" t="n">
        <f aca="false">TRIMMEAN(B251:P251,2/COUNT(B251:P251))</f>
        <v>-0.316666666666667</v>
      </c>
    </row>
    <row r="252" customFormat="false" ht="15.75" hidden="false" customHeight="true" outlineLevel="0" collapsed="false">
      <c r="A252" s="59" t="s">
        <v>395</v>
      </c>
      <c r="B252" s="9"/>
      <c r="C252" s="9" t="n">
        <v>-0.04</v>
      </c>
      <c r="D252" s="9"/>
      <c r="E252" s="9" t="n">
        <v>1.11</v>
      </c>
      <c r="F252" s="9" t="n">
        <v>-1.61</v>
      </c>
      <c r="G252" s="9"/>
      <c r="H252" s="9" t="n">
        <v>0.57</v>
      </c>
      <c r="I252" s="9"/>
      <c r="J252" s="9"/>
      <c r="K252" s="9" t="n">
        <v>1.26</v>
      </c>
      <c r="L252" s="9" t="n">
        <v>-0.67</v>
      </c>
      <c r="M252" s="9" t="n">
        <v>-0.74</v>
      </c>
      <c r="N252" s="9" t="n">
        <v>-1.01</v>
      </c>
      <c r="O252" s="9"/>
      <c r="P252" s="9" t="n">
        <v>1.4</v>
      </c>
      <c r="Q252" s="58" t="n">
        <f aca="false">TRIMMEAN(B252:P252,2/COUNT(B252:P252))</f>
        <v>0.0685714285714286</v>
      </c>
    </row>
    <row r="253" customFormat="false" ht="15.75" hidden="false" customHeight="true" outlineLevel="0" collapsed="false">
      <c r="A253" s="57" t="s">
        <v>396</v>
      </c>
      <c r="B253" s="9" t="n">
        <v>1.74</v>
      </c>
      <c r="C253" s="9" t="n">
        <v>-0.19</v>
      </c>
      <c r="D253" s="9" t="n">
        <v>0.76</v>
      </c>
      <c r="E253" s="9"/>
      <c r="F253" s="9" t="n">
        <v>1.28</v>
      </c>
      <c r="G253" s="9" t="n">
        <v>-0.1</v>
      </c>
      <c r="H253" s="9"/>
      <c r="I253" s="9" t="n">
        <v>-0.06</v>
      </c>
      <c r="J253" s="9" t="n">
        <v>-0.08</v>
      </c>
      <c r="K253" s="9"/>
      <c r="L253" s="9" t="n">
        <v>-1.14</v>
      </c>
      <c r="M253" s="9" t="n">
        <v>0.81</v>
      </c>
      <c r="N253" s="9"/>
      <c r="O253" s="9"/>
      <c r="P253" s="9" t="n">
        <v>1.61</v>
      </c>
      <c r="Q253" s="58" t="n">
        <f aca="false">TRIMMEAN(B253:P253,2/COUNT(B253:P253))</f>
        <v>0.50375</v>
      </c>
    </row>
    <row r="254" customFormat="false" ht="15.75" hidden="false" customHeight="true" outlineLevel="0" collapsed="false">
      <c r="A254" s="59" t="s">
        <v>397</v>
      </c>
      <c r="B254" s="9"/>
      <c r="C254" s="9" t="n">
        <v>0.6</v>
      </c>
      <c r="D254" s="9" t="n">
        <v>1.54</v>
      </c>
      <c r="E254" s="9"/>
      <c r="F254" s="9" t="n">
        <v>-0.84</v>
      </c>
      <c r="G254" s="9" t="n">
        <v>0.71</v>
      </c>
      <c r="H254" s="9"/>
      <c r="I254" s="9" t="n">
        <v>-0.39</v>
      </c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0.306666666666667</v>
      </c>
    </row>
    <row r="255" customFormat="false" ht="15.75" hidden="false" customHeight="true" outlineLevel="0" collapsed="false">
      <c r="A255" s="57" t="s">
        <v>398</v>
      </c>
      <c r="B255" s="9" t="n">
        <v>-0.16</v>
      </c>
      <c r="C255" s="9"/>
      <c r="D255" s="9" t="n">
        <v>0.73</v>
      </c>
      <c r="E255" s="9" t="n">
        <v>0.6</v>
      </c>
      <c r="F255" s="9" t="n">
        <v>0.73</v>
      </c>
      <c r="G255" s="9"/>
      <c r="H255" s="9" t="n">
        <v>-1.77</v>
      </c>
      <c r="I255" s="9"/>
      <c r="J255" s="9"/>
      <c r="K255" s="9"/>
      <c r="L255" s="9" t="n">
        <v>0.73</v>
      </c>
      <c r="M255" s="9" t="n">
        <v>0.8</v>
      </c>
      <c r="N255" s="9" t="n">
        <v>0.4</v>
      </c>
      <c r="O255" s="9" t="n">
        <v>0.6</v>
      </c>
      <c r="P255" s="9" t="n">
        <v>0.3</v>
      </c>
      <c r="Q255" s="58" t="n">
        <f aca="false">TRIMMEAN(B255:P255,2/COUNT(B255:P255))</f>
        <v>0.49125</v>
      </c>
    </row>
    <row r="256" customFormat="false" ht="15.75" hidden="false" customHeight="true" outlineLevel="0" collapsed="false">
      <c r="A256" s="57" t="s">
        <v>399</v>
      </c>
      <c r="B256" s="9" t="n">
        <v>1.04</v>
      </c>
      <c r="C256" s="9"/>
      <c r="D256" s="9" t="n">
        <v>-1.54</v>
      </c>
      <c r="E256" s="9"/>
      <c r="F256" s="9" t="n">
        <v>1.64</v>
      </c>
      <c r="G256" s="9"/>
      <c r="H256" s="9" t="n">
        <v>-0.34</v>
      </c>
      <c r="I256" s="9"/>
      <c r="J256" s="9"/>
      <c r="K256" s="9" t="n">
        <v>0.81</v>
      </c>
      <c r="L256" s="9" t="n">
        <v>1.41</v>
      </c>
      <c r="M256" s="9"/>
      <c r="N256" s="9" t="n">
        <v>1.62</v>
      </c>
      <c r="O256" s="9" t="n">
        <v>-1.02</v>
      </c>
      <c r="P256" s="9" t="n">
        <v>0.27</v>
      </c>
      <c r="Q256" s="58" t="n">
        <f aca="false">TRIMMEAN(B256:P256,2/COUNT(B256:P256))</f>
        <v>0.541428571428572</v>
      </c>
    </row>
    <row r="257" customFormat="false" ht="15.75" hidden="false" customHeight="true" outlineLevel="0" collapsed="false">
      <c r="A257" s="57" t="s">
        <v>400</v>
      </c>
      <c r="B257" s="9"/>
      <c r="C257" s="9" t="n">
        <v>0.61</v>
      </c>
      <c r="D257" s="9" t="n">
        <v>-0.97</v>
      </c>
      <c r="E257" s="9"/>
      <c r="F257" s="9" t="n">
        <v>2.37</v>
      </c>
      <c r="G257" s="9" t="n">
        <v>0.91</v>
      </c>
      <c r="H257" s="9"/>
      <c r="I257" s="9"/>
      <c r="J257" s="9" t="n">
        <v>-0.12</v>
      </c>
      <c r="K257" s="9"/>
      <c r="L257" s="9" t="n">
        <v>-0.85</v>
      </c>
      <c r="M257" s="9" t="n">
        <v>-0.12</v>
      </c>
      <c r="N257" s="9" t="n">
        <v>-0.74</v>
      </c>
      <c r="O257" s="9" t="n">
        <v>-0.56</v>
      </c>
      <c r="P257" s="9" t="n">
        <v>0.34</v>
      </c>
      <c r="Q257" s="58" t="n">
        <f aca="false">TRIMMEAN(B257:P257,2/COUNT(B257:P257))</f>
        <v>-0.06625</v>
      </c>
    </row>
    <row r="258" customFormat="false" ht="15.75" hidden="false" customHeight="true" outlineLevel="0" collapsed="false">
      <c r="A258" s="57" t="s">
        <v>401</v>
      </c>
      <c r="B258" s="9" t="n">
        <v>0.94</v>
      </c>
      <c r="C258" s="9" t="n">
        <v>1.08</v>
      </c>
      <c r="D258" s="9" t="n">
        <v>1.13</v>
      </c>
      <c r="E258" s="9"/>
      <c r="F258" s="9" t="n">
        <v>0.93</v>
      </c>
      <c r="G258" s="9" t="n">
        <v>1.94</v>
      </c>
      <c r="H258" s="9"/>
      <c r="I258" s="9" t="n">
        <v>-0.5</v>
      </c>
      <c r="J258" s="9" t="n">
        <v>1.1</v>
      </c>
      <c r="K258" s="9"/>
      <c r="L258" s="9" t="n">
        <v>0.76</v>
      </c>
      <c r="M258" s="9" t="n">
        <v>0.57</v>
      </c>
      <c r="N258" s="9"/>
      <c r="O258" s="9" t="n">
        <v>0.65</v>
      </c>
      <c r="P258" s="9"/>
      <c r="Q258" s="58" t="n">
        <f aca="false">TRIMMEAN(B258:P258,2/COUNT(B258:P258))</f>
        <v>0.895</v>
      </c>
    </row>
    <row r="259" customFormat="false" ht="15.75" hidden="false" customHeight="true" outlineLevel="0" collapsed="false">
      <c r="A259" s="59" t="s">
        <v>402</v>
      </c>
      <c r="B259" s="9" t="n">
        <v>-0.03</v>
      </c>
      <c r="C259" s="9" t="n">
        <v>-0.86</v>
      </c>
      <c r="D259" s="9" t="n">
        <v>0.54</v>
      </c>
      <c r="E259" s="9" t="n">
        <v>0.2</v>
      </c>
      <c r="F259" s="9"/>
      <c r="G259" s="9" t="n">
        <v>-1.66</v>
      </c>
      <c r="H259" s="9"/>
      <c r="I259" s="9" t="n">
        <v>0.28</v>
      </c>
      <c r="J259" s="9" t="n">
        <v>0</v>
      </c>
      <c r="K259" s="9" t="n">
        <v>0.44</v>
      </c>
      <c r="L259" s="9"/>
      <c r="M259" s="9" t="n">
        <v>-1.52</v>
      </c>
      <c r="N259" s="9"/>
      <c r="O259" s="9" t="n">
        <v>0.48</v>
      </c>
      <c r="P259" s="9" t="n">
        <v>0.29</v>
      </c>
      <c r="Q259" s="58" t="n">
        <f aca="false">TRIMMEAN(B259:P259,2/COUNT(B259:P259))</f>
        <v>-0.08</v>
      </c>
    </row>
    <row r="260" customFormat="false" ht="15.75" hidden="false" customHeight="true" outlineLevel="0" collapsed="false">
      <c r="A260" s="59" t="s">
        <v>403</v>
      </c>
      <c r="B260" s="9"/>
      <c r="C260" s="9" t="n">
        <v>-0.85</v>
      </c>
      <c r="D260" s="9"/>
      <c r="E260" s="9" t="n">
        <v>-2.7</v>
      </c>
      <c r="F260" s="9" t="n">
        <v>-2.37</v>
      </c>
      <c r="G260" s="9"/>
      <c r="H260" s="9" t="n">
        <v>-0.64</v>
      </c>
      <c r="I260" s="9" t="n">
        <v>-0.83</v>
      </c>
      <c r="J260" s="9"/>
      <c r="K260" s="9" t="n">
        <v>0.7</v>
      </c>
      <c r="L260" s="9" t="n">
        <v>-2.53</v>
      </c>
      <c r="M260" s="9" t="n">
        <v>-1.09</v>
      </c>
      <c r="N260" s="9" t="n">
        <v>-0.46</v>
      </c>
      <c r="O260" s="9" t="n">
        <v>-0.47</v>
      </c>
      <c r="P260" s="9" t="n">
        <v>-1.7</v>
      </c>
      <c r="Q260" s="58" t="n">
        <f aca="false">TRIMMEAN(B260:P260,2/COUNT(B260:P260))</f>
        <v>-1.21555555555556</v>
      </c>
    </row>
    <row r="261" customFormat="false" ht="15.75" hidden="false" customHeight="true" outlineLevel="0" collapsed="false">
      <c r="A261" s="57" t="s">
        <v>404</v>
      </c>
      <c r="B261" s="9" t="n">
        <v>-1.3</v>
      </c>
      <c r="C261" s="9" t="n">
        <v>-2.4</v>
      </c>
      <c r="D261" s="9"/>
      <c r="E261" s="9" t="n">
        <v>0.53</v>
      </c>
      <c r="F261" s="9" t="n">
        <v>-0.6</v>
      </c>
      <c r="G261" s="9" t="n">
        <v>0.23</v>
      </c>
      <c r="H261" s="9"/>
      <c r="I261" s="9"/>
      <c r="J261" s="9"/>
      <c r="K261" s="9"/>
      <c r="L261" s="9" t="n">
        <v>-0.89</v>
      </c>
      <c r="M261" s="9"/>
      <c r="N261" s="9"/>
      <c r="O261" s="9"/>
      <c r="P261" s="9"/>
      <c r="Q261" s="58" t="n">
        <f aca="false">TRIMMEAN(B261:P261,2/COUNT(B261:P261))</f>
        <v>-0.64</v>
      </c>
    </row>
    <row r="262" customFormat="false" ht="15.75" hidden="false" customHeight="true" outlineLevel="0" collapsed="false">
      <c r="A262" s="57" t="s">
        <v>405</v>
      </c>
      <c r="B262" s="9" t="n">
        <v>-0.12</v>
      </c>
      <c r="C262" s="9" t="n">
        <v>-1.06</v>
      </c>
      <c r="D262" s="9" t="n">
        <v>0.6</v>
      </c>
      <c r="E262" s="9"/>
      <c r="F262" s="9" t="n">
        <v>1.3</v>
      </c>
      <c r="G262" s="9" t="n">
        <v>-0.7</v>
      </c>
      <c r="H262" s="9"/>
      <c r="I262" s="9" t="n">
        <v>1.5</v>
      </c>
      <c r="J262" s="9" t="n">
        <v>-1.1</v>
      </c>
      <c r="K262" s="9"/>
      <c r="L262" s="9" t="n">
        <v>-0.51</v>
      </c>
      <c r="M262" s="9" t="n">
        <v>0.06</v>
      </c>
      <c r="N262" s="9" t="n">
        <v>0.16</v>
      </c>
      <c r="O262" s="9" t="n">
        <v>0.37</v>
      </c>
      <c r="P262" s="9" t="n">
        <v>-0.18</v>
      </c>
      <c r="Q262" s="58" t="n">
        <f aca="false">TRIMMEAN(B262:P262,2/COUNT(B262:P262))</f>
        <v>-0.008</v>
      </c>
    </row>
    <row r="263" customFormat="false" ht="15.75" hidden="false" customHeight="true" outlineLevel="0" collapsed="false">
      <c r="A263" s="57" t="s">
        <v>406</v>
      </c>
      <c r="B263" s="9" t="n">
        <v>1.01</v>
      </c>
      <c r="C263" s="9" t="n">
        <v>1</v>
      </c>
      <c r="D263" s="9" t="n">
        <v>1.49</v>
      </c>
      <c r="E263" s="9"/>
      <c r="F263" s="9"/>
      <c r="G263" s="9" t="n">
        <v>0.62</v>
      </c>
      <c r="H263" s="9"/>
      <c r="I263" s="9" t="n">
        <v>-1.84</v>
      </c>
      <c r="J263" s="9" t="n">
        <v>-1.64</v>
      </c>
      <c r="K263" s="9"/>
      <c r="L263" s="9" t="n">
        <v>-0.03</v>
      </c>
      <c r="M263" s="9" t="n">
        <v>-0.32</v>
      </c>
      <c r="N263" s="9"/>
      <c r="O263" s="9"/>
      <c r="P263" s="9" t="n">
        <v>-0.63</v>
      </c>
      <c r="Q263" s="58" t="n">
        <f aca="false">TRIMMEAN(B263:P263,2/COUNT(B263:P263))</f>
        <v>0.00142857142857144</v>
      </c>
    </row>
    <row r="264" customFormat="false" ht="15.75" hidden="false" customHeight="true" outlineLevel="0" collapsed="false">
      <c r="A264" s="59" t="s">
        <v>407</v>
      </c>
      <c r="B264" s="9"/>
      <c r="C264" s="9" t="n">
        <v>0.06</v>
      </c>
      <c r="D264" s="9"/>
      <c r="E264" s="9" t="n">
        <v>-1.92</v>
      </c>
      <c r="F264" s="9" t="n">
        <v>0.79</v>
      </c>
      <c r="G264" s="9"/>
      <c r="H264" s="9"/>
      <c r="I264" s="9"/>
      <c r="J264" s="9"/>
      <c r="K264" s="9" t="n">
        <v>-1.35</v>
      </c>
      <c r="L264" s="9" t="n">
        <v>0.99</v>
      </c>
      <c r="M264" s="9"/>
      <c r="N264" s="9" t="n">
        <v>1</v>
      </c>
      <c r="O264" s="9" t="n">
        <v>0.12</v>
      </c>
      <c r="P264" s="9" t="n">
        <v>-1.27</v>
      </c>
      <c r="Q264" s="58" t="n">
        <f aca="false">TRIMMEAN(B264:P264,2/COUNT(B264:P264))</f>
        <v>-0.11</v>
      </c>
    </row>
    <row r="265" customFormat="false" ht="15.75" hidden="false" customHeight="true" outlineLevel="0" collapsed="false">
      <c r="A265" s="57" t="s">
        <v>408</v>
      </c>
      <c r="B265" s="9"/>
      <c r="C265" s="9" t="n">
        <v>-1.51</v>
      </c>
      <c r="D265" s="9"/>
      <c r="E265" s="9"/>
      <c r="F265" s="9"/>
      <c r="G265" s="9"/>
      <c r="H265" s="9"/>
      <c r="I265" s="9"/>
      <c r="J265" s="9" t="n">
        <v>-1.62</v>
      </c>
      <c r="K265" s="9" t="n">
        <v>-3.1</v>
      </c>
      <c r="L265" s="9" t="n">
        <v>-0.08</v>
      </c>
      <c r="M265" s="9"/>
      <c r="N265" s="9"/>
      <c r="O265" s="9"/>
      <c r="P265" s="9"/>
      <c r="Q265" s="58" t="n">
        <f aca="false">TRIMMEAN(B265:P265,2/COUNT(B265:P265))</f>
        <v>-1.565</v>
      </c>
    </row>
    <row r="266" customFormat="false" ht="15.75" hidden="false" customHeight="true" outlineLevel="0" collapsed="false">
      <c r="A266" s="59" t="s">
        <v>409</v>
      </c>
      <c r="B266" s="9"/>
      <c r="C266" s="9" t="n">
        <v>0.5</v>
      </c>
      <c r="D266" s="9"/>
      <c r="E266" s="9" t="n">
        <v>1.89</v>
      </c>
      <c r="F266" s="9" t="n">
        <v>0.05</v>
      </c>
      <c r="G266" s="9"/>
      <c r="H266" s="9" t="n">
        <v>1.02</v>
      </c>
      <c r="I266" s="9" t="n">
        <v>-0.61</v>
      </c>
      <c r="J266" s="9" t="n">
        <v>0.14</v>
      </c>
      <c r="K266" s="9" t="n">
        <v>0.81</v>
      </c>
      <c r="L266" s="9"/>
      <c r="M266" s="9" t="n">
        <v>0.78</v>
      </c>
      <c r="N266" s="9" t="n">
        <v>1.11</v>
      </c>
      <c r="O266" s="9" t="n">
        <v>-0.05</v>
      </c>
      <c r="P266" s="9" t="n">
        <v>0.26</v>
      </c>
      <c r="Q266" s="58" t="n">
        <f aca="false">TRIMMEAN(B266:P266,2/COUNT(B266:P266))</f>
        <v>0.513333333333333</v>
      </c>
    </row>
    <row r="267" customFormat="false" ht="15.75" hidden="false" customHeight="true" outlineLevel="0" collapsed="false">
      <c r="A267" s="57" t="s">
        <v>410</v>
      </c>
      <c r="B267" s="9" t="n">
        <v>-1.55</v>
      </c>
      <c r="C267" s="9"/>
      <c r="D267" s="9" t="n">
        <v>0.01</v>
      </c>
      <c r="E267" s="9" t="n">
        <v>-0.15</v>
      </c>
      <c r="F267" s="9"/>
      <c r="G267" s="9" t="n">
        <v>-0.75</v>
      </c>
      <c r="H267" s="9"/>
      <c r="I267" s="9"/>
      <c r="J267" s="9" t="n">
        <v>0.88</v>
      </c>
      <c r="K267" s="9" t="n">
        <v>-1.45</v>
      </c>
      <c r="L267" s="9" t="n">
        <v>-1.03</v>
      </c>
      <c r="M267" s="9" t="n">
        <v>0.88</v>
      </c>
      <c r="N267" s="9"/>
      <c r="O267" s="9"/>
      <c r="P267" s="9"/>
      <c r="Q267" s="58" t="n">
        <f aca="false">TRIMMEAN(B267:P267,2/COUNT(B267:P267))</f>
        <v>-0.415</v>
      </c>
    </row>
    <row r="268" customFormat="false" ht="15.75" hidden="false" customHeight="true" outlineLevel="0" collapsed="false">
      <c r="A268" s="59" t="s">
        <v>411</v>
      </c>
      <c r="B268" s="9"/>
      <c r="C268" s="9" t="n">
        <v>0.17</v>
      </c>
      <c r="D268" s="9"/>
      <c r="E268" s="9" t="n">
        <v>-0.37</v>
      </c>
      <c r="F268" s="9" t="n">
        <v>0.8</v>
      </c>
      <c r="G268" s="9"/>
      <c r="H268" s="9" t="n">
        <v>-0.48</v>
      </c>
      <c r="I268" s="9"/>
      <c r="J268" s="9"/>
      <c r="K268" s="9" t="n">
        <v>2.02</v>
      </c>
      <c r="L268" s="9" t="n">
        <v>-0.62</v>
      </c>
      <c r="M268" s="9" t="n">
        <v>-0.08</v>
      </c>
      <c r="N268" s="9" t="n">
        <v>-0.09</v>
      </c>
      <c r="O268" s="9" t="n">
        <v>-0.92</v>
      </c>
      <c r="P268" s="9" t="n">
        <v>-1.16</v>
      </c>
      <c r="Q268" s="58" t="n">
        <f aca="false">TRIMMEAN(B268:P268,2/COUNT(B268:P268))</f>
        <v>-0.19875</v>
      </c>
    </row>
    <row r="269" customFormat="false" ht="15.75" hidden="false" customHeight="true" outlineLevel="0" collapsed="false">
      <c r="A269" s="57" t="s">
        <v>412</v>
      </c>
      <c r="B269" s="9"/>
      <c r="C269" s="9" t="n">
        <v>-2.83</v>
      </c>
      <c r="D269" s="9"/>
      <c r="E269" s="9" t="n">
        <v>-0.88</v>
      </c>
      <c r="F269" s="9"/>
      <c r="G269" s="9"/>
      <c r="H269" s="9" t="n">
        <v>0.2</v>
      </c>
      <c r="I269" s="9"/>
      <c r="J269" s="9"/>
      <c r="K269" s="9"/>
      <c r="L269" s="9" t="n">
        <v>-0.23</v>
      </c>
      <c r="M269" s="9" t="n">
        <v>-1.21</v>
      </c>
      <c r="N269" s="9" t="n">
        <v>-0.12</v>
      </c>
      <c r="O269" s="9" t="n">
        <v>-0.31</v>
      </c>
      <c r="P269" s="9" t="n">
        <v>-0.4</v>
      </c>
      <c r="Q269" s="58" t="n">
        <f aca="false">TRIMMEAN(B269:P269,2/COUNT(B269:P269))</f>
        <v>-0.525</v>
      </c>
    </row>
    <row r="270" customFormat="false" ht="15.75" hidden="false" customHeight="true" outlineLevel="0" collapsed="false">
      <c r="A270" s="57" t="s">
        <v>413</v>
      </c>
      <c r="B270" s="9" t="n">
        <v>-2.61</v>
      </c>
      <c r="C270" s="9"/>
      <c r="D270" s="9"/>
      <c r="E270" s="9" t="n">
        <v>-1.2</v>
      </c>
      <c r="F270" s="9" t="n">
        <v>-0.57</v>
      </c>
      <c r="G270" s="9" t="n">
        <v>-0.46</v>
      </c>
      <c r="H270" s="9"/>
      <c r="I270" s="9"/>
      <c r="J270" s="9" t="n">
        <v>-0.63</v>
      </c>
      <c r="K270" s="9" t="n">
        <v>0.06</v>
      </c>
      <c r="L270" s="9" t="n">
        <v>-0.86</v>
      </c>
      <c r="M270" s="9"/>
      <c r="N270" s="9"/>
      <c r="O270" s="9"/>
      <c r="P270" s="9"/>
      <c r="Q270" s="58" t="n">
        <f aca="false">TRIMMEAN(B270:P270,2/COUNT(B270:P270))</f>
        <v>-0.744</v>
      </c>
    </row>
    <row r="271" customFormat="false" ht="15.75" hidden="false" customHeight="true" outlineLevel="0" collapsed="false">
      <c r="A271" s="57" t="s">
        <v>414</v>
      </c>
      <c r="B271" s="9" t="n">
        <v>1.23</v>
      </c>
      <c r="C271" s="9" t="n">
        <v>0.12</v>
      </c>
      <c r="D271" s="9" t="n">
        <v>0.38</v>
      </c>
      <c r="E271" s="9"/>
      <c r="F271" s="9"/>
      <c r="G271" s="9" t="n">
        <v>-0.48</v>
      </c>
      <c r="H271" s="9" t="n">
        <v>-0.8</v>
      </c>
      <c r="I271" s="9" t="n">
        <v>0.48</v>
      </c>
      <c r="J271" s="9" t="n">
        <v>0</v>
      </c>
      <c r="K271" s="9"/>
      <c r="L271" s="9" t="n">
        <v>0.11</v>
      </c>
      <c r="M271" s="9" t="n">
        <v>-0.05</v>
      </c>
      <c r="N271" s="9"/>
      <c r="O271" s="9" t="n">
        <v>-0.44</v>
      </c>
      <c r="P271" s="9" t="n">
        <v>-0.6</v>
      </c>
      <c r="Q271" s="58" t="n">
        <f aca="false">TRIMMEAN(B271:P271,2/COUNT(B271:P271))</f>
        <v>-0.0533333333333333</v>
      </c>
    </row>
    <row r="272" customFormat="false" ht="15.75" hidden="false" customHeight="true" outlineLevel="0" collapsed="false">
      <c r="A272" s="57" t="s">
        <v>415</v>
      </c>
      <c r="B272" s="9" t="n">
        <v>0.57</v>
      </c>
      <c r="C272" s="9" t="n">
        <v>-0.96</v>
      </c>
      <c r="D272" s="9" t="n">
        <v>-0.23</v>
      </c>
      <c r="E272" s="9"/>
      <c r="F272" s="9" t="n">
        <v>-0.48</v>
      </c>
      <c r="G272" s="9" t="n">
        <v>0.14</v>
      </c>
      <c r="H272" s="9" t="n">
        <v>0.34</v>
      </c>
      <c r="I272" s="9" t="n">
        <v>1.52</v>
      </c>
      <c r="J272" s="9" t="n">
        <v>-0.05</v>
      </c>
      <c r="K272" s="9"/>
      <c r="L272" s="9" t="n">
        <v>0.05</v>
      </c>
      <c r="M272" s="9" t="n">
        <v>1.28</v>
      </c>
      <c r="N272" s="9"/>
      <c r="O272" s="9"/>
      <c r="P272" s="9" t="n">
        <v>0.94</v>
      </c>
      <c r="Q272" s="58" t="n">
        <f aca="false">TRIMMEAN(B272:P272,2/COUNT(B272:P272))</f>
        <v>0.284444444444444</v>
      </c>
    </row>
    <row r="273" customFormat="false" ht="15.75" hidden="false" customHeight="true" outlineLevel="0" collapsed="false">
      <c r="A273" s="57" t="s">
        <v>416</v>
      </c>
      <c r="B273" s="9" t="n">
        <v>0.52</v>
      </c>
      <c r="C273" s="9" t="n">
        <v>0.41</v>
      </c>
      <c r="D273" s="9" t="n">
        <v>1</v>
      </c>
      <c r="E273" s="9"/>
      <c r="F273" s="9" t="n">
        <v>0.9</v>
      </c>
      <c r="G273" s="9" t="n">
        <v>-0.02</v>
      </c>
      <c r="H273" s="9"/>
      <c r="I273" s="9" t="n">
        <v>0.58</v>
      </c>
      <c r="J273" s="9" t="n">
        <v>-0.28</v>
      </c>
      <c r="K273" s="9"/>
      <c r="L273" s="9" t="n">
        <v>-0.95</v>
      </c>
      <c r="M273" s="9" t="n">
        <v>0.48</v>
      </c>
      <c r="N273" s="9"/>
      <c r="O273" s="9"/>
      <c r="P273" s="9" t="n">
        <v>0.08</v>
      </c>
      <c r="Q273" s="58" t="n">
        <f aca="false">TRIMMEAN(B273:P273,2/COUNT(B273:P273))</f>
        <v>0.33375</v>
      </c>
    </row>
    <row r="274" customFormat="false" ht="15.75" hidden="false" customHeight="true" outlineLevel="0" collapsed="false">
      <c r="A274" s="59" t="s">
        <v>417</v>
      </c>
      <c r="B274" s="9"/>
      <c r="C274" s="9" t="n">
        <v>0.79</v>
      </c>
      <c r="D274" s="9"/>
      <c r="E274" s="9" t="n">
        <v>-0.73</v>
      </c>
      <c r="F274" s="9" t="n">
        <v>-0.24</v>
      </c>
      <c r="G274" s="9"/>
      <c r="H274" s="9" t="n">
        <v>-0.17</v>
      </c>
      <c r="I274" s="9" t="n">
        <v>-0.87</v>
      </c>
      <c r="J274" s="9"/>
      <c r="K274" s="9" t="n">
        <v>0.76</v>
      </c>
      <c r="L274" s="9" t="n">
        <v>1.16</v>
      </c>
      <c r="M274" s="9"/>
      <c r="N274" s="9" t="n">
        <v>1.62</v>
      </c>
      <c r="O274" s="9" t="n">
        <v>0.61</v>
      </c>
      <c r="P274" s="9" t="n">
        <v>3.11</v>
      </c>
      <c r="Q274" s="58" t="n">
        <f aca="false">TRIMMEAN(B274:P274,2/COUNT(B274:P274))</f>
        <v>0.475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 t="n">
        <v>-1.38</v>
      </c>
      <c r="E275" s="9" t="n">
        <v>-1.22</v>
      </c>
      <c r="F275" s="9" t="n">
        <v>0.84</v>
      </c>
      <c r="G275" s="9"/>
      <c r="H275" s="9" t="n">
        <v>0.41</v>
      </c>
      <c r="I275" s="9"/>
      <c r="J275" s="9"/>
      <c r="K275" s="9" t="n">
        <v>-0.94</v>
      </c>
      <c r="L275" s="9" t="n">
        <v>0.44</v>
      </c>
      <c r="M275" s="9" t="n">
        <v>0.91</v>
      </c>
      <c r="N275" s="9"/>
      <c r="O275" s="9" t="n">
        <v>0.92</v>
      </c>
      <c r="P275" s="9"/>
      <c r="Q275" s="58" t="n">
        <f aca="false">TRIMMEAN(B275:P275,2/COUNT(B275:P275))</f>
        <v>0.0733333333333334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 t="n">
        <v>-2.34</v>
      </c>
      <c r="D277" s="9"/>
      <c r="E277" s="9"/>
      <c r="F277" s="9"/>
      <c r="G277" s="9"/>
      <c r="H277" s="9"/>
      <c r="I277" s="9"/>
      <c r="J277" s="9"/>
      <c r="K277" s="9" t="n">
        <v>-0.41</v>
      </c>
      <c r="L277" s="9" t="n">
        <v>-4.76</v>
      </c>
      <c r="M277" s="9"/>
      <c r="N277" s="9"/>
      <c r="O277" s="9" t="n">
        <v>-1.87</v>
      </c>
      <c r="P277" s="9"/>
      <c r="Q277" s="58" t="n">
        <f aca="false">TRIMMEAN(B277:P277,2/COUNT(B277:P277))</f>
        <v>-2.105</v>
      </c>
    </row>
    <row r="278" customFormat="false" ht="15.75" hidden="false" customHeight="true" outlineLevel="0" collapsed="false">
      <c r="A278" s="59" t="s">
        <v>421</v>
      </c>
      <c r="B278" s="9"/>
      <c r="C278" s="9" t="n">
        <v>-1.67</v>
      </c>
      <c r="D278" s="9"/>
      <c r="E278" s="9" t="n">
        <v>-1.08</v>
      </c>
      <c r="F278" s="9" t="n">
        <v>0.41</v>
      </c>
      <c r="G278" s="9"/>
      <c r="H278" s="9" t="n">
        <v>-0.91</v>
      </c>
      <c r="I278" s="9" t="n">
        <v>-2.13</v>
      </c>
      <c r="J278" s="9"/>
      <c r="K278" s="9" t="n">
        <v>-1.92</v>
      </c>
      <c r="L278" s="9" t="n">
        <v>0.88</v>
      </c>
      <c r="M278" s="9" t="n">
        <v>-1.02</v>
      </c>
      <c r="N278" s="9" t="n">
        <v>-0.5</v>
      </c>
      <c r="O278" s="9" t="n">
        <v>-2.72</v>
      </c>
      <c r="P278" s="9" t="n">
        <v>-0.45</v>
      </c>
      <c r="Q278" s="58" t="n">
        <f aca="false">TRIMMEAN(B278:P278,2/COUNT(B278:P278))</f>
        <v>-1.03</v>
      </c>
    </row>
    <row r="279" customFormat="false" ht="15.75" hidden="false" customHeight="true" outlineLevel="0" collapsed="false">
      <c r="A279" s="59" t="s">
        <v>422</v>
      </c>
      <c r="B279" s="9"/>
      <c r="C279" s="9" t="n">
        <v>0.49</v>
      </c>
      <c r="D279" s="9" t="n">
        <v>-0.19</v>
      </c>
      <c r="E279" s="9"/>
      <c r="F279" s="9"/>
      <c r="G279" s="9"/>
      <c r="H279" s="9"/>
      <c r="I279" s="9"/>
      <c r="J279" s="9"/>
      <c r="K279" s="9"/>
      <c r="L279" s="9"/>
      <c r="M279" s="9" t="n">
        <v>-0.36</v>
      </c>
      <c r="N279" s="9"/>
      <c r="O279" s="9"/>
      <c r="P279" s="9"/>
      <c r="Q279" s="58" t="n">
        <f aca="false">TRIMMEAN(B279:P279,2/COUNT(B279:P279))</f>
        <v>-0.19</v>
      </c>
    </row>
    <row r="280" customFormat="false" ht="15.75" hidden="false" customHeight="true" outlineLevel="0" collapsed="false">
      <c r="A280" s="57" t="s">
        <v>423</v>
      </c>
      <c r="B280" s="9" t="n">
        <v>0.95</v>
      </c>
      <c r="C280" s="9" t="n">
        <v>-1.37</v>
      </c>
      <c r="D280" s="9"/>
      <c r="E280" s="9" t="n">
        <v>0.09</v>
      </c>
      <c r="F280" s="9" t="n">
        <v>-0.15</v>
      </c>
      <c r="G280" s="9" t="n">
        <v>-1.46</v>
      </c>
      <c r="H280" s="9"/>
      <c r="I280" s="9"/>
      <c r="J280" s="9" t="n">
        <v>-0.56</v>
      </c>
      <c r="K280" s="9" t="n">
        <v>-0.36</v>
      </c>
      <c r="L280" s="9" t="n">
        <v>0.62</v>
      </c>
      <c r="M280" s="9"/>
      <c r="N280" s="9"/>
      <c r="O280" s="9"/>
      <c r="P280" s="9"/>
      <c r="Q280" s="58" t="n">
        <f aca="false">TRIMMEAN(B280:P280,2/COUNT(B280:P280))</f>
        <v>-0.288333333333333</v>
      </c>
    </row>
    <row r="281" customFormat="false" ht="15.75" hidden="false" customHeight="true" outlineLevel="0" collapsed="false">
      <c r="A281" s="57" t="s">
        <v>424</v>
      </c>
      <c r="B281" s="9"/>
      <c r="C281" s="9" t="n">
        <v>0.52</v>
      </c>
      <c r="D281" s="9"/>
      <c r="E281" s="9" t="n">
        <v>-0.17</v>
      </c>
      <c r="F281" s="9" t="n">
        <v>-0.55</v>
      </c>
      <c r="G281" s="9"/>
      <c r="H281" s="9" t="n">
        <v>0.02</v>
      </c>
      <c r="I281" s="9"/>
      <c r="J281" s="9"/>
      <c r="K281" s="9" t="n">
        <v>-0.94</v>
      </c>
      <c r="L281" s="9" t="n">
        <v>-0.27</v>
      </c>
      <c r="M281" s="9"/>
      <c r="N281" s="9" t="n">
        <v>0.68</v>
      </c>
      <c r="O281" s="9" t="n">
        <v>-0.39</v>
      </c>
      <c r="P281" s="9" t="n">
        <v>-0.37</v>
      </c>
      <c r="Q281" s="58" t="n">
        <f aca="false">TRIMMEAN(B281:P281,2/COUNT(B281:P281))</f>
        <v>-0.172857142857143</v>
      </c>
    </row>
    <row r="282" customFormat="false" ht="15.75" hidden="false" customHeight="true" outlineLevel="0" collapsed="false">
      <c r="A282" s="59" t="s">
        <v>425</v>
      </c>
      <c r="B282" s="9"/>
      <c r="C282" s="9" t="n">
        <v>-0.36</v>
      </c>
      <c r="D282" s="9"/>
      <c r="E282" s="9" t="n">
        <v>-1.34</v>
      </c>
      <c r="F282" s="9" t="n">
        <v>-0.31</v>
      </c>
      <c r="G282" s="9"/>
      <c r="H282" s="9" t="n">
        <v>-4.45</v>
      </c>
      <c r="I282" s="9"/>
      <c r="J282" s="9"/>
      <c r="K282" s="9" t="n">
        <v>-0.82</v>
      </c>
      <c r="L282" s="9" t="n">
        <v>0.92</v>
      </c>
      <c r="M282" s="9" t="n">
        <v>-1.07</v>
      </c>
      <c r="N282" s="9" t="n">
        <v>-0.13</v>
      </c>
      <c r="O282" s="9" t="n">
        <v>0.52</v>
      </c>
      <c r="P282" s="9" t="n">
        <v>-2.39</v>
      </c>
      <c r="Q282" s="58" t="n">
        <f aca="false">TRIMMEAN(B282:P282,2/COUNT(B282:P282))</f>
        <v>-0.7375</v>
      </c>
    </row>
    <row r="283" customFormat="false" ht="15.75" hidden="false" customHeight="true" outlineLevel="0" collapsed="false">
      <c r="A283" s="57" t="s">
        <v>426</v>
      </c>
      <c r="B283" s="9" t="n">
        <v>-2.23</v>
      </c>
      <c r="C283" s="9" t="n">
        <v>-0.92</v>
      </c>
      <c r="D283" s="9"/>
      <c r="E283" s="9"/>
      <c r="F283" s="9" t="n">
        <v>-0.56</v>
      </c>
      <c r="G283" s="9" t="n">
        <v>-1.44</v>
      </c>
      <c r="H283" s="9"/>
      <c r="I283" s="9"/>
      <c r="J283" s="9" t="n">
        <v>-3.21</v>
      </c>
      <c r="K283" s="9" t="n">
        <v>-2.22</v>
      </c>
      <c r="L283" s="9" t="n">
        <v>-0.54</v>
      </c>
      <c r="M283" s="9" t="n">
        <v>0.45</v>
      </c>
      <c r="N283" s="9"/>
      <c r="O283" s="9"/>
      <c r="P283" s="9"/>
      <c r="Q283" s="58" t="n">
        <f aca="false">TRIMMEAN(B283:P283,2/COUNT(B283:P283))</f>
        <v>-1.31833333333333</v>
      </c>
    </row>
    <row r="284" customFormat="false" ht="15.75" hidden="false" customHeight="true" outlineLevel="0" collapsed="false">
      <c r="A284" s="59" t="s">
        <v>427</v>
      </c>
      <c r="B284" s="9" t="n">
        <v>0.17</v>
      </c>
      <c r="C284" s="9" t="n">
        <v>-0.04</v>
      </c>
      <c r="D284" s="9" t="n">
        <v>1.48</v>
      </c>
      <c r="E284" s="9" t="n">
        <v>-0.3</v>
      </c>
      <c r="F284" s="9"/>
      <c r="G284" s="9" t="n">
        <v>-3.61</v>
      </c>
      <c r="H284" s="9" t="n">
        <v>-1.32</v>
      </c>
      <c r="I284" s="9"/>
      <c r="J284" s="9" t="n">
        <v>-0.82</v>
      </c>
      <c r="K284" s="9" t="n">
        <v>-0.81</v>
      </c>
      <c r="L284" s="9"/>
      <c r="M284" s="9"/>
      <c r="N284" s="9"/>
      <c r="O284" s="9"/>
      <c r="P284" s="9"/>
      <c r="Q284" s="58" t="n">
        <f aca="false">TRIMMEAN(B284:P284,2/COUNT(B284:P284))</f>
        <v>-0.52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-1.98</v>
      </c>
      <c r="D286" s="9"/>
      <c r="E286" s="9" t="n">
        <v>-1.89</v>
      </c>
      <c r="F286" s="9" t="n">
        <v>-0.73</v>
      </c>
      <c r="G286" s="9"/>
      <c r="H286" s="9" t="n">
        <v>-2.18</v>
      </c>
      <c r="I286" s="9"/>
      <c r="J286" s="9"/>
      <c r="K286" s="9" t="n">
        <v>-3.21</v>
      </c>
      <c r="L286" s="9"/>
      <c r="M286" s="9"/>
      <c r="N286" s="9"/>
      <c r="O286" s="9"/>
      <c r="P286" s="9"/>
      <c r="Q286" s="58" t="n">
        <f aca="false">TRIMMEAN(B286:P286,2/COUNT(B286:P286))</f>
        <v>-2.01666666666667</v>
      </c>
    </row>
    <row r="287" customFormat="false" ht="15.75" hidden="false" customHeight="true" outlineLevel="0" collapsed="false">
      <c r="A287" s="57" t="s">
        <v>430</v>
      </c>
      <c r="B287" s="9"/>
      <c r="C287" s="9" t="n">
        <v>-0.07</v>
      </c>
      <c r="D287" s="9"/>
      <c r="E287" s="9" t="n">
        <v>-0.54</v>
      </c>
      <c r="F287" s="9" t="n">
        <v>-1.99</v>
      </c>
      <c r="G287" s="9"/>
      <c r="H287" s="9" t="n">
        <v>-1.48</v>
      </c>
      <c r="I287" s="9"/>
      <c r="J287" s="9"/>
      <c r="K287" s="9" t="n">
        <v>0.31</v>
      </c>
      <c r="L287" s="9" t="n">
        <v>0.52</v>
      </c>
      <c r="M287" s="9"/>
      <c r="N287" s="9" t="n">
        <v>0.02</v>
      </c>
      <c r="O287" s="9" t="n">
        <v>0.27</v>
      </c>
      <c r="P287" s="9" t="n">
        <v>1.32</v>
      </c>
      <c r="Q287" s="58" t="n">
        <f aca="false">TRIMMEAN(B287:P287,2/COUNT(B287:P287))</f>
        <v>-0.138571428571429</v>
      </c>
    </row>
    <row r="288" customFormat="false" ht="15.75" hidden="false" customHeight="true" outlineLevel="0" collapsed="false">
      <c r="A288" s="59" t="s">
        <v>431</v>
      </c>
      <c r="B288" s="9"/>
      <c r="C288" s="9" t="n">
        <v>0.81</v>
      </c>
      <c r="D288" s="9"/>
      <c r="E288" s="9" t="n">
        <v>-0.52</v>
      </c>
      <c r="F288" s="9" t="n">
        <v>-1.06</v>
      </c>
      <c r="G288" s="9"/>
      <c r="H288" s="9" t="n">
        <v>0.08</v>
      </c>
      <c r="I288" s="9"/>
      <c r="J288" s="9"/>
      <c r="K288" s="9" t="n">
        <v>-1.24</v>
      </c>
      <c r="L288" s="9" t="n">
        <v>0.1</v>
      </c>
      <c r="M288" s="9" t="n">
        <v>0.57</v>
      </c>
      <c r="N288" s="9" t="n">
        <v>-0.26</v>
      </c>
      <c r="O288" s="9"/>
      <c r="P288" s="9" t="n">
        <v>-1.34</v>
      </c>
      <c r="Q288" s="58" t="n">
        <f aca="false">TRIMMEAN(B288:P288,2/COUNT(B288:P288))</f>
        <v>-0.332857142857143</v>
      </c>
    </row>
    <row r="289" customFormat="false" ht="15.75" hidden="false" customHeight="true" outlineLevel="0" collapsed="false">
      <c r="A289" s="57" t="s">
        <v>432</v>
      </c>
      <c r="B289" s="9" t="n">
        <v>-2.1</v>
      </c>
      <c r="C289" s="9" t="n">
        <v>-1.92</v>
      </c>
      <c r="D289" s="9"/>
      <c r="E289" s="9" t="n">
        <v>-1.42</v>
      </c>
      <c r="F289" s="9" t="n">
        <v>0.39</v>
      </c>
      <c r="G289" s="9" t="n">
        <v>-1.24</v>
      </c>
      <c r="H289" s="9"/>
      <c r="I289" s="9"/>
      <c r="J289" s="9" t="n">
        <v>0.83</v>
      </c>
      <c r="K289" s="9" t="n">
        <v>-0.57</v>
      </c>
      <c r="L289" s="9" t="n">
        <v>0.71</v>
      </c>
      <c r="M289" s="9" t="n">
        <v>-0.45</v>
      </c>
      <c r="N289" s="9"/>
      <c r="O289" s="9"/>
      <c r="P289" s="9"/>
      <c r="Q289" s="58" t="n">
        <f aca="false">TRIMMEAN(B289:P289,2/COUNT(B289:P289))</f>
        <v>-0.642857142857143</v>
      </c>
    </row>
    <row r="290" customFormat="false" ht="15.75" hidden="false" customHeight="true" outlineLevel="0" collapsed="false">
      <c r="A290" s="59" t="s">
        <v>433</v>
      </c>
      <c r="B290" s="9"/>
      <c r="C290" s="9" t="n">
        <v>0.38</v>
      </c>
      <c r="D290" s="9"/>
      <c r="E290" s="9" t="n">
        <v>0.42</v>
      </c>
      <c r="F290" s="9" t="n">
        <v>0.03</v>
      </c>
      <c r="G290" s="9"/>
      <c r="H290" s="9" t="n">
        <v>-1.63</v>
      </c>
      <c r="I290" s="9"/>
      <c r="J290" s="9"/>
      <c r="K290" s="9" t="n">
        <v>-2.47</v>
      </c>
      <c r="L290" s="9" t="n">
        <v>0.28</v>
      </c>
      <c r="M290" s="9" t="n">
        <v>-1.62</v>
      </c>
      <c r="N290" s="9" t="n">
        <v>-1.85</v>
      </c>
      <c r="O290" s="9" t="n">
        <v>0.18</v>
      </c>
      <c r="P290" s="9" t="n">
        <v>0.05</v>
      </c>
      <c r="Q290" s="58" t="n">
        <f aca="false">TRIMMEAN(B290:P290,2/COUNT(B290:P290))</f>
        <v>-0.5225</v>
      </c>
    </row>
    <row r="291" customFormat="false" ht="15.75" hidden="false" customHeight="true" outlineLevel="0" collapsed="false">
      <c r="A291" s="57" t="s">
        <v>434</v>
      </c>
      <c r="B291" s="9" t="n">
        <v>-1.08</v>
      </c>
      <c r="C291" s="9" t="n">
        <v>1.77</v>
      </c>
      <c r="D291" s="9" t="n">
        <v>0.04</v>
      </c>
      <c r="E291" s="9"/>
      <c r="F291" s="9"/>
      <c r="G291" s="9"/>
      <c r="H291" s="9" t="n">
        <v>0.77</v>
      </c>
      <c r="I291" s="9"/>
      <c r="J291" s="9"/>
      <c r="K291" s="9" t="n">
        <v>1.44</v>
      </c>
      <c r="L291" s="9" t="n">
        <v>1.54</v>
      </c>
      <c r="M291" s="9" t="n">
        <v>-0.2</v>
      </c>
      <c r="N291" s="9"/>
      <c r="O291" s="9" t="n">
        <v>0.21</v>
      </c>
      <c r="P291" s="9" t="n">
        <v>1.64</v>
      </c>
      <c r="Q291" s="58" t="n">
        <f aca="false">TRIMMEAN(B291:P291,2/COUNT(B291:P291))</f>
        <v>0.777142857142857</v>
      </c>
    </row>
    <row r="292" customFormat="false" ht="15.75" hidden="false" customHeight="true" outlineLevel="0" collapsed="false">
      <c r="A292" s="57" t="s">
        <v>435</v>
      </c>
      <c r="B292" s="9" t="n">
        <v>1.16</v>
      </c>
      <c r="C292" s="9" t="n">
        <v>1.25</v>
      </c>
      <c r="D292" s="9"/>
      <c r="E292" s="9" t="n">
        <v>0.61</v>
      </c>
      <c r="F292" s="9"/>
      <c r="G292" s="9" t="n">
        <v>0.05</v>
      </c>
      <c r="H292" s="9"/>
      <c r="I292" s="9"/>
      <c r="J292" s="9"/>
      <c r="K292" s="9" t="n">
        <v>0.78</v>
      </c>
      <c r="L292" s="9" t="n">
        <v>0.34</v>
      </c>
      <c r="M292" s="9" t="n">
        <v>-0.64</v>
      </c>
      <c r="N292" s="9"/>
      <c r="O292" s="9"/>
      <c r="P292" s="9"/>
      <c r="Q292" s="58" t="n">
        <f aca="false">TRIMMEAN(B292:P292,2/COUNT(B292:P292))</f>
        <v>0.588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-0.54</v>
      </c>
      <c r="D294" s="9"/>
      <c r="E294" s="9" t="n">
        <v>-0.52</v>
      </c>
      <c r="F294" s="9" t="n">
        <v>-2.02</v>
      </c>
      <c r="G294" s="9"/>
      <c r="H294" s="9" t="n">
        <v>0.54</v>
      </c>
      <c r="I294" s="9"/>
      <c r="J294" s="9"/>
      <c r="K294" s="9" t="n">
        <v>-1.73</v>
      </c>
      <c r="L294" s="9" t="n">
        <v>-1.2</v>
      </c>
      <c r="M294" s="9" t="n">
        <v>-1.22</v>
      </c>
      <c r="N294" s="9" t="n">
        <v>0.21</v>
      </c>
      <c r="O294" s="9" t="n">
        <v>-0.57</v>
      </c>
      <c r="P294" s="9" t="n">
        <v>-1.51</v>
      </c>
      <c r="Q294" s="58" t="n">
        <f aca="false">TRIMMEAN(B294:P294,2/COUNT(B294:P294))</f>
        <v>-0.885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0.47</v>
      </c>
      <c r="C297" s="9" t="n">
        <v>1.04</v>
      </c>
      <c r="D297" s="9" t="n">
        <v>-1.86</v>
      </c>
      <c r="E297" s="9"/>
      <c r="F297" s="9" t="n">
        <v>0.1</v>
      </c>
      <c r="G297" s="9" t="n">
        <v>0.13</v>
      </c>
      <c r="H297" s="9"/>
      <c r="I297" s="9"/>
      <c r="J297" s="9" t="n">
        <v>-2.29</v>
      </c>
      <c r="K297" s="9" t="n">
        <v>1.38</v>
      </c>
      <c r="L297" s="9" t="n">
        <v>0</v>
      </c>
      <c r="M297" s="9" t="n">
        <v>-1.84</v>
      </c>
      <c r="N297" s="9"/>
      <c r="O297" s="9"/>
      <c r="P297" s="9"/>
      <c r="Q297" s="58" t="n">
        <f aca="false">TRIMMEAN(B297:P297,2/COUNT(B297:P297))</f>
        <v>-0.28</v>
      </c>
    </row>
    <row r="298" customFormat="false" ht="15.75" hidden="false" customHeight="true" outlineLevel="0" collapsed="false">
      <c r="A298" s="57" t="s">
        <v>441</v>
      </c>
      <c r="B298" s="9"/>
      <c r="C298" s="9" t="n">
        <v>0.2</v>
      </c>
      <c r="D298" s="9"/>
      <c r="E298" s="9" t="n">
        <v>-0.12</v>
      </c>
      <c r="F298" s="9"/>
      <c r="G298" s="9" t="n">
        <v>0.48</v>
      </c>
      <c r="H298" s="9" t="n">
        <v>-0.79</v>
      </c>
      <c r="I298" s="9"/>
      <c r="J298" s="9" t="n">
        <v>-0.22</v>
      </c>
      <c r="K298" s="9" t="n">
        <v>-4.11</v>
      </c>
      <c r="L298" s="9" t="n">
        <v>0.54</v>
      </c>
      <c r="M298" s="9" t="n">
        <v>-0.35</v>
      </c>
      <c r="N298" s="9"/>
      <c r="O298" s="9"/>
      <c r="P298" s="9"/>
      <c r="Q298" s="58" t="n">
        <f aca="false">TRIMMEAN(B298:P298,2/COUNT(B298:P298))</f>
        <v>-0.133333333333333</v>
      </c>
    </row>
    <row r="299" customFormat="false" ht="15.75" hidden="false" customHeight="true" outlineLevel="0" collapsed="false">
      <c r="A299" s="59" t="s">
        <v>442</v>
      </c>
      <c r="B299" s="9"/>
      <c r="C299" s="9" t="n">
        <v>-0.38</v>
      </c>
      <c r="D299" s="9"/>
      <c r="E299" s="9" t="n">
        <v>-0.14</v>
      </c>
      <c r="F299" s="9"/>
      <c r="G299" s="9"/>
      <c r="H299" s="9"/>
      <c r="I299" s="9"/>
      <c r="J299" s="9"/>
      <c r="K299" s="9" t="n">
        <v>0.04</v>
      </c>
      <c r="L299" s="9" t="n">
        <v>1.49</v>
      </c>
      <c r="M299" s="9" t="n">
        <v>0.55</v>
      </c>
      <c r="N299" s="9" t="n">
        <v>-1.54</v>
      </c>
      <c r="O299" s="9" t="n">
        <v>0.92</v>
      </c>
      <c r="P299" s="9" t="n">
        <v>2.6</v>
      </c>
      <c r="Q299" s="58" t="n">
        <f aca="false">TRIMMEAN(B299:P299,2/COUNT(B299:P299))</f>
        <v>0.413333333333333</v>
      </c>
    </row>
    <row r="300" customFormat="false" ht="15.75" hidden="false" customHeight="true" outlineLevel="0" collapsed="false">
      <c r="A300" s="59" t="s">
        <v>443</v>
      </c>
      <c r="B300" s="9" t="n">
        <v>0.15</v>
      </c>
      <c r="C300" s="9" t="n">
        <v>1.55</v>
      </c>
      <c r="D300" s="9" t="n">
        <v>0.17</v>
      </c>
      <c r="E300" s="9"/>
      <c r="F300" s="9" t="n">
        <v>-0.06</v>
      </c>
      <c r="G300" s="9" t="n">
        <v>-1.09</v>
      </c>
      <c r="H300" s="9"/>
      <c r="I300" s="9" t="n">
        <v>1.03</v>
      </c>
      <c r="J300" s="9" t="n">
        <v>-0.05</v>
      </c>
      <c r="K300" s="9"/>
      <c r="L300" s="9"/>
      <c r="M300" s="9" t="n">
        <v>-1.07</v>
      </c>
      <c r="N300" s="9" t="n">
        <v>0.78</v>
      </c>
      <c r="O300" s="9"/>
      <c r="P300" s="9"/>
      <c r="Q300" s="58" t="n">
        <f aca="false">TRIMMEAN(B300:P300,2/COUNT(B300:P300))</f>
        <v>0.135714285714286</v>
      </c>
    </row>
    <row r="301" customFormat="false" ht="15.75" hidden="false" customHeight="true" outlineLevel="0" collapsed="false">
      <c r="A301" s="57" t="s">
        <v>444</v>
      </c>
      <c r="B301" s="9" t="n">
        <v>-0.3</v>
      </c>
      <c r="C301" s="9"/>
      <c r="D301" s="9"/>
      <c r="E301" s="9"/>
      <c r="F301" s="9" t="n">
        <v>-1.86</v>
      </c>
      <c r="G301" s="9" t="n">
        <v>1.93</v>
      </c>
      <c r="H301" s="9"/>
      <c r="I301" s="9"/>
      <c r="J301" s="9" t="n">
        <v>-0.62</v>
      </c>
      <c r="K301" s="9" t="n">
        <v>-0.09</v>
      </c>
      <c r="L301" s="9" t="n">
        <v>-2.03</v>
      </c>
      <c r="M301" s="9"/>
      <c r="N301" s="9"/>
      <c r="O301" s="9"/>
      <c r="P301" s="9"/>
      <c r="Q301" s="58" t="n">
        <f aca="false">TRIMMEAN(B301:P301,2/COUNT(B301:P301))</f>
        <v>-0.7175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 t="n">
        <v>-0.92</v>
      </c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-1.4</v>
      </c>
      <c r="D303" s="9"/>
      <c r="E303" s="9" t="n">
        <v>0.89</v>
      </c>
      <c r="F303" s="9" t="n">
        <v>0.49</v>
      </c>
      <c r="G303" s="9"/>
      <c r="H303" s="9" t="n">
        <v>0.87</v>
      </c>
      <c r="I303" s="9" t="n">
        <v>0.26</v>
      </c>
      <c r="J303" s="9"/>
      <c r="K303" s="9" t="n">
        <v>-0.48</v>
      </c>
      <c r="L303" s="9" t="n">
        <v>0.97</v>
      </c>
      <c r="M303" s="9" t="n">
        <v>-0.32</v>
      </c>
      <c r="N303" s="9" t="n">
        <v>-1.84</v>
      </c>
      <c r="O303" s="9" t="n">
        <v>-0.14</v>
      </c>
      <c r="P303" s="9" t="n">
        <v>-0.01</v>
      </c>
      <c r="Q303" s="58" t="n">
        <f aca="false">TRIMMEAN(B303:P303,2/COUNT(B303:P303))</f>
        <v>0.0177777777777778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-0.16</v>
      </c>
      <c r="C305" s="9" t="n">
        <v>1.32</v>
      </c>
      <c r="D305" s="9" t="n">
        <v>-1.33</v>
      </c>
      <c r="E305" s="9"/>
      <c r="F305" s="9" t="n">
        <v>-1.67</v>
      </c>
      <c r="G305" s="9" t="n">
        <v>-0.62</v>
      </c>
      <c r="H305" s="9" t="n">
        <v>1.39</v>
      </c>
      <c r="I305" s="9" t="n">
        <v>-1.72</v>
      </c>
      <c r="J305" s="9"/>
      <c r="K305" s="9" t="n">
        <v>-1.3</v>
      </c>
      <c r="L305" s="9" t="n">
        <v>0.19</v>
      </c>
      <c r="M305" s="9"/>
      <c r="N305" s="9" t="n">
        <v>-1.53</v>
      </c>
      <c r="O305" s="9" t="n">
        <v>1.21</v>
      </c>
      <c r="P305" s="9"/>
      <c r="Q305" s="58" t="n">
        <f aca="false">TRIMMEAN(B305:P305,2/COUNT(B305:P305))</f>
        <v>-0.432222222222222</v>
      </c>
    </row>
    <row r="306" customFormat="false" ht="15.75" hidden="false" customHeight="true" outlineLevel="0" collapsed="false">
      <c r="A306" s="59" t="s">
        <v>449</v>
      </c>
      <c r="B306" s="9" t="n">
        <v>0.57</v>
      </c>
      <c r="C306" s="9" t="n">
        <v>0.47</v>
      </c>
      <c r="D306" s="9" t="n">
        <v>0.52</v>
      </c>
      <c r="E306" s="9"/>
      <c r="F306" s="9"/>
      <c r="G306" s="9" t="n">
        <v>0.77</v>
      </c>
      <c r="H306" s="9"/>
      <c r="I306" s="9" t="n">
        <v>0.67</v>
      </c>
      <c r="J306" s="9" t="n">
        <v>0.21</v>
      </c>
      <c r="K306" s="9"/>
      <c r="L306" s="9"/>
      <c r="M306" s="9" t="n">
        <v>1.25</v>
      </c>
      <c r="N306" s="9"/>
      <c r="O306" s="9" t="n">
        <v>0.93</v>
      </c>
      <c r="P306" s="9" t="n">
        <v>1.38</v>
      </c>
      <c r="Q306" s="58" t="n">
        <f aca="false">TRIMMEAN(B306:P306,2/COUNT(B306:P306))</f>
        <v>0.74</v>
      </c>
    </row>
    <row r="307" customFormat="false" ht="15.75" hidden="false" customHeight="true" outlineLevel="0" collapsed="false">
      <c r="A307" s="59" t="s">
        <v>450</v>
      </c>
      <c r="B307" s="9"/>
      <c r="C307" s="9" t="n">
        <v>-0.29</v>
      </c>
      <c r="D307" s="9"/>
      <c r="E307" s="9" t="n">
        <v>0.2</v>
      </c>
      <c r="F307" s="9"/>
      <c r="G307" s="9"/>
      <c r="H307" s="9"/>
      <c r="I307" s="9"/>
      <c r="J307" s="9"/>
      <c r="K307" s="9" t="n">
        <v>-0.99</v>
      </c>
      <c r="L307" s="9"/>
      <c r="M307" s="9" t="n">
        <v>0.6</v>
      </c>
      <c r="N307" s="9"/>
      <c r="O307" s="9"/>
      <c r="P307" s="9"/>
      <c r="Q307" s="58" t="n">
        <f aca="false">TRIMMEAN(B307:P307,2/COUNT(B307:P307))</f>
        <v>-0.045</v>
      </c>
    </row>
    <row r="308" customFormat="false" ht="15.75" hidden="false" customHeight="true" outlineLevel="0" collapsed="false">
      <c r="A308" s="60" t="s">
        <v>451</v>
      </c>
      <c r="B308" s="61"/>
      <c r="C308" s="61" t="n">
        <v>-0.56</v>
      </c>
      <c r="D308" s="61"/>
      <c r="E308" s="61" t="n">
        <v>-0.77</v>
      </c>
      <c r="F308" s="61" t="n">
        <v>0.26</v>
      </c>
      <c r="G308" s="61"/>
      <c r="H308" s="61" t="n">
        <v>0.99</v>
      </c>
      <c r="I308" s="61"/>
      <c r="J308" s="61"/>
      <c r="K308" s="61" t="n">
        <v>0.41</v>
      </c>
      <c r="L308" s="61" t="n">
        <v>-2.47</v>
      </c>
      <c r="M308" s="61" t="n">
        <v>0.54</v>
      </c>
      <c r="N308" s="61" t="n">
        <v>0.4</v>
      </c>
      <c r="O308" s="61" t="n">
        <v>0.87</v>
      </c>
      <c r="P308" s="61" t="n">
        <v>0.21</v>
      </c>
      <c r="Q308" s="58" t="n">
        <f aca="false">TRIMMEAN(B308:P308,2/COUNT(B308:P308))</f>
        <v>0.17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  <row r="310" customFormat="false" ht="15" hidden="false" customHeight="true" outlineLevel="0" collapsed="false">
      <c r="A310" s="1"/>
    </row>
    <row r="311" customFormat="false" ht="15" hidden="false" customHeight="true" outlineLevel="0" collapsed="false">
      <c r="A311" s="1"/>
    </row>
    <row r="312" customFormat="false" ht="15" hidden="false" customHeight="true" outlineLevel="0" collapsed="false">
      <c r="A312" s="1"/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0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57"/>
    <col collapsed="false" customWidth="true" hidden="false" outlineLevel="0" max="10" min="10" style="51" width="11.43"/>
    <col collapsed="false" customWidth="true" hidden="false" outlineLevel="0" max="11" min="11" style="1" width="11.86"/>
    <col collapsed="false" customWidth="true" hidden="false" outlineLevel="0" max="12" min="12" style="1" width="11.28"/>
    <col collapsed="false" customWidth="true" hidden="false" outlineLevel="0" max="13" min="13" style="1" width="10.7"/>
    <col collapsed="false" customWidth="true" hidden="false" outlineLevel="0" max="14" min="14" style="51" width="12.14"/>
    <col collapsed="false" customWidth="true" hidden="false" outlineLevel="0" max="15" min="15" style="51" width="11.15"/>
    <col collapsed="false" customWidth="true" hidden="false" outlineLevel="0" max="16" min="16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46145</v>
      </c>
      <c r="C1" s="54" t="n">
        <v>46152</v>
      </c>
      <c r="D1" s="54" t="n">
        <v>46159</v>
      </c>
      <c r="E1" s="54" t="n">
        <v>46166</v>
      </c>
      <c r="F1" s="54" t="n">
        <v>46173</v>
      </c>
      <c r="G1" s="54" t="n">
        <v>46180</v>
      </c>
      <c r="H1" s="54" t="n">
        <v>46187</v>
      </c>
      <c r="I1" s="54" t="n">
        <v>46194</v>
      </c>
      <c r="J1" s="54" t="n">
        <v>46201</v>
      </c>
      <c r="K1" s="54" t="n">
        <v>46208</v>
      </c>
      <c r="L1" s="54" t="n">
        <v>46215</v>
      </c>
      <c r="M1" s="54" t="n">
        <v>46222</v>
      </c>
      <c r="N1" s="54" t="n">
        <v>46229</v>
      </c>
      <c r="O1" s="54" t="n">
        <v>46236</v>
      </c>
      <c r="P1" s="54" t="n">
        <v>46243</v>
      </c>
      <c r="Q1" s="53" t="s">
        <v>456</v>
      </c>
      <c r="S1" s="1" t="s">
        <v>145</v>
      </c>
      <c r="T1" s="56" t="n">
        <v>1.4</v>
      </c>
    </row>
    <row r="2" customFormat="false" ht="15.75" hidden="false" customHeight="true" outlineLevel="0" collapsed="false">
      <c r="A2" s="57" t="s">
        <v>146</v>
      </c>
      <c r="B2" s="9"/>
      <c r="C2" s="9" t="n">
        <v>0.82</v>
      </c>
      <c r="D2" s="9" t="n">
        <v>1.11</v>
      </c>
      <c r="E2" s="9"/>
      <c r="F2" s="9" t="n">
        <v>0.88</v>
      </c>
      <c r="G2" s="9" t="n">
        <v>0.41</v>
      </c>
      <c r="H2" s="9"/>
      <c r="I2" s="9" t="n">
        <v>0.81</v>
      </c>
      <c r="J2" s="9" t="n">
        <v>-0.18</v>
      </c>
      <c r="K2" s="9"/>
      <c r="L2" s="9" t="n">
        <v>0.32</v>
      </c>
      <c r="M2" s="9" t="n">
        <v>0.75</v>
      </c>
      <c r="N2" s="9"/>
      <c r="O2" s="9"/>
      <c r="P2" s="9"/>
      <c r="Q2" s="58" t="n">
        <f aca="false">TRIMMEAN(B2:P2,2/COUNT(B2:P2))</f>
        <v>0.665</v>
      </c>
    </row>
    <row r="3" customFormat="false" ht="15.75" hidden="false" customHeight="true" outlineLevel="0" collapsed="false">
      <c r="A3" s="57" t="s">
        <v>147</v>
      </c>
      <c r="B3" s="9" t="n">
        <v>-0.1</v>
      </c>
      <c r="C3" s="9" t="n">
        <v>-2.34</v>
      </c>
      <c r="D3" s="9"/>
      <c r="E3" s="9" t="n">
        <v>-0.15</v>
      </c>
      <c r="F3" s="9" t="n">
        <v>-0.26</v>
      </c>
      <c r="G3" s="9" t="n">
        <v>-0.36</v>
      </c>
      <c r="H3" s="9"/>
      <c r="I3" s="9"/>
      <c r="J3" s="9" t="n">
        <v>-0.7</v>
      </c>
      <c r="K3" s="9" t="n">
        <v>0.25</v>
      </c>
      <c r="L3" s="9" t="n">
        <v>-0.17</v>
      </c>
      <c r="M3" s="9"/>
      <c r="N3" s="9"/>
      <c r="O3" s="9"/>
      <c r="P3" s="9"/>
      <c r="Q3" s="58" t="n">
        <f aca="false">TRIMMEAN(B3:P3,2/COUNT(B3:P3))</f>
        <v>-0.29</v>
      </c>
    </row>
    <row r="4" customFormat="false" ht="15.75" hidden="false" customHeight="true" outlineLevel="0" collapsed="false">
      <c r="A4" s="57" t="s">
        <v>148</v>
      </c>
      <c r="B4" s="9" t="n">
        <v>0.73</v>
      </c>
      <c r="C4" s="9" t="n">
        <v>-0.39</v>
      </c>
      <c r="D4" s="9" t="n">
        <v>1.28</v>
      </c>
      <c r="E4" s="9"/>
      <c r="F4" s="9"/>
      <c r="G4" s="9" t="n">
        <v>0.92</v>
      </c>
      <c r="H4" s="9"/>
      <c r="I4" s="9"/>
      <c r="J4" s="9" t="n">
        <v>0.04</v>
      </c>
      <c r="K4" s="9" t="n">
        <v>0.73</v>
      </c>
      <c r="L4" s="9" t="n">
        <v>0.5</v>
      </c>
      <c r="M4" s="9" t="n">
        <v>-0.3</v>
      </c>
      <c r="N4" s="9"/>
      <c r="O4" s="9"/>
      <c r="P4" s="9"/>
      <c r="Q4" s="58" t="n">
        <f aca="false">TRIMMEAN(B4:P4,2/COUNT(B4:P4))</f>
        <v>0.436666666666667</v>
      </c>
    </row>
    <row r="5" customFormat="false" ht="15.75" hidden="false" customHeight="true" outlineLevel="0" collapsed="false">
      <c r="A5" s="57" t="s">
        <v>149</v>
      </c>
      <c r="B5" s="9"/>
      <c r="C5" s="9" t="n">
        <v>-0.27</v>
      </c>
      <c r="D5" s="9"/>
      <c r="E5" s="9" t="n">
        <v>0.82</v>
      </c>
      <c r="F5" s="9" t="n">
        <v>0.05</v>
      </c>
      <c r="G5" s="9"/>
      <c r="H5" s="9" t="n">
        <v>0.28</v>
      </c>
      <c r="I5" s="9"/>
      <c r="J5" s="9"/>
      <c r="K5" s="9" t="n">
        <v>-0.13</v>
      </c>
      <c r="L5" s="9" t="n">
        <v>-0.79</v>
      </c>
      <c r="M5" s="9" t="n">
        <v>0.4</v>
      </c>
      <c r="N5" s="9" t="n">
        <v>0.17</v>
      </c>
      <c r="O5" s="9" t="n">
        <v>0.33</v>
      </c>
      <c r="P5" s="9" t="n">
        <v>-0.23</v>
      </c>
      <c r="Q5" s="58" t="n">
        <f aca="false">TRIMMEAN(B5:P5,2/COUNT(B5:P5))</f>
        <v>0.075</v>
      </c>
    </row>
    <row r="6" customFormat="false" ht="15.75" hidden="false" customHeight="true" outlineLevel="0" collapsed="false">
      <c r="A6" s="59" t="s">
        <v>150</v>
      </c>
      <c r="B6" s="9"/>
      <c r="C6" s="9" t="n">
        <v>-0.31</v>
      </c>
      <c r="D6" s="9" t="n">
        <v>-0.99</v>
      </c>
      <c r="E6" s="9" t="n">
        <v>-1.06</v>
      </c>
      <c r="F6" s="9" t="n">
        <v>0.58</v>
      </c>
      <c r="G6" s="9"/>
      <c r="H6" s="9" t="n">
        <v>-0.48</v>
      </c>
      <c r="I6" s="9"/>
      <c r="J6" s="9"/>
      <c r="K6" s="9" t="n">
        <v>-0.44</v>
      </c>
      <c r="L6" s="9" t="n">
        <v>-0.11</v>
      </c>
      <c r="M6" s="9" t="n">
        <v>-0.58</v>
      </c>
      <c r="N6" s="9" t="n">
        <v>0.07</v>
      </c>
      <c r="O6" s="9" t="n">
        <v>-0.4</v>
      </c>
      <c r="P6" s="9" t="n">
        <v>-0.43</v>
      </c>
      <c r="Q6" s="58" t="n">
        <f aca="false">TRIMMEAN(B6:P6,2/COUNT(B6:P6))</f>
        <v>-0.407777777777778</v>
      </c>
    </row>
    <row r="7" customFormat="false" ht="15.75" hidden="false" customHeight="true" outlineLevel="0" collapsed="false">
      <c r="A7" s="59" t="s">
        <v>151</v>
      </c>
      <c r="B7" s="9" t="n">
        <v>-0.04</v>
      </c>
      <c r="C7" s="9" t="n">
        <v>0.12</v>
      </c>
      <c r="D7" s="9" t="n">
        <v>0.09</v>
      </c>
      <c r="E7" s="9"/>
      <c r="F7" s="9"/>
      <c r="G7" s="9" t="n">
        <v>0.71</v>
      </c>
      <c r="H7" s="9"/>
      <c r="I7" s="9" t="n">
        <v>-0.16</v>
      </c>
      <c r="J7" s="9" t="n">
        <v>0.07</v>
      </c>
      <c r="K7" s="9" t="n">
        <v>0.27</v>
      </c>
      <c r="L7" s="9"/>
      <c r="M7" s="9" t="n">
        <v>0.96</v>
      </c>
      <c r="N7" s="9"/>
      <c r="O7" s="9"/>
      <c r="P7" s="9"/>
      <c r="Q7" s="58" t="n">
        <f aca="false">TRIMMEAN(B7:P7,2/COUNT(B7:P7))</f>
        <v>0.203333333333333</v>
      </c>
    </row>
    <row r="8" customFormat="false" ht="15.75" hidden="false" customHeight="true" outlineLevel="0" collapsed="false">
      <c r="A8" s="59" t="s">
        <v>152</v>
      </c>
      <c r="B8" s="9" t="n">
        <v>-1.03</v>
      </c>
      <c r="C8" s="9" t="n">
        <v>-0.12</v>
      </c>
      <c r="D8" s="9" t="n">
        <v>-0.8</v>
      </c>
      <c r="E8" s="9"/>
      <c r="F8" s="9" t="n">
        <v>-0.34</v>
      </c>
      <c r="G8" s="9" t="n">
        <v>-0.33</v>
      </c>
      <c r="H8" s="9"/>
      <c r="I8" s="9" t="n">
        <v>0.56</v>
      </c>
      <c r="J8" s="9" t="n">
        <v>0.46</v>
      </c>
      <c r="K8" s="9"/>
      <c r="L8" s="9"/>
      <c r="M8" s="9" t="n">
        <v>-0.18</v>
      </c>
      <c r="N8" s="9"/>
      <c r="O8" s="9" t="n">
        <v>-2.72</v>
      </c>
      <c r="P8" s="9"/>
      <c r="Q8" s="58" t="n">
        <f aca="false">TRIMMEAN(B8:P8,2/COUNT(B8:P8))</f>
        <v>-0.334285714285714</v>
      </c>
    </row>
    <row r="9" customFormat="false" ht="15.75" hidden="false" customHeight="true" outlineLevel="0" collapsed="false">
      <c r="A9" s="59" t="s">
        <v>153</v>
      </c>
      <c r="B9" s="9"/>
      <c r="C9" s="9" t="n">
        <v>-0.17</v>
      </c>
      <c r="D9" s="9"/>
      <c r="E9" s="9" t="n">
        <v>-0.68</v>
      </c>
      <c r="F9" s="9" t="n">
        <v>-0.04</v>
      </c>
      <c r="G9" s="9"/>
      <c r="H9" s="9"/>
      <c r="I9" s="9" t="n">
        <v>-0.87</v>
      </c>
      <c r="J9" s="9"/>
      <c r="K9" s="9" t="n">
        <v>-0.63</v>
      </c>
      <c r="L9" s="9" t="n">
        <v>-0.33</v>
      </c>
      <c r="M9" s="9"/>
      <c r="N9" s="9" t="n">
        <v>-0.1</v>
      </c>
      <c r="O9" s="9" t="n">
        <v>-0.66</v>
      </c>
      <c r="P9" s="9" t="n">
        <v>-1.43</v>
      </c>
      <c r="Q9" s="58" t="n">
        <f aca="false">TRIMMEAN(B9:P9,2/COUNT(B9:P9))</f>
        <v>-0.491428571428571</v>
      </c>
    </row>
    <row r="10" customFormat="false" ht="15.75" hidden="false" customHeight="true" outlineLevel="0" collapsed="false">
      <c r="A10" s="59" t="s">
        <v>154</v>
      </c>
      <c r="B10" s="9" t="n">
        <v>0.25</v>
      </c>
      <c r="C10" s="9" t="n">
        <v>0.46</v>
      </c>
      <c r="D10" s="9" t="n">
        <v>0.32</v>
      </c>
      <c r="E10" s="9" t="n">
        <v>-0.1</v>
      </c>
      <c r="F10" s="9" t="n">
        <v>0.08</v>
      </c>
      <c r="G10" s="9"/>
      <c r="H10" s="9" t="n">
        <v>-0.01</v>
      </c>
      <c r="I10" s="9"/>
      <c r="J10" s="9"/>
      <c r="K10" s="9" t="n">
        <v>-1.41</v>
      </c>
      <c r="L10" s="9" t="n">
        <v>0.43</v>
      </c>
      <c r="M10" s="9" t="n">
        <v>-0.08</v>
      </c>
      <c r="N10" s="9" t="n">
        <v>0.95</v>
      </c>
      <c r="O10" s="9" t="n">
        <v>0.41</v>
      </c>
      <c r="P10" s="9" t="n">
        <v>1.05</v>
      </c>
      <c r="Q10" s="58" t="n">
        <f aca="false">TRIMMEAN(B10:P10,2/COUNT(B10:P10))</f>
        <v>0.271</v>
      </c>
    </row>
    <row r="11" customFormat="false" ht="15.75" hidden="false" customHeight="true" outlineLevel="0" collapsed="false">
      <c r="A11" s="57" t="s">
        <v>155</v>
      </c>
      <c r="B11" s="9" t="n">
        <v>0.68</v>
      </c>
      <c r="C11" s="9" t="n">
        <v>0.5</v>
      </c>
      <c r="D11" s="9"/>
      <c r="E11" s="9"/>
      <c r="F11" s="9"/>
      <c r="G11" s="9" t="n">
        <v>-0.31</v>
      </c>
      <c r="H11" s="9"/>
      <c r="I11" s="9"/>
      <c r="J11" s="9" t="n">
        <v>0.16</v>
      </c>
      <c r="K11" s="9" t="n">
        <v>-0.02</v>
      </c>
      <c r="L11" s="9" t="n">
        <v>-0.72</v>
      </c>
      <c r="M11" s="9" t="n">
        <v>0.79</v>
      </c>
      <c r="N11" s="9"/>
      <c r="O11" s="9"/>
      <c r="P11" s="9"/>
      <c r="Q11" s="58" t="n">
        <f aca="false">TRIMMEAN(B11:P11,2/COUNT(B11:P11))</f>
        <v>0.202</v>
      </c>
    </row>
    <row r="12" customFormat="false" ht="15.75" hidden="false" customHeight="true" outlineLevel="0" collapsed="false">
      <c r="A12" s="59" t="s">
        <v>156</v>
      </c>
      <c r="B12" s="9" t="n">
        <v>0.36</v>
      </c>
      <c r="C12" s="9" t="n">
        <v>-0.17</v>
      </c>
      <c r="D12" s="9" t="n">
        <v>0.62</v>
      </c>
      <c r="E12" s="9"/>
      <c r="F12" s="9" t="n">
        <v>-0.55</v>
      </c>
      <c r="G12" s="9" t="n">
        <v>0.16</v>
      </c>
      <c r="H12" s="9"/>
      <c r="I12" s="9" t="n">
        <v>1.04</v>
      </c>
      <c r="J12" s="9" t="n">
        <v>-0.21</v>
      </c>
      <c r="K12" s="9" t="n">
        <v>0.3</v>
      </c>
      <c r="L12" s="9"/>
      <c r="M12" s="9" t="n">
        <v>-0.19</v>
      </c>
      <c r="N12" s="9"/>
      <c r="O12" s="9" t="n">
        <v>0.46</v>
      </c>
      <c r="P12" s="9" t="n">
        <v>0.72</v>
      </c>
      <c r="Q12" s="58" t="n">
        <f aca="false">TRIMMEAN(B12:P12,2/COUNT(B12:P12))</f>
        <v>0.227777777777778</v>
      </c>
    </row>
    <row r="13" customFormat="false" ht="15.75" hidden="false" customHeight="true" outlineLevel="0" collapsed="false">
      <c r="A13" s="57" t="s">
        <v>157</v>
      </c>
      <c r="B13" s="9"/>
      <c r="C13" s="9"/>
      <c r="D13" s="9" t="n">
        <v>1.13</v>
      </c>
      <c r="E13" s="9" t="n">
        <v>0.88</v>
      </c>
      <c r="F13" s="9" t="n">
        <v>1.09</v>
      </c>
      <c r="G13" s="9"/>
      <c r="H13" s="9" t="n">
        <v>0.15</v>
      </c>
      <c r="I13" s="9" t="n">
        <v>1.41</v>
      </c>
      <c r="J13" s="9"/>
      <c r="K13" s="9" t="n">
        <v>0.65</v>
      </c>
      <c r="L13" s="9" t="n">
        <v>0.41</v>
      </c>
      <c r="M13" s="9" t="n">
        <v>0.81</v>
      </c>
      <c r="N13" s="9" t="n">
        <v>0.39</v>
      </c>
      <c r="O13" s="9" t="n">
        <v>-0.75</v>
      </c>
      <c r="P13" s="9" t="n">
        <v>1.21</v>
      </c>
      <c r="Q13" s="58" t="n">
        <f aca="false">TRIMMEAN(B13:P13,2/COUNT(B13:P13))</f>
        <v>0.746666666666667</v>
      </c>
    </row>
    <row r="14" customFormat="false" ht="15.75" hidden="false" customHeight="true" outlineLevel="0" collapsed="false">
      <c r="A14" s="59" t="s">
        <v>158</v>
      </c>
      <c r="B14" s="9" t="n">
        <v>-1.33</v>
      </c>
      <c r="C14" s="9" t="n">
        <v>0.2</v>
      </c>
      <c r="D14" s="9" t="n">
        <v>0.49</v>
      </c>
      <c r="E14" s="9"/>
      <c r="F14" s="9"/>
      <c r="G14" s="9" t="n">
        <v>0.68</v>
      </c>
      <c r="H14" s="9" t="n">
        <v>-0.07</v>
      </c>
      <c r="I14" s="9" t="n">
        <v>-0.01</v>
      </c>
      <c r="J14" s="9" t="n">
        <v>0.7</v>
      </c>
      <c r="K14" s="9" t="n">
        <v>0.23</v>
      </c>
      <c r="L14" s="9"/>
      <c r="M14" s="9" t="n">
        <v>0.11</v>
      </c>
      <c r="N14" s="9"/>
      <c r="O14" s="9" t="n">
        <v>-0.18</v>
      </c>
      <c r="P14" s="9"/>
      <c r="Q14" s="58" t="n">
        <f aca="false">TRIMMEAN(B14:P14,2/COUNT(B14:P14))</f>
        <v>0.18125</v>
      </c>
    </row>
    <row r="15" customFormat="false" ht="15.75" hidden="false" customHeight="true" outlineLevel="0" collapsed="false">
      <c r="A15" s="59" t="s">
        <v>159</v>
      </c>
      <c r="B15" s="9"/>
      <c r="C15" s="9" t="n">
        <v>-0.27</v>
      </c>
      <c r="D15" s="9"/>
      <c r="E15" s="9" t="n">
        <v>0.49</v>
      </c>
      <c r="F15" s="9"/>
      <c r="G15" s="9"/>
      <c r="H15" s="9"/>
      <c r="I15" s="9"/>
      <c r="J15" s="9"/>
      <c r="K15" s="9" t="n">
        <v>0.73</v>
      </c>
      <c r="L15" s="9"/>
      <c r="M15" s="9" t="n">
        <v>0.25</v>
      </c>
      <c r="N15" s="9"/>
      <c r="O15" s="9"/>
      <c r="P15" s="9" t="n">
        <v>-0.21</v>
      </c>
      <c r="Q15" s="58" t="n">
        <f aca="false">TRIMMEAN(B15:P15,2/COUNT(B15:P15))</f>
        <v>0.176666666666667</v>
      </c>
    </row>
    <row r="16" customFormat="false" ht="15.75" hidden="false" customHeight="true" outlineLevel="0" collapsed="false">
      <c r="A16" s="57" t="s">
        <v>160</v>
      </c>
      <c r="B16" s="9"/>
      <c r="C16" s="9" t="n">
        <v>-0.52</v>
      </c>
      <c r="D16" s="9" t="n">
        <v>0.07</v>
      </c>
      <c r="E16" s="9" t="n">
        <v>0.37</v>
      </c>
      <c r="F16" s="9" t="n">
        <v>0.2</v>
      </c>
      <c r="G16" s="9"/>
      <c r="H16" s="9" t="n">
        <v>-0.79</v>
      </c>
      <c r="I16" s="9"/>
      <c r="J16" s="9"/>
      <c r="K16" s="9"/>
      <c r="L16" s="9" t="n">
        <v>-0.49</v>
      </c>
      <c r="M16" s="9" t="n">
        <v>0.66</v>
      </c>
      <c r="N16" s="9"/>
      <c r="O16" s="9"/>
      <c r="P16" s="9"/>
      <c r="Q16" s="58" t="n">
        <f aca="false">TRIMMEAN(B16:P16,2/COUNT(B16:P16))</f>
        <v>-0.074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0.49</v>
      </c>
      <c r="C19" s="9" t="n">
        <v>0.78</v>
      </c>
      <c r="D19" s="9" t="n">
        <v>-0.2</v>
      </c>
      <c r="E19" s="9"/>
      <c r="F19" s="9"/>
      <c r="G19" s="9" t="n">
        <v>0.37</v>
      </c>
      <c r="H19" s="9" t="n">
        <v>0.25</v>
      </c>
      <c r="I19" s="9" t="n">
        <v>0.48</v>
      </c>
      <c r="J19" s="9" t="n">
        <v>0.82</v>
      </c>
      <c r="K19" s="9"/>
      <c r="L19" s="9"/>
      <c r="M19" s="9" t="n">
        <v>0.63</v>
      </c>
      <c r="N19" s="9"/>
      <c r="O19" s="9"/>
      <c r="P19" s="9"/>
      <c r="Q19" s="58" t="n">
        <f aca="false">TRIMMEAN(B19:P19,2/COUNT(B19:P19))</f>
        <v>0.5</v>
      </c>
    </row>
    <row r="20" customFormat="false" ht="15.75" hidden="false" customHeight="true" outlineLevel="0" collapsed="false">
      <c r="A20" s="57" t="s">
        <v>164</v>
      </c>
      <c r="B20" s="9" t="n">
        <v>-0.48</v>
      </c>
      <c r="C20" s="9" t="n">
        <v>-0.85</v>
      </c>
      <c r="D20" s="9" t="n">
        <v>-1.51</v>
      </c>
      <c r="E20" s="9"/>
      <c r="F20" s="9" t="n">
        <v>-0.24</v>
      </c>
      <c r="G20" s="9" t="n">
        <v>0.76</v>
      </c>
      <c r="H20" s="9" t="n">
        <v>-0.99</v>
      </c>
      <c r="I20" s="9"/>
      <c r="J20" s="9" t="n">
        <v>-0.59</v>
      </c>
      <c r="K20" s="9" t="n">
        <v>-0.87</v>
      </c>
      <c r="L20" s="9" t="n">
        <v>-0.09</v>
      </c>
      <c r="M20" s="9"/>
      <c r="N20" s="9" t="n">
        <v>0.03</v>
      </c>
      <c r="O20" s="9" t="n">
        <v>-0.49</v>
      </c>
      <c r="P20" s="9" t="n">
        <v>0.13</v>
      </c>
      <c r="Q20" s="58" t="n">
        <f aca="false">TRIMMEAN(B20:P20,2/COUNT(B20:P20))</f>
        <v>-0.444</v>
      </c>
    </row>
    <row r="21" customFormat="false" ht="15.75" hidden="false" customHeight="true" outlineLevel="0" collapsed="false">
      <c r="A21" s="59" t="s">
        <v>165</v>
      </c>
      <c r="B21" s="9"/>
      <c r="C21" s="9" t="n">
        <v>-0.78</v>
      </c>
      <c r="D21" s="9"/>
      <c r="E21" s="9" t="n">
        <v>-0.73</v>
      </c>
      <c r="F21" s="9"/>
      <c r="G21" s="9"/>
      <c r="H21" s="9" t="n">
        <v>-2.65</v>
      </c>
      <c r="I21" s="9"/>
      <c r="J21" s="9"/>
      <c r="K21" s="9" t="n">
        <v>-0.2</v>
      </c>
      <c r="L21" s="9" t="n">
        <v>0.08</v>
      </c>
      <c r="M21" s="9" t="n">
        <v>0.25</v>
      </c>
      <c r="N21" s="9" t="n">
        <v>0.55</v>
      </c>
      <c r="O21" s="9" t="n">
        <v>-0.54</v>
      </c>
      <c r="P21" s="9" t="n">
        <v>-0.16</v>
      </c>
      <c r="Q21" s="58" t="n">
        <f aca="false">TRIMMEAN(B21:P21,2/COUNT(B21:P21))</f>
        <v>-0.297142857142857</v>
      </c>
    </row>
    <row r="22" customFormat="false" ht="15.75" hidden="false" customHeight="true" outlineLevel="0" collapsed="false">
      <c r="A22" s="57" t="s">
        <v>166</v>
      </c>
      <c r="B22" s="9"/>
      <c r="C22" s="9" t="n">
        <v>0.1</v>
      </c>
      <c r="D22" s="9"/>
      <c r="E22" s="9"/>
      <c r="F22" s="9" t="n">
        <v>0.42</v>
      </c>
      <c r="G22" s="9" t="n">
        <v>-0.07</v>
      </c>
      <c r="H22" s="9"/>
      <c r="I22" s="9" t="n">
        <v>0.94</v>
      </c>
      <c r="J22" s="9"/>
      <c r="K22" s="9"/>
      <c r="L22" s="9" t="n">
        <v>0.01</v>
      </c>
      <c r="M22" s="9" t="n">
        <v>-0.54</v>
      </c>
      <c r="N22" s="9"/>
      <c r="O22" s="9"/>
      <c r="P22" s="9"/>
      <c r="Q22" s="58" t="n">
        <f aca="false">TRIMMEAN(B22:P22,2/COUNT(B22:P22))</f>
        <v>0.115</v>
      </c>
    </row>
    <row r="23" customFormat="false" ht="15.75" hidden="false" customHeight="true" outlineLevel="0" collapsed="false">
      <c r="A23" s="57" t="s">
        <v>167</v>
      </c>
      <c r="B23" s="9"/>
      <c r="C23" s="9" t="n">
        <v>0.44</v>
      </c>
      <c r="D23" s="9" t="n">
        <v>0.42</v>
      </c>
      <c r="E23" s="9"/>
      <c r="F23" s="9"/>
      <c r="G23" s="9" t="n">
        <v>0.28</v>
      </c>
      <c r="H23" s="9"/>
      <c r="I23" s="9" t="n">
        <v>1.27</v>
      </c>
      <c r="J23" s="9" t="n">
        <v>0.21</v>
      </c>
      <c r="K23" s="9"/>
      <c r="L23" s="9" t="n">
        <v>-0.52</v>
      </c>
      <c r="M23" s="9" t="n">
        <v>0.38</v>
      </c>
      <c r="N23" s="9"/>
      <c r="O23" s="9" t="n">
        <v>0.06</v>
      </c>
      <c r="P23" s="9"/>
      <c r="Q23" s="58" t="n">
        <f aca="false">TRIMMEAN(B23:P23,2/COUNT(B23:P23))</f>
        <v>0.298333333333333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0.3</v>
      </c>
      <c r="C25" s="9" t="n">
        <v>-0.23</v>
      </c>
      <c r="D25" s="9" t="n">
        <v>-1.03</v>
      </c>
      <c r="E25" s="9"/>
      <c r="F25" s="9" t="n">
        <v>-0.06</v>
      </c>
      <c r="G25" s="9"/>
      <c r="H25" s="9" t="n">
        <v>0.26</v>
      </c>
      <c r="I25" s="9"/>
      <c r="J25" s="9"/>
      <c r="K25" s="9"/>
      <c r="L25" s="9" t="n">
        <v>0.47</v>
      </c>
      <c r="M25" s="9"/>
      <c r="N25" s="9" t="n">
        <v>0.37</v>
      </c>
      <c r="O25" s="9" t="n">
        <v>0.68</v>
      </c>
      <c r="P25" s="9" t="n">
        <v>-0.26</v>
      </c>
      <c r="Q25" s="58" t="n">
        <f aca="false">TRIMMEAN(B25:P25,2/COUNT(B25:P25))</f>
        <v>0.121428571428571</v>
      </c>
    </row>
    <row r="26" customFormat="false" ht="15.75" hidden="false" customHeight="true" outlineLevel="0" collapsed="false">
      <c r="A26" s="57" t="s">
        <v>170</v>
      </c>
      <c r="B26" s="9" t="n">
        <v>0.74</v>
      </c>
      <c r="C26" s="9" t="n">
        <v>0.5</v>
      </c>
      <c r="D26" s="9" t="n">
        <v>0.05</v>
      </c>
      <c r="E26" s="9"/>
      <c r="F26" s="9"/>
      <c r="G26" s="9" t="n">
        <v>0.81</v>
      </c>
      <c r="H26" s="9" t="n">
        <v>0.59</v>
      </c>
      <c r="I26" s="9" t="n">
        <v>0.23</v>
      </c>
      <c r="J26" s="9" t="n">
        <v>0.74</v>
      </c>
      <c r="K26" s="9"/>
      <c r="L26" s="9" t="n">
        <v>-0.6</v>
      </c>
      <c r="M26" s="9" t="n">
        <v>-0.76</v>
      </c>
      <c r="N26" s="9"/>
      <c r="O26" s="9"/>
      <c r="P26" s="9" t="n">
        <v>0.97</v>
      </c>
      <c r="Q26" s="58" t="n">
        <f aca="false">TRIMMEAN(B26:P26,2/COUNT(B26:P26))</f>
        <v>0.3825</v>
      </c>
    </row>
    <row r="27" customFormat="false" ht="15.75" hidden="false" customHeight="true" outlineLevel="0" collapsed="false">
      <c r="A27" s="57" t="s">
        <v>171</v>
      </c>
      <c r="B27" s="9" t="n">
        <v>-0.19</v>
      </c>
      <c r="C27" s="9" t="n">
        <v>0.11</v>
      </c>
      <c r="D27" s="9"/>
      <c r="E27" s="9" t="n">
        <v>0.12</v>
      </c>
      <c r="F27" s="9" t="n">
        <v>0.58</v>
      </c>
      <c r="G27" s="9" t="n">
        <v>0.88</v>
      </c>
      <c r="H27" s="9"/>
      <c r="I27" s="9"/>
      <c r="J27" s="9" t="n">
        <v>0.36</v>
      </c>
      <c r="K27" s="9" t="n">
        <v>1.24</v>
      </c>
      <c r="L27" s="9" t="n">
        <v>-0.01</v>
      </c>
      <c r="M27" s="9" t="n">
        <v>0.01</v>
      </c>
      <c r="N27" s="9"/>
      <c r="O27" s="9"/>
      <c r="P27" s="9"/>
      <c r="Q27" s="58" t="n">
        <f aca="false">TRIMMEAN(B27:P27,2/COUNT(B27:P27))</f>
        <v>0.292857142857143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 t="n">
        <v>-0.87</v>
      </c>
      <c r="F28" s="9"/>
      <c r="G28" s="9"/>
      <c r="H28" s="9"/>
      <c r="I28" s="9"/>
      <c r="J28" s="9"/>
      <c r="K28" s="9" t="n">
        <v>-0.36</v>
      </c>
      <c r="L28" s="9" t="n">
        <v>0.85</v>
      </c>
      <c r="M28" s="9" t="n">
        <v>0.39</v>
      </c>
      <c r="N28" s="9" t="n">
        <v>0.52</v>
      </c>
      <c r="O28" s="9"/>
      <c r="P28" s="9"/>
      <c r="Q28" s="58" t="n">
        <f aca="false">TRIMMEAN(B28:P28,2/COUNT(B28:P28))</f>
        <v>0.183333333333333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-0.67</v>
      </c>
      <c r="D30" s="9"/>
      <c r="E30" s="9" t="n">
        <v>-1.23</v>
      </c>
      <c r="F30" s="9" t="n">
        <v>-0.64</v>
      </c>
      <c r="G30" s="9"/>
      <c r="H30" s="9" t="n">
        <v>-1.18</v>
      </c>
      <c r="I30" s="9"/>
      <c r="J30" s="9"/>
      <c r="K30" s="9" t="n">
        <v>0.08</v>
      </c>
      <c r="L30" s="9" t="n">
        <v>-0.62</v>
      </c>
      <c r="M30" s="9" t="n">
        <v>-0.77</v>
      </c>
      <c r="N30" s="9" t="n">
        <v>-0.43</v>
      </c>
      <c r="O30" s="9" t="n">
        <v>-0.17</v>
      </c>
      <c r="P30" s="9" t="n">
        <v>-0.83</v>
      </c>
      <c r="Q30" s="58" t="n">
        <f aca="false">TRIMMEAN(B30:P30,2/COUNT(B30:P30))</f>
        <v>-0.66375</v>
      </c>
    </row>
    <row r="31" customFormat="false" ht="15.75" hidden="false" customHeight="true" outlineLevel="0" collapsed="false">
      <c r="A31" s="59" t="s">
        <v>175</v>
      </c>
      <c r="B31" s="9"/>
      <c r="C31" s="9" t="n">
        <v>-1.35</v>
      </c>
      <c r="D31" s="9"/>
      <c r="E31" s="9" t="n">
        <v>0.09</v>
      </c>
      <c r="F31" s="9" t="n">
        <v>0.04</v>
      </c>
      <c r="G31" s="9"/>
      <c r="H31" s="9" t="n">
        <v>-1.12</v>
      </c>
      <c r="I31" s="9"/>
      <c r="J31" s="9"/>
      <c r="K31" s="9" t="n">
        <v>-0.78</v>
      </c>
      <c r="L31" s="9" t="n">
        <v>0.34</v>
      </c>
      <c r="M31" s="9" t="n">
        <v>0.02</v>
      </c>
      <c r="N31" s="9" t="n">
        <v>0.47</v>
      </c>
      <c r="O31" s="9" t="n">
        <v>-0.59</v>
      </c>
      <c r="P31" s="9" t="n">
        <v>0.5</v>
      </c>
      <c r="Q31" s="58" t="n">
        <f aca="false">TRIMMEAN(B31:P31,2/COUNT(B31:P31))</f>
        <v>-0.19125</v>
      </c>
    </row>
    <row r="32" customFormat="false" ht="15.75" hidden="false" customHeight="true" outlineLevel="0" collapsed="false">
      <c r="A32" s="57" t="s">
        <v>176</v>
      </c>
      <c r="B32" s="9"/>
      <c r="C32" s="9"/>
      <c r="D32" s="9" t="n">
        <v>-1.22</v>
      </c>
      <c r="E32" s="9" t="n">
        <v>0.96</v>
      </c>
      <c r="F32" s="9"/>
      <c r="G32" s="9" t="n">
        <v>-0.26</v>
      </c>
      <c r="H32" s="9" t="n">
        <v>0.1</v>
      </c>
      <c r="I32" s="9" t="n">
        <v>0.75</v>
      </c>
      <c r="J32" s="9" t="n">
        <v>-0.16</v>
      </c>
      <c r="K32" s="9"/>
      <c r="L32" s="9" t="n">
        <v>0.37</v>
      </c>
      <c r="M32" s="9" t="n">
        <v>0.6</v>
      </c>
      <c r="N32" s="9"/>
      <c r="O32" s="9" t="n">
        <v>-0.98</v>
      </c>
      <c r="P32" s="9"/>
      <c r="Q32" s="58" t="n">
        <f aca="false">TRIMMEAN(B32:P32,2/COUNT(B32:P32))</f>
        <v>0.06</v>
      </c>
    </row>
    <row r="33" customFormat="false" ht="15.75" hidden="false" customHeight="true" outlineLevel="0" collapsed="false">
      <c r="A33" s="57" t="s">
        <v>177</v>
      </c>
      <c r="B33" s="9"/>
      <c r="C33" s="9" t="n">
        <v>-0.92</v>
      </c>
      <c r="D33" s="9"/>
      <c r="E33" s="9" t="n">
        <v>-0.81</v>
      </c>
      <c r="F33" s="9" t="n">
        <v>0.53</v>
      </c>
      <c r="G33" s="9" t="n">
        <v>0.41</v>
      </c>
      <c r="H33" s="9" t="n">
        <v>-0.43</v>
      </c>
      <c r="I33" s="9"/>
      <c r="J33" s="9" t="n">
        <v>-0.35</v>
      </c>
      <c r="K33" s="9" t="n">
        <v>0.05</v>
      </c>
      <c r="L33" s="9" t="n">
        <v>-0.25</v>
      </c>
      <c r="M33" s="9" t="n">
        <v>-0.25</v>
      </c>
      <c r="N33" s="9"/>
      <c r="O33" s="9" t="n">
        <v>-0.84</v>
      </c>
      <c r="P33" s="9" t="n">
        <v>0.14</v>
      </c>
      <c r="Q33" s="58" t="n">
        <f aca="false">TRIMMEAN(B33:P33,2/COUNT(B33:P33))</f>
        <v>-0.258888888888889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-0.26</v>
      </c>
      <c r="C35" s="9" t="n">
        <v>0.47</v>
      </c>
      <c r="D35" s="9" t="n">
        <v>-0.05</v>
      </c>
      <c r="E35" s="9"/>
      <c r="F35" s="9"/>
      <c r="G35" s="9" t="n">
        <v>-0.84</v>
      </c>
      <c r="H35" s="9" t="n">
        <v>0.48</v>
      </c>
      <c r="I35" s="9" t="n">
        <v>0.57</v>
      </c>
      <c r="J35" s="9" t="n">
        <v>0.42</v>
      </c>
      <c r="K35" s="9"/>
      <c r="L35" s="9" t="n">
        <v>-0.07</v>
      </c>
      <c r="M35" s="9" t="n">
        <v>-0.55</v>
      </c>
      <c r="N35" s="9" t="n">
        <v>0.87</v>
      </c>
      <c r="O35" s="9" t="n">
        <v>0.79</v>
      </c>
      <c r="P35" s="9"/>
      <c r="Q35" s="58" t="n">
        <f aca="false">TRIMMEAN(B35:P35,2/COUNT(B35:P35))</f>
        <v>0.2</v>
      </c>
    </row>
    <row r="36" customFormat="false" ht="15.75" hidden="false" customHeight="true" outlineLevel="0" collapsed="false">
      <c r="A36" s="57" t="s">
        <v>180</v>
      </c>
      <c r="B36" s="9" t="n">
        <v>1.2</v>
      </c>
      <c r="C36" s="9" t="n">
        <v>0.51</v>
      </c>
      <c r="D36" s="9" t="n">
        <v>0.14</v>
      </c>
      <c r="E36" s="9" t="n">
        <v>1.02</v>
      </c>
      <c r="F36" s="9" t="n">
        <v>0.41</v>
      </c>
      <c r="G36" s="9" t="n">
        <v>0.3</v>
      </c>
      <c r="H36" s="9"/>
      <c r="I36" s="9" t="n">
        <v>0.05</v>
      </c>
      <c r="J36" s="9"/>
      <c r="K36" s="9" t="n">
        <v>0.2</v>
      </c>
      <c r="L36" s="9" t="n">
        <v>0.65</v>
      </c>
      <c r="M36" s="9" t="n">
        <v>-0.61</v>
      </c>
      <c r="N36" s="9" t="n">
        <v>-1.23</v>
      </c>
      <c r="O36" s="9" t="n">
        <v>-0.1</v>
      </c>
      <c r="P36" s="9" t="n">
        <v>-0.21</v>
      </c>
      <c r="Q36" s="58" t="n">
        <f aca="false">TRIMMEAN(B36:P36,2/COUNT(B36:P36))</f>
        <v>0.214545454545455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 t="n">
        <v>-0.76</v>
      </c>
      <c r="F37" s="9"/>
      <c r="G37" s="9"/>
      <c r="H37" s="9"/>
      <c r="I37" s="9"/>
      <c r="J37" s="9"/>
      <c r="K37" s="9"/>
      <c r="L37" s="9" t="n">
        <v>-0.51</v>
      </c>
      <c r="M37" s="9" t="n">
        <v>-0.48</v>
      </c>
      <c r="N37" s="9"/>
      <c r="O37" s="9"/>
      <c r="P37" s="9"/>
      <c r="Q37" s="58" t="n">
        <f aca="false">TRIMMEAN(B37:P37,2/COUNT(B37:P37))</f>
        <v>-0.51</v>
      </c>
    </row>
    <row r="38" customFormat="false" ht="15.75" hidden="false" customHeight="true" outlineLevel="0" collapsed="false">
      <c r="A38" s="57" t="s">
        <v>182</v>
      </c>
      <c r="B38" s="9" t="n">
        <v>-0.23</v>
      </c>
      <c r="C38" s="9" t="n">
        <v>0.02</v>
      </c>
      <c r="D38" s="9"/>
      <c r="E38" s="9" t="n">
        <v>0.2</v>
      </c>
      <c r="F38" s="9" t="n">
        <v>-0.1</v>
      </c>
      <c r="G38" s="9" t="n">
        <v>-1.09</v>
      </c>
      <c r="H38" s="9"/>
      <c r="I38" s="9"/>
      <c r="J38" s="9" t="n">
        <v>0.31</v>
      </c>
      <c r="K38" s="9" t="n">
        <v>0.19</v>
      </c>
      <c r="L38" s="9" t="n">
        <v>-0.27</v>
      </c>
      <c r="M38" s="9" t="n">
        <v>-0.17</v>
      </c>
      <c r="N38" s="9"/>
      <c r="O38" s="9"/>
      <c r="P38" s="9"/>
      <c r="Q38" s="58" t="n">
        <f aca="false">TRIMMEAN(B38:P38,2/COUNT(B38:P38))</f>
        <v>-0.0514285714285714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-0.29</v>
      </c>
      <c r="C40" s="9" t="n">
        <v>-0.93</v>
      </c>
      <c r="D40" s="9"/>
      <c r="E40" s="9" t="n">
        <v>-0.76</v>
      </c>
      <c r="F40" s="9" t="n">
        <v>0.28</v>
      </c>
      <c r="G40" s="9"/>
      <c r="H40" s="9" t="n">
        <v>-0.5</v>
      </c>
      <c r="I40" s="9"/>
      <c r="J40" s="9"/>
      <c r="K40" s="9" t="n">
        <v>-0.1</v>
      </c>
      <c r="L40" s="9" t="n">
        <v>0.02</v>
      </c>
      <c r="M40" s="9" t="n">
        <v>0.41</v>
      </c>
      <c r="N40" s="9" t="n">
        <v>0.3</v>
      </c>
      <c r="O40" s="9" t="n">
        <v>0.69</v>
      </c>
      <c r="P40" s="9" t="n">
        <v>-0.36</v>
      </c>
      <c r="Q40" s="58" t="n">
        <f aca="false">TRIMMEAN(B40:P40,2/COUNT(B40:P40))</f>
        <v>-0.111111111111111</v>
      </c>
    </row>
    <row r="41" customFormat="false" ht="15.75" hidden="false" customHeight="true" outlineLevel="0" collapsed="false">
      <c r="A41" s="57" t="s">
        <v>185</v>
      </c>
      <c r="B41" s="9"/>
      <c r="C41" s="9" t="n">
        <v>-0.35</v>
      </c>
      <c r="D41" s="9"/>
      <c r="E41" s="9" t="n">
        <v>-1.28</v>
      </c>
      <c r="F41" s="9" t="n">
        <v>-0.11</v>
      </c>
      <c r="G41" s="9"/>
      <c r="H41" s="9" t="n">
        <v>-0.12</v>
      </c>
      <c r="I41" s="9"/>
      <c r="J41" s="9"/>
      <c r="K41" s="9"/>
      <c r="L41" s="9" t="n">
        <v>-0.08</v>
      </c>
      <c r="M41" s="9"/>
      <c r="N41" s="9" t="n">
        <v>-0.98</v>
      </c>
      <c r="O41" s="9" t="n">
        <v>-0.3</v>
      </c>
      <c r="P41" s="9" t="n">
        <v>-4.45</v>
      </c>
      <c r="Q41" s="58" t="n">
        <f aca="false">TRIMMEAN(B41:P41,2/COUNT(B41:P41))</f>
        <v>-0.523333333333333</v>
      </c>
    </row>
    <row r="42" customFormat="false" ht="15.75" hidden="false" customHeight="true" outlineLevel="0" collapsed="false">
      <c r="A42" s="59" t="s">
        <v>186</v>
      </c>
      <c r="B42" s="9" t="n">
        <v>0.64</v>
      </c>
      <c r="C42" s="9" t="n">
        <v>-0.57</v>
      </c>
      <c r="D42" s="9" t="n">
        <v>-0.07</v>
      </c>
      <c r="E42" s="9"/>
      <c r="F42" s="9"/>
      <c r="G42" s="9" t="n">
        <v>-0.24</v>
      </c>
      <c r="H42" s="9"/>
      <c r="I42" s="9" t="n">
        <v>-0.24</v>
      </c>
      <c r="J42" s="9" t="n">
        <v>0.18</v>
      </c>
      <c r="K42" s="9"/>
      <c r="L42" s="9"/>
      <c r="M42" s="9" t="n">
        <v>0.87</v>
      </c>
      <c r="N42" s="9"/>
      <c r="O42" s="9"/>
      <c r="P42" s="9" t="n">
        <v>0.26</v>
      </c>
      <c r="Q42" s="58" t="n">
        <f aca="false">TRIMMEAN(B42:P42,2/COUNT(B42:P42))</f>
        <v>0.0883333333333333</v>
      </c>
    </row>
    <row r="43" customFormat="false" ht="15.75" hidden="false" customHeight="true" outlineLevel="0" collapsed="false">
      <c r="A43" s="59" t="s">
        <v>187</v>
      </c>
      <c r="B43" s="9"/>
      <c r="C43" s="9" t="n">
        <v>0.62</v>
      </c>
      <c r="D43" s="9" t="n">
        <v>0.79</v>
      </c>
      <c r="E43" s="9"/>
      <c r="F43" s="9" t="n">
        <v>0.46</v>
      </c>
      <c r="G43" s="9" t="n">
        <v>0.78</v>
      </c>
      <c r="H43" s="9"/>
      <c r="I43" s="9" t="n">
        <v>1.83</v>
      </c>
      <c r="J43" s="9"/>
      <c r="K43" s="9"/>
      <c r="L43" s="9"/>
      <c r="M43" s="9" t="n">
        <v>0.48</v>
      </c>
      <c r="N43" s="9"/>
      <c r="O43" s="9"/>
      <c r="P43" s="9"/>
      <c r="Q43" s="58" t="n">
        <f aca="false">TRIMMEAN(B43:P43,2/COUNT(B43:P43))</f>
        <v>0.6675</v>
      </c>
    </row>
    <row r="44" customFormat="false" ht="15.75" hidden="false" customHeight="true" outlineLevel="0" collapsed="false">
      <c r="A44" s="57" t="s">
        <v>188</v>
      </c>
      <c r="B44" s="9" t="n">
        <v>-0.04</v>
      </c>
      <c r="C44" s="9" t="n">
        <v>0.35</v>
      </c>
      <c r="D44" s="9"/>
      <c r="E44" s="9"/>
      <c r="F44" s="9" t="n">
        <v>0.76</v>
      </c>
      <c r="G44" s="9" t="n">
        <v>-0.39</v>
      </c>
      <c r="H44" s="9"/>
      <c r="I44" s="9"/>
      <c r="J44" s="9" t="n">
        <v>0.63</v>
      </c>
      <c r="K44" s="9" t="n">
        <v>0.77</v>
      </c>
      <c r="L44" s="9" t="n">
        <v>0.58</v>
      </c>
      <c r="M44" s="9" t="n">
        <v>0.65</v>
      </c>
      <c r="N44" s="9"/>
      <c r="O44" s="9"/>
      <c r="P44" s="9"/>
      <c r="Q44" s="58" t="n">
        <f aca="false">TRIMMEAN(B44:P44,2/COUNT(B44:P44))</f>
        <v>0.488333333333333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 t="n">
        <v>-0.15</v>
      </c>
      <c r="D46" s="9" t="n">
        <v>0.52</v>
      </c>
      <c r="E46" s="9"/>
      <c r="F46" s="9"/>
      <c r="G46" s="9"/>
      <c r="H46" s="9"/>
      <c r="I46" s="9"/>
      <c r="J46" s="9"/>
      <c r="K46" s="9"/>
      <c r="L46" s="9"/>
      <c r="M46" s="9" t="n">
        <v>-0.66</v>
      </c>
      <c r="N46" s="9"/>
      <c r="O46" s="9"/>
      <c r="P46" s="9"/>
      <c r="Q46" s="58" t="n">
        <f aca="false">TRIMMEAN(B46:P46,2/COUNT(B46:P46))</f>
        <v>-0.15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-0.41</v>
      </c>
      <c r="D48" s="9"/>
      <c r="E48" s="9" t="n">
        <v>-0.8</v>
      </c>
      <c r="F48" s="9" t="n">
        <v>0.06</v>
      </c>
      <c r="G48" s="9"/>
      <c r="H48" s="9" t="n">
        <v>1.84</v>
      </c>
      <c r="I48" s="9"/>
      <c r="J48" s="9"/>
      <c r="K48" s="9" t="n">
        <v>0.51</v>
      </c>
      <c r="L48" s="9" t="n">
        <v>0.51</v>
      </c>
      <c r="M48" s="9" t="n">
        <v>-0.83</v>
      </c>
      <c r="N48" s="9" t="n">
        <v>0.84</v>
      </c>
      <c r="O48" s="9" t="n">
        <v>-0.04</v>
      </c>
      <c r="P48" s="9" t="n">
        <v>0.86</v>
      </c>
      <c r="Q48" s="58" t="n">
        <f aca="false">TRIMMEAN(B48:P48,2/COUNT(B48:P48))</f>
        <v>0.19125</v>
      </c>
    </row>
    <row r="49" customFormat="false" ht="15.75" hidden="false" customHeight="true" outlineLevel="0" collapsed="false">
      <c r="A49" s="59" t="s">
        <v>193</v>
      </c>
      <c r="B49" s="9"/>
      <c r="C49" s="9"/>
      <c r="D49" s="9" t="n">
        <v>0.09</v>
      </c>
      <c r="E49" s="9"/>
      <c r="F49" s="9"/>
      <c r="G49" s="9"/>
      <c r="H49" s="9"/>
      <c r="I49" s="9"/>
      <c r="J49" s="9"/>
      <c r="K49" s="9"/>
      <c r="L49" s="9"/>
      <c r="M49" s="9" t="n">
        <v>-0.32</v>
      </c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-1.44</v>
      </c>
      <c r="D50" s="9"/>
      <c r="E50" s="9" t="n">
        <v>-1.64</v>
      </c>
      <c r="F50" s="9" t="n">
        <v>0.05</v>
      </c>
      <c r="G50" s="9"/>
      <c r="H50" s="9" t="n">
        <v>-0.13</v>
      </c>
      <c r="I50" s="9" t="n">
        <v>-0.48</v>
      </c>
      <c r="J50" s="9"/>
      <c r="K50" s="9" t="n">
        <v>-0.54</v>
      </c>
      <c r="L50" s="9" t="n">
        <v>-1.24</v>
      </c>
      <c r="M50" s="9"/>
      <c r="N50" s="9" t="n">
        <v>-0.9</v>
      </c>
      <c r="O50" s="9" t="n">
        <v>-1.94</v>
      </c>
      <c r="P50" s="9" t="n">
        <v>0.02</v>
      </c>
      <c r="Q50" s="58" t="n">
        <f aca="false">TRIMMEAN(B50:P50,2/COUNT(B50:P50))</f>
        <v>-0.79375</v>
      </c>
    </row>
    <row r="51" customFormat="false" ht="15.75" hidden="false" customHeight="true" outlineLevel="0" collapsed="false">
      <c r="A51" s="59" t="s">
        <v>195</v>
      </c>
      <c r="B51" s="9"/>
      <c r="C51" s="9" t="n">
        <v>0.1</v>
      </c>
      <c r="D51" s="9"/>
      <c r="E51" s="9" t="n">
        <v>0.11</v>
      </c>
      <c r="F51" s="9"/>
      <c r="G51" s="9"/>
      <c r="H51" s="9"/>
      <c r="I51" s="9"/>
      <c r="J51" s="9"/>
      <c r="K51" s="9" t="n">
        <v>0.23</v>
      </c>
      <c r="L51" s="9" t="n">
        <v>0.36</v>
      </c>
      <c r="M51" s="9" t="n">
        <v>-0.04</v>
      </c>
      <c r="N51" s="9" t="n">
        <v>1.01</v>
      </c>
      <c r="O51" s="9"/>
      <c r="P51" s="9"/>
      <c r="Q51" s="58" t="n">
        <f aca="false">TRIMMEAN(B51:P51,2/COUNT(B51:P51))</f>
        <v>0.2</v>
      </c>
    </row>
    <row r="52" customFormat="false" ht="15.75" hidden="false" customHeight="true" outlineLevel="0" collapsed="false">
      <c r="A52" s="59" t="s">
        <v>196</v>
      </c>
      <c r="B52" s="9"/>
      <c r="C52" s="9" t="n">
        <v>-0.57</v>
      </c>
      <c r="D52" s="9"/>
      <c r="E52" s="9" t="n">
        <v>-0.01</v>
      </c>
      <c r="F52" s="9" t="n">
        <v>-0.9</v>
      </c>
      <c r="G52" s="9"/>
      <c r="H52" s="9" t="n">
        <v>-1.89</v>
      </c>
      <c r="I52" s="9"/>
      <c r="J52" s="9"/>
      <c r="K52" s="9" t="n">
        <v>-0.16</v>
      </c>
      <c r="L52" s="9" t="n">
        <v>0.12</v>
      </c>
      <c r="M52" s="9" t="n">
        <v>0.07</v>
      </c>
      <c r="N52" s="9" t="n">
        <v>-2.03</v>
      </c>
      <c r="O52" s="9" t="n">
        <v>-2.21</v>
      </c>
      <c r="P52" s="9" t="n">
        <v>-3.73</v>
      </c>
      <c r="Q52" s="58" t="n">
        <f aca="false">TRIMMEAN(B52:P52,2/COUNT(B52:P52))</f>
        <v>-0.9625</v>
      </c>
    </row>
    <row r="53" customFormat="false" ht="15.75" hidden="false" customHeight="true" outlineLevel="0" collapsed="false">
      <c r="A53" s="57" t="s">
        <v>197</v>
      </c>
      <c r="B53" s="9" t="n">
        <v>-0.57</v>
      </c>
      <c r="C53" s="9" t="n">
        <v>0.12</v>
      </c>
      <c r="D53" s="9"/>
      <c r="E53" s="9" t="n">
        <v>0.52</v>
      </c>
      <c r="F53" s="9" t="n">
        <v>0.21</v>
      </c>
      <c r="G53" s="9" t="n">
        <v>-1.14</v>
      </c>
      <c r="H53" s="9"/>
      <c r="I53" s="9" t="n">
        <v>0.06</v>
      </c>
      <c r="J53" s="9"/>
      <c r="K53" s="9" t="n">
        <v>1.45</v>
      </c>
      <c r="L53" s="9" t="n">
        <v>0.22</v>
      </c>
      <c r="M53" s="9" t="n">
        <v>-1.01</v>
      </c>
      <c r="N53" s="9"/>
      <c r="O53" s="9"/>
      <c r="P53" s="9"/>
      <c r="Q53" s="58" t="n">
        <f aca="false">TRIMMEAN(B53:P53,2/COUNT(B53:P53))</f>
        <v>-0.0642857142857143</v>
      </c>
    </row>
    <row r="54" customFormat="false" ht="15.75" hidden="false" customHeight="true" outlineLevel="0" collapsed="false">
      <c r="A54" s="57" t="s">
        <v>198</v>
      </c>
      <c r="B54" s="9" t="n">
        <v>0.04</v>
      </c>
      <c r="C54" s="9" t="n">
        <v>-0.68</v>
      </c>
      <c r="D54" s="9" t="n">
        <v>-0.84</v>
      </c>
      <c r="E54" s="9"/>
      <c r="F54" s="9" t="n">
        <v>0.06</v>
      </c>
      <c r="G54" s="9" t="n">
        <v>0.36</v>
      </c>
      <c r="H54" s="9"/>
      <c r="I54" s="9" t="n">
        <v>0.43</v>
      </c>
      <c r="J54" s="9" t="n">
        <v>-0.3</v>
      </c>
      <c r="K54" s="9"/>
      <c r="L54" s="9" t="n">
        <v>-0.01</v>
      </c>
      <c r="M54" s="9" t="n">
        <v>-0.18</v>
      </c>
      <c r="N54" s="9"/>
      <c r="O54" s="9" t="n">
        <v>0.93</v>
      </c>
      <c r="P54" s="9" t="n">
        <v>0.05</v>
      </c>
      <c r="Q54" s="58" t="n">
        <f aca="false">TRIMMEAN(B54:P54,2/COUNT(B54:P54))</f>
        <v>-0.0255555555555556</v>
      </c>
    </row>
    <row r="55" customFormat="false" ht="15.75" hidden="false" customHeight="true" outlineLevel="0" collapsed="false">
      <c r="A55" s="57" t="s">
        <v>199</v>
      </c>
      <c r="B55" s="9"/>
      <c r="C55" s="9" t="n">
        <v>-0.35</v>
      </c>
      <c r="D55" s="9"/>
      <c r="E55" s="9" t="n">
        <v>-0.18</v>
      </c>
      <c r="F55" s="9" t="n">
        <v>-0.88</v>
      </c>
      <c r="G55" s="9"/>
      <c r="H55" s="9" t="n">
        <v>0.1</v>
      </c>
      <c r="I55" s="9"/>
      <c r="J55" s="9"/>
      <c r="K55" s="9" t="n">
        <v>-0.79</v>
      </c>
      <c r="L55" s="9" t="n">
        <v>-1.3</v>
      </c>
      <c r="M55" s="9" t="n">
        <v>0.54</v>
      </c>
      <c r="N55" s="9" t="n">
        <v>-0.76</v>
      </c>
      <c r="O55" s="9" t="n">
        <v>0.18</v>
      </c>
      <c r="P55" s="9" t="n">
        <v>0.33</v>
      </c>
      <c r="Q55" s="58" t="n">
        <f aca="false">TRIMMEAN(B55:P55,2/COUNT(B55:P55))</f>
        <v>-0.29375</v>
      </c>
    </row>
    <row r="56" customFormat="false" ht="15.75" hidden="false" customHeight="true" outlineLevel="0" collapsed="false">
      <c r="A56" s="57" t="s">
        <v>200</v>
      </c>
      <c r="B56" s="9" t="n">
        <v>0.12</v>
      </c>
      <c r="C56" s="9" t="n">
        <v>-0.11</v>
      </c>
      <c r="D56" s="9"/>
      <c r="E56" s="9" t="n">
        <v>-1.79</v>
      </c>
      <c r="F56" s="9" t="n">
        <v>-0.82</v>
      </c>
      <c r="G56" s="9" t="n">
        <v>0.21</v>
      </c>
      <c r="H56" s="9"/>
      <c r="I56" s="9"/>
      <c r="J56" s="9" t="n">
        <v>-1.05</v>
      </c>
      <c r="K56" s="9" t="n">
        <v>-0.76</v>
      </c>
      <c r="L56" s="9" t="n">
        <v>-0.32</v>
      </c>
      <c r="M56" s="9" t="n">
        <v>-0.1</v>
      </c>
      <c r="N56" s="9"/>
      <c r="O56" s="9"/>
      <c r="P56" s="9"/>
      <c r="Q56" s="58" t="n">
        <f aca="false">TRIMMEAN(B56:P56,2/COUNT(B56:P56))</f>
        <v>-0.434285714285714</v>
      </c>
    </row>
    <row r="57" customFormat="false" ht="15.75" hidden="false" customHeight="true" outlineLevel="0" collapsed="false">
      <c r="A57" s="57" t="s">
        <v>201</v>
      </c>
      <c r="B57" s="9" t="n">
        <v>0.6</v>
      </c>
      <c r="C57" s="9" t="n">
        <v>0.49</v>
      </c>
      <c r="D57" s="9" t="n">
        <v>0.38</v>
      </c>
      <c r="E57" s="9"/>
      <c r="F57" s="9"/>
      <c r="G57" s="9" t="n">
        <v>0.56</v>
      </c>
      <c r="H57" s="9"/>
      <c r="I57" s="9" t="n">
        <v>-0.28</v>
      </c>
      <c r="J57" s="9" t="n">
        <v>0.18</v>
      </c>
      <c r="K57" s="9"/>
      <c r="L57" s="9" t="n">
        <v>0.34</v>
      </c>
      <c r="M57" s="9" t="n">
        <v>0.51</v>
      </c>
      <c r="N57" s="9"/>
      <c r="O57" s="9" t="n">
        <v>0.43</v>
      </c>
      <c r="P57" s="9" t="n">
        <v>-0.27</v>
      </c>
      <c r="Q57" s="58" t="n">
        <f aca="false">TRIMMEAN(B57:P57,2/COUNT(B57:P57))</f>
        <v>0.3275</v>
      </c>
    </row>
    <row r="58" customFormat="false" ht="15.75" hidden="false" customHeight="true" outlineLevel="0" collapsed="false">
      <c r="A58" s="59" t="s">
        <v>202</v>
      </c>
      <c r="B58" s="9"/>
      <c r="C58" s="9" t="n">
        <v>-0.59</v>
      </c>
      <c r="D58" s="9"/>
      <c r="E58" s="9" t="n">
        <v>-0.19</v>
      </c>
      <c r="F58" s="9" t="n">
        <v>-0.16</v>
      </c>
      <c r="G58" s="9"/>
      <c r="H58" s="9" t="n">
        <v>-0.87</v>
      </c>
      <c r="I58" s="9"/>
      <c r="J58" s="9"/>
      <c r="K58" s="9" t="n">
        <v>-0.51</v>
      </c>
      <c r="L58" s="9"/>
      <c r="M58" s="9"/>
      <c r="N58" s="9"/>
      <c r="O58" s="9"/>
      <c r="P58" s="9"/>
      <c r="Q58" s="58" t="n">
        <f aca="false">TRIMMEAN(B58:P58,2/COUNT(B58:P58))</f>
        <v>-0.43</v>
      </c>
    </row>
    <row r="59" customFormat="false" ht="15.75" hidden="false" customHeight="true" outlineLevel="0" collapsed="false">
      <c r="A59" s="57" t="s">
        <v>203</v>
      </c>
      <c r="B59" s="9" t="n">
        <v>0.87</v>
      </c>
      <c r="C59" s="9" t="n">
        <v>0.37</v>
      </c>
      <c r="D59" s="9"/>
      <c r="E59" s="9" t="n">
        <v>0.41</v>
      </c>
      <c r="F59" s="9" t="n">
        <v>-0.24</v>
      </c>
      <c r="G59" s="9" t="n">
        <v>0.95</v>
      </c>
      <c r="H59" s="9"/>
      <c r="I59" s="9"/>
      <c r="J59" s="9" t="n">
        <v>-0.14</v>
      </c>
      <c r="K59" s="9" t="n">
        <v>-1.33</v>
      </c>
      <c r="L59" s="9" t="n">
        <v>0.47</v>
      </c>
      <c r="M59" s="9"/>
      <c r="N59" s="9"/>
      <c r="O59" s="9"/>
      <c r="P59" s="9"/>
      <c r="Q59" s="58" t="n">
        <f aca="false">TRIMMEAN(B59:P59,2/COUNT(B59:P59))</f>
        <v>0.29</v>
      </c>
    </row>
    <row r="60" customFormat="false" ht="15.75" hidden="false" customHeight="true" outlineLevel="0" collapsed="false">
      <c r="A60" s="59" t="s">
        <v>204</v>
      </c>
      <c r="B60" s="9"/>
      <c r="C60" s="9" t="n">
        <v>-0.06</v>
      </c>
      <c r="D60" s="9"/>
      <c r="E60" s="9" t="n">
        <v>1.07</v>
      </c>
      <c r="F60" s="9" t="n">
        <v>0.27</v>
      </c>
      <c r="G60" s="9" t="n">
        <v>1.07</v>
      </c>
      <c r="H60" s="9" t="n">
        <v>0.21</v>
      </c>
      <c r="I60" s="9"/>
      <c r="J60" s="9" t="n">
        <v>0.02</v>
      </c>
      <c r="K60" s="9" t="n">
        <v>0.74</v>
      </c>
      <c r="L60" s="9"/>
      <c r="M60" s="9"/>
      <c r="N60" s="9" t="n">
        <v>0.38</v>
      </c>
      <c r="O60" s="9" t="n">
        <v>-0.35</v>
      </c>
      <c r="P60" s="9" t="n">
        <v>-0.43</v>
      </c>
      <c r="Q60" s="58" t="n">
        <f aca="false">TRIMMEAN(B60:P60,2/COUNT(B60:P60))</f>
        <v>0.285</v>
      </c>
    </row>
    <row r="61" customFormat="false" ht="15.75" hidden="false" customHeight="true" outlineLevel="0" collapsed="false">
      <c r="A61" s="59" t="s">
        <v>205</v>
      </c>
      <c r="B61" s="9"/>
      <c r="C61" s="9" t="n">
        <v>-0.16</v>
      </c>
      <c r="D61" s="9"/>
      <c r="E61" s="9" t="n">
        <v>-0.09</v>
      </c>
      <c r="F61" s="9" t="n">
        <v>0.51</v>
      </c>
      <c r="G61" s="9"/>
      <c r="H61" s="9" t="n">
        <v>0.2</v>
      </c>
      <c r="I61" s="9"/>
      <c r="J61" s="9"/>
      <c r="K61" s="9" t="n">
        <v>0.7</v>
      </c>
      <c r="L61" s="9" t="n">
        <v>0.26</v>
      </c>
      <c r="M61" s="9" t="n">
        <v>0.87</v>
      </c>
      <c r="N61" s="9" t="n">
        <v>0.44</v>
      </c>
      <c r="O61" s="9" t="n">
        <v>0.27</v>
      </c>
      <c r="P61" s="9" t="n">
        <v>0.48</v>
      </c>
      <c r="Q61" s="58" t="n">
        <f aca="false">TRIMMEAN(B61:P61,2/COUNT(B61:P61))</f>
        <v>0.34625</v>
      </c>
    </row>
    <row r="62" customFormat="false" ht="15.75" hidden="false" customHeight="true" outlineLevel="0" collapsed="false">
      <c r="A62" s="59" t="s">
        <v>206</v>
      </c>
      <c r="B62" s="9"/>
      <c r="C62" s="9" t="n">
        <v>0.33</v>
      </c>
      <c r="D62" s="9" t="n">
        <v>0.05</v>
      </c>
      <c r="E62" s="9" t="n">
        <v>0.5</v>
      </c>
      <c r="F62" s="9" t="n">
        <v>0.86</v>
      </c>
      <c r="G62" s="9"/>
      <c r="H62" s="9" t="n">
        <v>-0.3</v>
      </c>
      <c r="I62" s="9"/>
      <c r="J62" s="9"/>
      <c r="K62" s="9" t="n">
        <v>0.33</v>
      </c>
      <c r="L62" s="9" t="n">
        <v>0.76</v>
      </c>
      <c r="M62" s="9"/>
      <c r="N62" s="9" t="n">
        <v>1.22</v>
      </c>
      <c r="O62" s="9" t="n">
        <v>-0.73</v>
      </c>
      <c r="P62" s="9" t="n">
        <v>0.02</v>
      </c>
      <c r="Q62" s="58" t="n">
        <f aca="false">TRIMMEAN(B62:P62,2/COUNT(B62:P62))</f>
        <v>0.31875</v>
      </c>
    </row>
    <row r="63" customFormat="false" ht="15.75" hidden="false" customHeight="true" outlineLevel="0" collapsed="false">
      <c r="A63" s="57" t="s">
        <v>207</v>
      </c>
      <c r="B63" s="9" t="n">
        <v>1.27</v>
      </c>
      <c r="C63" s="9" t="n">
        <v>0.27</v>
      </c>
      <c r="D63" s="9" t="n">
        <v>0.76</v>
      </c>
      <c r="E63" s="9"/>
      <c r="F63" s="9"/>
      <c r="G63" s="9" t="n">
        <v>0.58</v>
      </c>
      <c r="H63" s="9" t="n">
        <v>0.61</v>
      </c>
      <c r="I63" s="9" t="n">
        <v>0.62</v>
      </c>
      <c r="J63" s="9" t="n">
        <v>0.66</v>
      </c>
      <c r="K63" s="9"/>
      <c r="L63" s="9" t="n">
        <v>-0.1</v>
      </c>
      <c r="M63" s="9" t="n">
        <v>0.41</v>
      </c>
      <c r="N63" s="9"/>
      <c r="O63" s="9"/>
      <c r="P63" s="9" t="n">
        <v>0.73</v>
      </c>
      <c r="Q63" s="58" t="n">
        <f aca="false">TRIMMEAN(B63:P63,2/COUNT(B63:P63))</f>
        <v>0.58</v>
      </c>
    </row>
    <row r="64" customFormat="false" ht="15.75" hidden="false" customHeight="true" outlineLevel="0" collapsed="false">
      <c r="A64" s="57" t="s">
        <v>208</v>
      </c>
      <c r="B64" s="9"/>
      <c r="C64" s="9" t="n">
        <v>-0.79</v>
      </c>
      <c r="D64" s="9" t="n">
        <v>0.22</v>
      </c>
      <c r="E64" s="9"/>
      <c r="F64" s="9"/>
      <c r="G64" s="9" t="n">
        <v>-0.01</v>
      </c>
      <c r="H64" s="9" t="n">
        <v>0.46</v>
      </c>
      <c r="I64" s="9" t="n">
        <v>-0.77</v>
      </c>
      <c r="J64" s="9" t="n">
        <v>0.91</v>
      </c>
      <c r="K64" s="9"/>
      <c r="L64" s="9" t="n">
        <v>0.15</v>
      </c>
      <c r="M64" s="9" t="n">
        <v>0.51</v>
      </c>
      <c r="N64" s="9"/>
      <c r="O64" s="9"/>
      <c r="P64" s="9"/>
      <c r="Q64" s="58" t="n">
        <f aca="false">TRIMMEAN(B64:P64,2/COUNT(B64:P64))</f>
        <v>0.0933333333333333</v>
      </c>
    </row>
    <row r="65" customFormat="false" ht="15.75" hidden="false" customHeight="true" outlineLevel="0" collapsed="false">
      <c r="A65" s="57" t="s">
        <v>209</v>
      </c>
      <c r="B65" s="9" t="n">
        <v>0.69</v>
      </c>
      <c r="C65" s="9" t="n">
        <v>0.5</v>
      </c>
      <c r="D65" s="9" t="n">
        <v>0.99</v>
      </c>
      <c r="E65" s="9"/>
      <c r="F65" s="9"/>
      <c r="G65" s="9" t="n">
        <v>0.86</v>
      </c>
      <c r="H65" s="9" t="n">
        <v>0.72</v>
      </c>
      <c r="I65" s="9" t="n">
        <v>0.71</v>
      </c>
      <c r="J65" s="9" t="n">
        <v>0.52</v>
      </c>
      <c r="K65" s="9"/>
      <c r="L65" s="9" t="n">
        <v>0.42</v>
      </c>
      <c r="M65" s="9" t="n">
        <v>0.12</v>
      </c>
      <c r="N65" s="9"/>
      <c r="O65" s="9"/>
      <c r="P65" s="9"/>
      <c r="Q65" s="58" t="n">
        <f aca="false">TRIMMEAN(B65:P65,2/COUNT(B65:P65))</f>
        <v>0.631428571428572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0.19</v>
      </c>
      <c r="C67" s="9" t="n">
        <v>-1.54</v>
      </c>
      <c r="D67" s="9"/>
      <c r="E67" s="9" t="n">
        <v>0.04</v>
      </c>
      <c r="F67" s="9" t="n">
        <v>0.16</v>
      </c>
      <c r="G67" s="9" t="n">
        <v>-0.81</v>
      </c>
      <c r="H67" s="9"/>
      <c r="I67" s="9"/>
      <c r="J67" s="9" t="n">
        <v>0.02</v>
      </c>
      <c r="K67" s="9"/>
      <c r="L67" s="9" t="n">
        <v>-0.91</v>
      </c>
      <c r="M67" s="9"/>
      <c r="N67" s="9"/>
      <c r="O67" s="9"/>
      <c r="P67" s="9"/>
      <c r="Q67" s="58" t="n">
        <f aca="false">TRIMMEAN(B67:P67,2/COUNT(B67:P67))</f>
        <v>-0.3</v>
      </c>
    </row>
    <row r="68" customFormat="false" ht="15.75" hidden="false" customHeight="true" outlineLevel="0" collapsed="false">
      <c r="A68" s="59" t="s">
        <v>212</v>
      </c>
      <c r="B68" s="9" t="n">
        <v>0.39</v>
      </c>
      <c r="C68" s="9" t="n">
        <v>0.39</v>
      </c>
      <c r="D68" s="9" t="n">
        <v>0.27</v>
      </c>
      <c r="E68" s="9"/>
      <c r="F68" s="9" t="n">
        <v>0.24</v>
      </c>
      <c r="G68" s="9" t="n">
        <v>-1.17</v>
      </c>
      <c r="H68" s="9"/>
      <c r="I68" s="9" t="n">
        <v>0.52</v>
      </c>
      <c r="J68" s="9" t="n">
        <v>0.5</v>
      </c>
      <c r="K68" s="9" t="n">
        <v>0.46</v>
      </c>
      <c r="L68" s="9"/>
      <c r="M68" s="9" t="n">
        <v>0.9</v>
      </c>
      <c r="N68" s="9"/>
      <c r="O68" s="9" t="n">
        <v>0.25</v>
      </c>
      <c r="P68" s="9"/>
      <c r="Q68" s="58" t="n">
        <f aca="false">TRIMMEAN(B68:P68,2/COUNT(B68:P68))</f>
        <v>0.3775</v>
      </c>
    </row>
    <row r="69" customFormat="false" ht="15.75" hidden="false" customHeight="true" outlineLevel="0" collapsed="false">
      <c r="A69" s="57" t="s">
        <v>213</v>
      </c>
      <c r="B69" s="9" t="n">
        <v>0.76</v>
      </c>
      <c r="C69" s="9" t="n">
        <v>0.62</v>
      </c>
      <c r="D69" s="9" t="n">
        <v>1.02</v>
      </c>
      <c r="E69" s="9"/>
      <c r="F69" s="9"/>
      <c r="G69" s="9" t="n">
        <v>-0.21</v>
      </c>
      <c r="H69" s="9" t="n">
        <v>0.55</v>
      </c>
      <c r="I69" s="9" t="n">
        <v>0.03</v>
      </c>
      <c r="J69" s="9" t="n">
        <v>-1.38</v>
      </c>
      <c r="K69" s="9"/>
      <c r="L69" s="9" t="n">
        <v>0.56</v>
      </c>
      <c r="M69" s="9" t="n">
        <v>0.85</v>
      </c>
      <c r="N69" s="9"/>
      <c r="O69" s="9"/>
      <c r="P69" s="9"/>
      <c r="Q69" s="58" t="n">
        <f aca="false">TRIMMEAN(B69:P69,2/COUNT(B69:P69))</f>
        <v>0.451428571428571</v>
      </c>
    </row>
    <row r="70" customFormat="false" ht="15.75" hidden="false" customHeight="true" outlineLevel="0" collapsed="false">
      <c r="A70" s="57" t="s">
        <v>214</v>
      </c>
      <c r="B70" s="9" t="n">
        <v>-0.79</v>
      </c>
      <c r="C70" s="9" t="n">
        <v>0.37</v>
      </c>
      <c r="D70" s="9"/>
      <c r="E70" s="9"/>
      <c r="F70" s="9" t="n">
        <v>-0.36</v>
      </c>
      <c r="G70" s="9" t="n">
        <v>-0.66</v>
      </c>
      <c r="H70" s="9"/>
      <c r="I70" s="9"/>
      <c r="J70" s="9" t="n">
        <v>0.39</v>
      </c>
      <c r="K70" s="9" t="n">
        <v>-0.08</v>
      </c>
      <c r="L70" s="9" t="n">
        <v>-0.17</v>
      </c>
      <c r="M70" s="9" t="n">
        <v>-0.31</v>
      </c>
      <c r="N70" s="9"/>
      <c r="O70" s="9"/>
      <c r="P70" s="9"/>
      <c r="Q70" s="58" t="n">
        <f aca="false">TRIMMEAN(B70:P70,2/COUNT(B70:P70))</f>
        <v>-0.201666666666667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0.04</v>
      </c>
      <c r="D72" s="9"/>
      <c r="E72" s="9" t="n">
        <v>-1.52</v>
      </c>
      <c r="F72" s="9" t="n">
        <v>0.53</v>
      </c>
      <c r="G72" s="9"/>
      <c r="H72" s="9" t="n">
        <v>0.53</v>
      </c>
      <c r="I72" s="9"/>
      <c r="J72" s="9"/>
      <c r="K72" s="9" t="n">
        <v>-0.67</v>
      </c>
      <c r="L72" s="9" t="n">
        <v>0.45</v>
      </c>
      <c r="M72" s="9" t="n">
        <v>-0.27</v>
      </c>
      <c r="N72" s="9" t="n">
        <v>-0.46</v>
      </c>
      <c r="O72" s="9" t="n">
        <v>-0.11</v>
      </c>
      <c r="P72" s="9" t="n">
        <v>-0.08</v>
      </c>
      <c r="Q72" s="58" t="n">
        <f aca="false">TRIMMEAN(B72:P72,2/COUNT(B72:P72))</f>
        <v>-0.07125</v>
      </c>
    </row>
    <row r="73" customFormat="false" ht="15.75" hidden="false" customHeight="true" outlineLevel="0" collapsed="false">
      <c r="A73" s="57" t="s">
        <v>217</v>
      </c>
      <c r="B73" s="9" t="n">
        <v>0.41</v>
      </c>
      <c r="C73" s="9" t="n">
        <v>-0.18</v>
      </c>
      <c r="D73" s="9" t="n">
        <v>0.3</v>
      </c>
      <c r="E73" s="9"/>
      <c r="F73" s="9" t="n">
        <v>-0.71</v>
      </c>
      <c r="G73" s="9" t="n">
        <v>0.12</v>
      </c>
      <c r="H73" s="9"/>
      <c r="I73" s="9" t="n">
        <v>0.18</v>
      </c>
      <c r="J73" s="9" t="n">
        <v>0.51</v>
      </c>
      <c r="K73" s="9"/>
      <c r="L73" s="9" t="n">
        <v>1.06</v>
      </c>
      <c r="M73" s="9" t="n">
        <v>0.65</v>
      </c>
      <c r="N73" s="9"/>
      <c r="O73" s="9" t="n">
        <v>0.01</v>
      </c>
      <c r="P73" s="9" t="n">
        <v>1.39</v>
      </c>
      <c r="Q73" s="58" t="n">
        <f aca="false">TRIMMEAN(B73:P73,2/COUNT(B73:P73))</f>
        <v>0.34</v>
      </c>
    </row>
    <row r="74" customFormat="false" ht="15.75" hidden="false" customHeight="true" outlineLevel="0" collapsed="false">
      <c r="A74" s="57" t="s">
        <v>218</v>
      </c>
      <c r="B74" s="9"/>
      <c r="C74" s="9" t="n">
        <v>0.72</v>
      </c>
      <c r="D74" s="9"/>
      <c r="E74" s="9" t="n">
        <v>0.6</v>
      </c>
      <c r="F74" s="9" t="n">
        <v>0.59</v>
      </c>
      <c r="G74" s="9"/>
      <c r="H74" s="9" t="n">
        <v>1.3</v>
      </c>
      <c r="I74" s="9"/>
      <c r="J74" s="9"/>
      <c r="K74" s="9" t="n">
        <v>0.44</v>
      </c>
      <c r="L74" s="9" t="n">
        <v>0.64</v>
      </c>
      <c r="M74" s="9"/>
      <c r="N74" s="9" t="n">
        <v>-0.2</v>
      </c>
      <c r="O74" s="9" t="n">
        <v>1.51</v>
      </c>
      <c r="P74" s="9" t="n">
        <v>-0.26</v>
      </c>
      <c r="Q74" s="58" t="n">
        <f aca="false">TRIMMEAN(B74:P74,2/COUNT(B74:P74))</f>
        <v>0.584285714285714</v>
      </c>
    </row>
    <row r="75" customFormat="false" ht="15.75" hidden="false" customHeight="true" outlineLevel="0" collapsed="false">
      <c r="A75" s="59" t="s">
        <v>219</v>
      </c>
      <c r="B75" s="9" t="n">
        <v>-0.08</v>
      </c>
      <c r="C75" s="9" t="n">
        <v>0.35</v>
      </c>
      <c r="D75" s="9" t="n">
        <v>-0.47</v>
      </c>
      <c r="E75" s="9"/>
      <c r="F75" s="9" t="n">
        <v>-0.14</v>
      </c>
      <c r="G75" s="9" t="n">
        <v>0.62</v>
      </c>
      <c r="H75" s="9" t="n">
        <v>-0.38</v>
      </c>
      <c r="I75" s="9"/>
      <c r="J75" s="9" t="n">
        <v>0.69</v>
      </c>
      <c r="K75" s="9" t="n">
        <v>-0.16</v>
      </c>
      <c r="L75" s="9" t="n">
        <v>0.26</v>
      </c>
      <c r="M75" s="9"/>
      <c r="N75" s="9" t="n">
        <v>-0.47</v>
      </c>
      <c r="O75" s="9" t="n">
        <v>0.2</v>
      </c>
      <c r="P75" s="9" t="n">
        <v>-0.29</v>
      </c>
      <c r="Q75" s="58" t="n">
        <f aca="false">TRIMMEAN(B75:P75,2/COUNT(B75:P75))</f>
        <v>-0.009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 t="n">
        <v>-0.58</v>
      </c>
      <c r="D77" s="9"/>
      <c r="E77" s="9" t="n">
        <v>0.52</v>
      </c>
      <c r="F77" s="9"/>
      <c r="G77" s="9"/>
      <c r="H77" s="9"/>
      <c r="I77" s="9"/>
      <c r="J77" s="9"/>
      <c r="K77" s="9" t="n">
        <v>0.71</v>
      </c>
      <c r="L77" s="9"/>
      <c r="M77" s="9"/>
      <c r="N77" s="9"/>
      <c r="O77" s="9"/>
      <c r="P77" s="9"/>
      <c r="Q77" s="58" t="n">
        <f aca="false">TRIMMEAN(B77:P77,2/COUNT(B77:P77))</f>
        <v>0.52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 t="n">
        <v>0.38</v>
      </c>
      <c r="F78" s="9"/>
      <c r="G78" s="9"/>
      <c r="H78" s="9"/>
      <c r="I78" s="9"/>
      <c r="J78" s="9"/>
      <c r="K78" s="9"/>
      <c r="L78" s="9" t="n">
        <v>0.18</v>
      </c>
      <c r="M78" s="9" t="n">
        <v>0.36</v>
      </c>
      <c r="N78" s="9" t="n">
        <v>-0.68</v>
      </c>
      <c r="O78" s="9"/>
      <c r="P78" s="9"/>
      <c r="Q78" s="58" t="n">
        <f aca="false">TRIMMEAN(B78:P78,2/COUNT(B78:P78))</f>
        <v>0.27</v>
      </c>
    </row>
    <row r="79" customFormat="false" ht="15.75" hidden="false" customHeight="true" outlineLevel="0" collapsed="false">
      <c r="A79" s="57" t="s">
        <v>223</v>
      </c>
      <c r="B79" s="9" t="n">
        <v>0.65</v>
      </c>
      <c r="C79" s="9" t="n">
        <v>0.09</v>
      </c>
      <c r="D79" s="9" t="n">
        <v>1.16</v>
      </c>
      <c r="E79" s="9"/>
      <c r="F79" s="9"/>
      <c r="G79" s="9" t="n">
        <v>-0.04</v>
      </c>
      <c r="H79" s="9"/>
      <c r="I79" s="9" t="n">
        <v>0.73</v>
      </c>
      <c r="J79" s="9" t="n">
        <v>0.41</v>
      </c>
      <c r="K79" s="9" t="n">
        <v>1.26</v>
      </c>
      <c r="L79" s="9" t="n">
        <v>1</v>
      </c>
      <c r="M79" s="9" t="n">
        <v>1.08</v>
      </c>
      <c r="N79" s="9"/>
      <c r="O79" s="9" t="n">
        <v>1.25</v>
      </c>
      <c r="P79" s="9"/>
      <c r="Q79" s="58" t="n">
        <f aca="false">TRIMMEAN(B79:P79,2/COUNT(B79:P79))</f>
        <v>0.79625</v>
      </c>
    </row>
    <row r="80" customFormat="false" ht="15.75" hidden="false" customHeight="true" outlineLevel="0" collapsed="false">
      <c r="A80" s="57" t="s">
        <v>224</v>
      </c>
      <c r="B80" s="9" t="n">
        <v>0.12</v>
      </c>
      <c r="C80" s="9" t="n">
        <v>0.02</v>
      </c>
      <c r="D80" s="9" t="n">
        <v>0.64</v>
      </c>
      <c r="E80" s="9" t="n">
        <v>0.53</v>
      </c>
      <c r="F80" s="9" t="n">
        <v>-0.57</v>
      </c>
      <c r="G80" s="9"/>
      <c r="H80" s="9" t="n">
        <v>0.64</v>
      </c>
      <c r="I80" s="9" t="n">
        <v>1.3</v>
      </c>
      <c r="J80" s="9"/>
      <c r="K80" s="9" t="n">
        <v>-0.64</v>
      </c>
      <c r="L80" s="9" t="n">
        <v>0.97</v>
      </c>
      <c r="M80" s="9" t="n">
        <v>0.68</v>
      </c>
      <c r="N80" s="9" t="n">
        <v>0.25</v>
      </c>
      <c r="O80" s="9" t="n">
        <v>-0.57</v>
      </c>
      <c r="P80" s="9" t="n">
        <v>-0.02</v>
      </c>
      <c r="Q80" s="58" t="n">
        <f aca="false">TRIMMEAN(B80:P80,2/COUNT(B80:P80))</f>
        <v>0.244545454545455</v>
      </c>
    </row>
    <row r="81" customFormat="false" ht="15.75" hidden="false" customHeight="true" outlineLevel="0" collapsed="false">
      <c r="A81" s="59" t="s">
        <v>225</v>
      </c>
      <c r="B81" s="9" t="n">
        <v>0.42</v>
      </c>
      <c r="C81" s="9" t="n">
        <v>0.09</v>
      </c>
      <c r="D81" s="9" t="n">
        <v>0.69</v>
      </c>
      <c r="E81" s="9"/>
      <c r="F81" s="9" t="n">
        <v>0.46</v>
      </c>
      <c r="G81" s="9" t="n">
        <v>-0.3</v>
      </c>
      <c r="H81" s="9"/>
      <c r="I81" s="9" t="n">
        <v>0.57</v>
      </c>
      <c r="J81" s="9" t="n">
        <v>0.01</v>
      </c>
      <c r="K81" s="9" t="n">
        <v>-0.14</v>
      </c>
      <c r="L81" s="9"/>
      <c r="M81" s="9" t="n">
        <v>0.24</v>
      </c>
      <c r="N81" s="9"/>
      <c r="O81" s="9" t="n">
        <v>-1.21</v>
      </c>
      <c r="P81" s="9" t="n">
        <v>0.01</v>
      </c>
      <c r="Q81" s="58" t="n">
        <f aca="false">TRIMMEAN(B81:P81,2/COUNT(B81:P81))</f>
        <v>0.151111111111111</v>
      </c>
    </row>
    <row r="82" customFormat="false" ht="15.75" hidden="false" customHeight="true" outlineLevel="0" collapsed="false">
      <c r="A82" s="59" t="s">
        <v>226</v>
      </c>
      <c r="B82" s="9"/>
      <c r="C82" s="9" t="n">
        <v>-0.37</v>
      </c>
      <c r="D82" s="9"/>
      <c r="E82" s="9" t="n">
        <v>0.26</v>
      </c>
      <c r="F82" s="9" t="n">
        <v>-0.74</v>
      </c>
      <c r="G82" s="9"/>
      <c r="H82" s="9" t="n">
        <v>-0.09</v>
      </c>
      <c r="I82" s="9"/>
      <c r="J82" s="9"/>
      <c r="K82" s="9" t="n">
        <v>-0.12</v>
      </c>
      <c r="L82" s="9" t="n">
        <v>-0.23</v>
      </c>
      <c r="M82" s="9" t="n">
        <v>0.02</v>
      </c>
      <c r="N82" s="9" t="n">
        <v>-0.55</v>
      </c>
      <c r="O82" s="9" t="n">
        <v>0.2</v>
      </c>
      <c r="P82" s="9" t="n">
        <v>-0.53</v>
      </c>
      <c r="Q82" s="58" t="n">
        <f aca="false">TRIMMEAN(B82:P82,2/COUNT(B82:P82))</f>
        <v>-0.20875</v>
      </c>
    </row>
    <row r="83" customFormat="false" ht="15.75" hidden="false" customHeight="true" outlineLevel="0" collapsed="false">
      <c r="A83" s="59" t="s">
        <v>227</v>
      </c>
      <c r="B83" s="9"/>
      <c r="C83" s="9" t="n">
        <v>0.76</v>
      </c>
      <c r="D83" s="9" t="n">
        <v>0.33</v>
      </c>
      <c r="E83" s="9" t="n">
        <v>0</v>
      </c>
      <c r="F83" s="9" t="n">
        <v>0.3</v>
      </c>
      <c r="G83" s="9"/>
      <c r="H83" s="9" t="n">
        <v>1</v>
      </c>
      <c r="I83" s="9" t="n">
        <v>0.17</v>
      </c>
      <c r="J83" s="9"/>
      <c r="K83" s="9" t="n">
        <v>-0.37</v>
      </c>
      <c r="L83" s="9"/>
      <c r="M83" s="9"/>
      <c r="N83" s="9" t="n">
        <v>0.68</v>
      </c>
      <c r="O83" s="9" t="n">
        <v>-0.32</v>
      </c>
      <c r="P83" s="9" t="n">
        <v>1.23</v>
      </c>
      <c r="Q83" s="58" t="n">
        <f aca="false">TRIMMEAN(B83:P83,2/COUNT(B83:P83))</f>
        <v>0.365</v>
      </c>
    </row>
    <row r="84" customFormat="false" ht="15.75" hidden="false" customHeight="true" outlineLevel="0" collapsed="false">
      <c r="A84" s="57" t="s">
        <v>228</v>
      </c>
      <c r="B84" s="9" t="n">
        <v>0.56</v>
      </c>
      <c r="C84" s="9" t="n">
        <v>0.55</v>
      </c>
      <c r="D84" s="9"/>
      <c r="E84" s="9" t="n">
        <v>0.21</v>
      </c>
      <c r="F84" s="9" t="n">
        <v>-0.82</v>
      </c>
      <c r="G84" s="9" t="n">
        <v>0.05</v>
      </c>
      <c r="H84" s="9"/>
      <c r="I84" s="9"/>
      <c r="J84" s="9"/>
      <c r="K84" s="9" t="n">
        <v>-0.97</v>
      </c>
      <c r="L84" s="9" t="n">
        <v>-0.18</v>
      </c>
      <c r="M84" s="9"/>
      <c r="N84" s="9"/>
      <c r="O84" s="9"/>
      <c r="P84" s="9"/>
      <c r="Q84" s="58" t="n">
        <f aca="false">TRIMMEAN(B84:P84,2/COUNT(B84:P84))</f>
        <v>-0.038</v>
      </c>
    </row>
    <row r="85" customFormat="false" ht="15.75" hidden="false" customHeight="true" outlineLevel="0" collapsed="false">
      <c r="A85" s="57" t="s">
        <v>229</v>
      </c>
      <c r="B85" s="9" t="n">
        <v>0.45</v>
      </c>
      <c r="C85" s="9"/>
      <c r="D85" s="9" t="n">
        <v>1.08</v>
      </c>
      <c r="E85" s="9" t="n">
        <v>-0.07</v>
      </c>
      <c r="F85" s="9" t="n">
        <v>0.3</v>
      </c>
      <c r="G85" s="9" t="n">
        <v>1.04</v>
      </c>
      <c r="H85" s="9"/>
      <c r="I85" s="9"/>
      <c r="J85" s="9" t="n">
        <v>0.74</v>
      </c>
      <c r="K85" s="9" t="n">
        <v>0.34</v>
      </c>
      <c r="L85" s="9" t="n">
        <v>0.28</v>
      </c>
      <c r="M85" s="9" t="n">
        <v>-0.68</v>
      </c>
      <c r="N85" s="9"/>
      <c r="O85" s="9"/>
      <c r="P85" s="9"/>
      <c r="Q85" s="58" t="n">
        <f aca="false">TRIMMEAN(B85:P85,2/COUNT(B85:P85))</f>
        <v>0.44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-0.52</v>
      </c>
      <c r="D87" s="9"/>
      <c r="E87" s="9" t="n">
        <v>-0.26</v>
      </c>
      <c r="F87" s="9"/>
      <c r="G87" s="9"/>
      <c r="H87" s="9" t="n">
        <v>0.35</v>
      </c>
      <c r="I87" s="9"/>
      <c r="J87" s="9"/>
      <c r="K87" s="9" t="n">
        <v>0.19</v>
      </c>
      <c r="L87" s="9" t="n">
        <v>-0.46</v>
      </c>
      <c r="M87" s="9" t="n">
        <v>-0.11</v>
      </c>
      <c r="N87" s="9" t="n">
        <v>-0.91</v>
      </c>
      <c r="O87" s="9"/>
      <c r="P87" s="9"/>
      <c r="Q87" s="58" t="n">
        <f aca="false">TRIMMEAN(B87:P87,2/COUNT(B87:P87))</f>
        <v>-0.232</v>
      </c>
    </row>
    <row r="88" customFormat="false" ht="15.75" hidden="false" customHeight="true" outlineLevel="0" collapsed="false">
      <c r="A88" s="59" t="s">
        <v>232</v>
      </c>
      <c r="B88" s="9"/>
      <c r="C88" s="9" t="n">
        <v>-1.49</v>
      </c>
      <c r="D88" s="9"/>
      <c r="E88" s="9" t="n">
        <v>0.21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-0.31</v>
      </c>
      <c r="C89" s="9" t="n">
        <v>0.73</v>
      </c>
      <c r="D89" s="9" t="n">
        <v>-0.35</v>
      </c>
      <c r="E89" s="9"/>
      <c r="F89" s="9" t="n">
        <v>-1</v>
      </c>
      <c r="G89" s="9" t="n">
        <v>-0.29</v>
      </c>
      <c r="H89" s="9" t="n">
        <v>-0.79</v>
      </c>
      <c r="I89" s="9" t="n">
        <v>-0.61</v>
      </c>
      <c r="J89" s="9" t="n">
        <v>-0.63</v>
      </c>
      <c r="K89" s="9"/>
      <c r="L89" s="9" t="n">
        <v>-0.47</v>
      </c>
      <c r="M89" s="9" t="n">
        <v>-1.8</v>
      </c>
      <c r="N89" s="9"/>
      <c r="O89" s="9" t="n">
        <v>-0.86</v>
      </c>
      <c r="P89" s="9" t="n">
        <v>0.19</v>
      </c>
      <c r="Q89" s="58" t="n">
        <f aca="false">TRIMMEAN(B89:P89,2/COUNT(B89:P89))</f>
        <v>-0.512</v>
      </c>
    </row>
    <row r="90" customFormat="false" ht="15.75" hidden="false" customHeight="true" outlineLevel="0" collapsed="false">
      <c r="A90" s="59" t="s">
        <v>234</v>
      </c>
      <c r="B90" s="9"/>
      <c r="C90" s="9" t="n">
        <v>-0.96</v>
      </c>
      <c r="D90" s="9"/>
      <c r="E90" s="9" t="n">
        <v>0.29</v>
      </c>
      <c r="F90" s="9" t="n">
        <v>0.13</v>
      </c>
      <c r="G90" s="9"/>
      <c r="H90" s="9"/>
      <c r="I90" s="9" t="n">
        <v>0.47</v>
      </c>
      <c r="J90" s="9"/>
      <c r="K90" s="9" t="n">
        <v>-0.22</v>
      </c>
      <c r="L90" s="9" t="n">
        <v>0.5</v>
      </c>
      <c r="M90" s="9" t="n">
        <v>0.27</v>
      </c>
      <c r="N90" s="9" t="n">
        <v>0.89</v>
      </c>
      <c r="O90" s="9"/>
      <c r="P90" s="9"/>
      <c r="Q90" s="58" t="n">
        <f aca="false">TRIMMEAN(B90:P90,2/COUNT(B90:P90))</f>
        <v>0.24</v>
      </c>
    </row>
    <row r="91" customFormat="false" ht="15.75" hidden="false" customHeight="true" outlineLevel="0" collapsed="false">
      <c r="A91" s="57" t="s">
        <v>235</v>
      </c>
      <c r="B91" s="9" t="n">
        <v>-0.17</v>
      </c>
      <c r="C91" s="9" t="n">
        <v>-0.12</v>
      </c>
      <c r="D91" s="9" t="n">
        <v>-0.54</v>
      </c>
      <c r="E91" s="9"/>
      <c r="F91" s="9" t="n">
        <v>0.1</v>
      </c>
      <c r="G91" s="9" t="n">
        <v>0.94</v>
      </c>
      <c r="H91" s="9"/>
      <c r="I91" s="9" t="n">
        <v>0.47</v>
      </c>
      <c r="J91" s="9" t="n">
        <v>-0.47</v>
      </c>
      <c r="K91" s="9"/>
      <c r="L91" s="9" t="n">
        <v>-0.86</v>
      </c>
      <c r="M91" s="9" t="n">
        <v>-0.19</v>
      </c>
      <c r="N91" s="9" t="n">
        <v>0.22</v>
      </c>
      <c r="O91" s="9"/>
      <c r="P91" s="9" t="n">
        <v>-0.36</v>
      </c>
      <c r="Q91" s="58" t="n">
        <f aca="false">TRIMMEAN(B91:P91,2/COUNT(B91:P91))</f>
        <v>-0.117777777777778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-0.5</v>
      </c>
      <c r="E92" s="9"/>
      <c r="F92" s="9"/>
      <c r="G92" s="9"/>
      <c r="H92" s="9" t="n">
        <v>-2.79</v>
      </c>
      <c r="I92" s="9" t="n">
        <v>-1.59</v>
      </c>
      <c r="J92" s="9"/>
      <c r="K92" s="9"/>
      <c r="L92" s="9" t="n">
        <v>-0.15</v>
      </c>
      <c r="M92" s="9" t="n">
        <v>0.28</v>
      </c>
      <c r="N92" s="9"/>
      <c r="O92" s="9"/>
      <c r="P92" s="9"/>
      <c r="Q92" s="58" t="n">
        <f aca="false">TRIMMEAN(B92:P92,2/COUNT(B92:P92))</f>
        <v>-0.746666666666667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0.26</v>
      </c>
      <c r="D94" s="9" t="n">
        <v>0.11</v>
      </c>
      <c r="E94" s="9"/>
      <c r="F94" s="9"/>
      <c r="G94" s="9" t="n">
        <v>0.59</v>
      </c>
      <c r="H94" s="9"/>
      <c r="I94" s="9" t="n">
        <v>-0.24</v>
      </c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0.185</v>
      </c>
    </row>
    <row r="95" customFormat="false" ht="15.75" hidden="false" customHeight="true" outlineLevel="0" collapsed="false">
      <c r="A95" s="59" t="s">
        <v>239</v>
      </c>
      <c r="B95" s="9" t="n">
        <v>0.03</v>
      </c>
      <c r="C95" s="9"/>
      <c r="D95" s="9" t="n">
        <v>0.59</v>
      </c>
      <c r="E95" s="9"/>
      <c r="F95" s="9" t="n">
        <v>0.78</v>
      </c>
      <c r="G95" s="9" t="n">
        <v>0.85</v>
      </c>
      <c r="H95" s="9"/>
      <c r="I95" s="9" t="n">
        <v>0.04</v>
      </c>
      <c r="J95" s="9" t="n">
        <v>1.04</v>
      </c>
      <c r="K95" s="9"/>
      <c r="L95" s="9"/>
      <c r="M95" s="9" t="n">
        <v>-0.28</v>
      </c>
      <c r="N95" s="9"/>
      <c r="O95" s="9" t="n">
        <v>0.1</v>
      </c>
      <c r="P95" s="9"/>
      <c r="Q95" s="58" t="n">
        <f aca="false">TRIMMEAN(B95:P95,2/COUNT(B95:P95))</f>
        <v>0.398333333333333</v>
      </c>
    </row>
    <row r="96" customFormat="false" ht="15.75" hidden="false" customHeight="true" outlineLevel="0" collapsed="false">
      <c r="A96" s="57" t="s">
        <v>240</v>
      </c>
      <c r="B96" s="9" t="n">
        <v>0.37</v>
      </c>
      <c r="C96" s="9" t="n">
        <v>-0.05</v>
      </c>
      <c r="D96" s="9"/>
      <c r="E96" s="9" t="n">
        <v>0.15</v>
      </c>
      <c r="F96" s="9" t="n">
        <v>-0.44</v>
      </c>
      <c r="G96" s="9" t="n">
        <v>0.37</v>
      </c>
      <c r="H96" s="9"/>
      <c r="I96" s="9" t="n">
        <v>0.71</v>
      </c>
      <c r="J96" s="9" t="n">
        <v>0.29</v>
      </c>
      <c r="K96" s="9" t="n">
        <v>0.34</v>
      </c>
      <c r="L96" s="9" t="n">
        <v>0.77</v>
      </c>
      <c r="M96" s="9"/>
      <c r="N96" s="9"/>
      <c r="O96" s="9"/>
      <c r="P96" s="9"/>
      <c r="Q96" s="58" t="n">
        <f aca="false">TRIMMEAN(B96:P96,2/COUNT(B96:P96))</f>
        <v>0.311428571428571</v>
      </c>
    </row>
    <row r="97" customFormat="false" ht="15.75" hidden="false" customHeight="true" outlineLevel="0" collapsed="false">
      <c r="A97" s="59" t="s">
        <v>241</v>
      </c>
      <c r="B97" s="9"/>
      <c r="C97" s="9" t="n">
        <v>0.49</v>
      </c>
      <c r="D97" s="9" t="n">
        <v>-0.32</v>
      </c>
      <c r="E97" s="9" t="n">
        <v>0.43</v>
      </c>
      <c r="F97" s="9" t="n">
        <v>-0.34</v>
      </c>
      <c r="G97" s="9"/>
      <c r="H97" s="9" t="n">
        <v>1.31</v>
      </c>
      <c r="I97" s="9"/>
      <c r="J97" s="9"/>
      <c r="K97" s="9" t="n">
        <v>-0.39</v>
      </c>
      <c r="L97" s="9"/>
      <c r="M97" s="9" t="n">
        <v>0.13</v>
      </c>
      <c r="N97" s="9" t="n">
        <v>-0.44</v>
      </c>
      <c r="O97" s="9" t="n">
        <v>0.51</v>
      </c>
      <c r="P97" s="9"/>
      <c r="Q97" s="58" t="n">
        <f aca="false">TRIMMEAN(B97:P97,2/COUNT(B97:P97))</f>
        <v>0.0728571428571429</v>
      </c>
    </row>
    <row r="98" customFormat="false" ht="15.75" hidden="false" customHeight="true" outlineLevel="0" collapsed="false">
      <c r="A98" s="59" t="s">
        <v>242</v>
      </c>
      <c r="B98" s="9"/>
      <c r="C98" s="9" t="n">
        <v>-0.12</v>
      </c>
      <c r="D98" s="9"/>
      <c r="E98" s="9" t="n">
        <v>-0.05</v>
      </c>
      <c r="F98" s="9"/>
      <c r="G98" s="9"/>
      <c r="H98" s="9"/>
      <c r="I98" s="9" t="n">
        <v>0.14</v>
      </c>
      <c r="J98" s="9"/>
      <c r="K98" s="9" t="n">
        <v>0.2</v>
      </c>
      <c r="L98" s="9" t="n">
        <v>0.63</v>
      </c>
      <c r="M98" s="9" t="n">
        <v>-0.03</v>
      </c>
      <c r="N98" s="9" t="n">
        <v>0.06</v>
      </c>
      <c r="O98" s="9"/>
      <c r="P98" s="9"/>
      <c r="Q98" s="58" t="n">
        <f aca="false">TRIMMEAN(B98:P98,2/COUNT(B98:P98))</f>
        <v>0.064</v>
      </c>
    </row>
    <row r="99" customFormat="false" ht="15.75" hidden="false" customHeight="true" outlineLevel="0" collapsed="false">
      <c r="A99" s="57" t="s">
        <v>243</v>
      </c>
      <c r="B99" s="9"/>
      <c r="C99" s="9" t="n">
        <v>-0.22</v>
      </c>
      <c r="D99" s="9" t="n">
        <v>-0.76</v>
      </c>
      <c r="E99" s="9" t="n">
        <v>-1.24</v>
      </c>
      <c r="F99" s="9" t="n">
        <v>-0.06</v>
      </c>
      <c r="G99" s="9"/>
      <c r="H99" s="9" t="n">
        <v>-0.34</v>
      </c>
      <c r="I99" s="9"/>
      <c r="J99" s="9"/>
      <c r="K99" s="9" t="n">
        <v>-0.83</v>
      </c>
      <c r="L99" s="9" t="n">
        <v>0.33</v>
      </c>
      <c r="M99" s="9" t="n">
        <v>0.22</v>
      </c>
      <c r="N99" s="9" t="n">
        <v>0.31</v>
      </c>
      <c r="O99" s="9" t="n">
        <v>-0.14</v>
      </c>
      <c r="P99" s="9" t="n">
        <v>-0.29</v>
      </c>
      <c r="Q99" s="58" t="n">
        <f aca="false">TRIMMEAN(B99:P99,2/COUNT(B99:P99))</f>
        <v>-0.234444444444444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 t="n">
        <v>-0.84</v>
      </c>
      <c r="F100" s="9" t="n">
        <v>0.11</v>
      </c>
      <c r="G100" s="9" t="n">
        <v>0.55</v>
      </c>
      <c r="H100" s="9"/>
      <c r="I100" s="9"/>
      <c r="J100" s="9" t="n">
        <v>-0.44</v>
      </c>
      <c r="K100" s="9" t="n">
        <v>0.4</v>
      </c>
      <c r="L100" s="9" t="n">
        <v>-0.56</v>
      </c>
      <c r="M100" s="9"/>
      <c r="N100" s="9"/>
      <c r="O100" s="9"/>
      <c r="P100" s="9"/>
      <c r="Q100" s="58" t="n">
        <f aca="false">TRIMMEAN(B100:P100,2/COUNT(B100:P100))</f>
        <v>-0.1225</v>
      </c>
    </row>
    <row r="101" customFormat="false" ht="15.75" hidden="false" customHeight="true" outlineLevel="0" collapsed="false">
      <c r="A101" s="57" t="s">
        <v>245</v>
      </c>
      <c r="B101" s="9" t="n">
        <v>1.03</v>
      </c>
      <c r="C101" s="9"/>
      <c r="D101" s="9" t="n">
        <v>0.11</v>
      </c>
      <c r="E101" s="9" t="n">
        <v>-1.83</v>
      </c>
      <c r="F101" s="9" t="n">
        <v>0.84</v>
      </c>
      <c r="G101" s="9" t="n">
        <v>0.59</v>
      </c>
      <c r="H101" s="9"/>
      <c r="I101" s="9"/>
      <c r="J101" s="9" t="n">
        <v>0.87</v>
      </c>
      <c r="K101" s="9" t="n">
        <v>0.99</v>
      </c>
      <c r="L101" s="9" t="n">
        <v>0.19</v>
      </c>
      <c r="M101" s="9" t="n">
        <v>1.08</v>
      </c>
      <c r="N101" s="9"/>
      <c r="O101" s="9"/>
      <c r="P101" s="9"/>
      <c r="Q101" s="58" t="n">
        <f aca="false">TRIMMEAN(B101:P101,2/COUNT(B101:P101))</f>
        <v>0.66</v>
      </c>
    </row>
    <row r="102" customFormat="false" ht="15.75" hidden="false" customHeight="true" outlineLevel="0" collapsed="false">
      <c r="A102" s="59" t="s">
        <v>246</v>
      </c>
      <c r="B102" s="9"/>
      <c r="C102" s="9" t="n">
        <v>-0.49</v>
      </c>
      <c r="D102" s="9"/>
      <c r="E102" s="9" t="n">
        <v>0.27</v>
      </c>
      <c r="F102" s="9" t="n">
        <v>-0.26</v>
      </c>
      <c r="G102" s="9"/>
      <c r="H102" s="9" t="n">
        <v>-0.54</v>
      </c>
      <c r="I102" s="9"/>
      <c r="J102" s="9"/>
      <c r="K102" s="9" t="n">
        <v>0.09</v>
      </c>
      <c r="L102" s="9" t="n">
        <v>-0.52</v>
      </c>
      <c r="M102" s="9" t="n">
        <v>-0.91</v>
      </c>
      <c r="N102" s="9" t="n">
        <v>-0.31</v>
      </c>
      <c r="O102" s="9" t="n">
        <v>0.51</v>
      </c>
      <c r="P102" s="9" t="n">
        <v>0.18</v>
      </c>
      <c r="Q102" s="58" t="n">
        <f aca="false">TRIMMEAN(B102:P102,2/COUNT(B102:P102))</f>
        <v>-0.1975</v>
      </c>
    </row>
    <row r="103" customFormat="false" ht="15.75" hidden="false" customHeight="true" outlineLevel="0" collapsed="false">
      <c r="A103" s="59" t="s">
        <v>247</v>
      </c>
      <c r="B103" s="9" t="n">
        <v>-0.71</v>
      </c>
      <c r="C103" s="9" t="n">
        <v>0.37</v>
      </c>
      <c r="D103" s="9" t="n">
        <v>0.87</v>
      </c>
      <c r="E103" s="9" t="n">
        <v>0.95</v>
      </c>
      <c r="F103" s="9" t="n">
        <v>0.49</v>
      </c>
      <c r="G103" s="9" t="n">
        <v>0.42</v>
      </c>
      <c r="H103" s="9"/>
      <c r="I103" s="9" t="n">
        <v>0.07</v>
      </c>
      <c r="J103" s="9" t="n">
        <v>0.45</v>
      </c>
      <c r="K103" s="9" t="n">
        <v>0.27</v>
      </c>
      <c r="L103" s="9"/>
      <c r="M103" s="9" t="n">
        <v>0.7</v>
      </c>
      <c r="N103" s="9"/>
      <c r="O103" s="9" t="n">
        <v>0.5</v>
      </c>
      <c r="P103" s="9" t="n">
        <v>-0.7</v>
      </c>
      <c r="Q103" s="58" t="n">
        <f aca="false">TRIMMEAN(B103:P103,2/COUNT(B103:P103))</f>
        <v>0.344</v>
      </c>
    </row>
    <row r="104" customFormat="false" ht="15.75" hidden="false" customHeight="true" outlineLevel="0" collapsed="false">
      <c r="A104" s="59" t="s">
        <v>248</v>
      </c>
      <c r="B104" s="9"/>
      <c r="C104" s="9" t="n">
        <v>0.4</v>
      </c>
      <c r="D104" s="9"/>
      <c r="E104" s="9" t="n">
        <v>-0.75</v>
      </c>
      <c r="F104" s="9" t="n">
        <v>-0.03</v>
      </c>
      <c r="G104" s="9"/>
      <c r="H104" s="9" t="n">
        <v>-0.38</v>
      </c>
      <c r="I104" s="9"/>
      <c r="J104" s="9"/>
      <c r="K104" s="9" t="n">
        <v>0.47</v>
      </c>
      <c r="L104" s="9" t="n">
        <v>1.32</v>
      </c>
      <c r="M104" s="9"/>
      <c r="N104" s="9" t="n">
        <v>0.49</v>
      </c>
      <c r="O104" s="9" t="n">
        <v>0.09</v>
      </c>
      <c r="P104" s="9" t="n">
        <v>0.22</v>
      </c>
      <c r="Q104" s="58" t="n">
        <f aca="false">TRIMMEAN(B104:P104,2/COUNT(B104:P104))</f>
        <v>0.18</v>
      </c>
    </row>
    <row r="105" customFormat="false" ht="15.75" hidden="false" customHeight="true" outlineLevel="0" collapsed="false">
      <c r="A105" s="59" t="s">
        <v>249</v>
      </c>
      <c r="B105" s="9"/>
      <c r="C105" s="9" t="n">
        <v>0.36</v>
      </c>
      <c r="D105" s="9" t="n">
        <v>0.74</v>
      </c>
      <c r="E105" s="9" t="n">
        <v>0.83</v>
      </c>
      <c r="F105" s="9" t="n">
        <v>1.21</v>
      </c>
      <c r="G105" s="9"/>
      <c r="H105" s="9" t="n">
        <v>-0.44</v>
      </c>
      <c r="I105" s="9"/>
      <c r="J105" s="9"/>
      <c r="K105" s="9" t="n">
        <v>0.27</v>
      </c>
      <c r="L105" s="9" t="n">
        <v>0.1</v>
      </c>
      <c r="M105" s="9" t="n">
        <v>0.78</v>
      </c>
      <c r="N105" s="9" t="n">
        <v>-0.06</v>
      </c>
      <c r="O105" s="9" t="n">
        <v>0.17</v>
      </c>
      <c r="P105" s="9" t="n">
        <v>0.75</v>
      </c>
      <c r="Q105" s="58" t="n">
        <f aca="false">TRIMMEAN(B105:P105,2/COUNT(B105:P105))</f>
        <v>0.437777777777778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 t="n">
        <v>-0.46</v>
      </c>
      <c r="F106" s="9" t="n">
        <v>0.36</v>
      </c>
      <c r="G106" s="9"/>
      <c r="H106" s="9" t="n">
        <v>-1.27</v>
      </c>
      <c r="I106" s="9"/>
      <c r="J106" s="9"/>
      <c r="K106" s="9"/>
      <c r="L106" s="9" t="n">
        <v>0.84</v>
      </c>
      <c r="M106" s="9" t="n">
        <v>0.1</v>
      </c>
      <c r="N106" s="9" t="n">
        <v>-0.02</v>
      </c>
      <c r="O106" s="9"/>
      <c r="P106" s="9"/>
      <c r="Q106" s="58" t="n">
        <f aca="false">TRIMMEAN(B106:P106,2/COUNT(B106:P106))</f>
        <v>-0.00500000000000001</v>
      </c>
    </row>
    <row r="107" customFormat="false" ht="15.75" hidden="false" customHeight="true" outlineLevel="0" collapsed="false">
      <c r="A107" s="59" t="s">
        <v>251</v>
      </c>
      <c r="B107" s="9" t="n">
        <v>-0.37</v>
      </c>
      <c r="C107" s="9" t="n">
        <v>-1.97</v>
      </c>
      <c r="D107" s="9" t="n">
        <v>-0.2</v>
      </c>
      <c r="E107" s="9" t="n">
        <v>-0.06</v>
      </c>
      <c r="F107" s="9" t="n">
        <v>0.13</v>
      </c>
      <c r="G107" s="9" t="n">
        <v>0.18</v>
      </c>
      <c r="H107" s="9" t="n">
        <v>-0.34</v>
      </c>
      <c r="I107" s="9"/>
      <c r="J107" s="9" t="n">
        <v>-1.13</v>
      </c>
      <c r="K107" s="9" t="n">
        <v>-0.73</v>
      </c>
      <c r="L107" s="9" t="n">
        <v>0.16</v>
      </c>
      <c r="M107" s="9"/>
      <c r="N107" s="9" t="n">
        <v>0.26</v>
      </c>
      <c r="O107" s="9" t="n">
        <v>0.14</v>
      </c>
      <c r="P107" s="9" t="n">
        <v>-0.64</v>
      </c>
      <c r="Q107" s="58" t="n">
        <f aca="false">TRIMMEAN(B107:P107,2/COUNT(B107:P107))</f>
        <v>-0.26</v>
      </c>
    </row>
    <row r="108" customFormat="false" ht="15.75" hidden="false" customHeight="true" outlineLevel="0" collapsed="false">
      <c r="A108" s="57" t="s">
        <v>252</v>
      </c>
      <c r="B108" s="9" t="n">
        <v>1.12</v>
      </c>
      <c r="C108" s="9" t="n">
        <v>0.9</v>
      </c>
      <c r="D108" s="9" t="n">
        <v>0.56</v>
      </c>
      <c r="E108" s="9"/>
      <c r="F108" s="9"/>
      <c r="G108" s="9" t="n">
        <v>-1.67</v>
      </c>
      <c r="H108" s="9" t="n">
        <v>-1.11</v>
      </c>
      <c r="I108" s="9" t="n">
        <v>-0.27</v>
      </c>
      <c r="J108" s="9" t="n">
        <v>0.27</v>
      </c>
      <c r="K108" s="9"/>
      <c r="L108" s="9" t="n">
        <v>0.41</v>
      </c>
      <c r="M108" s="9" t="n">
        <v>0.62</v>
      </c>
      <c r="N108" s="9"/>
      <c r="O108" s="9" t="n">
        <v>0.4</v>
      </c>
      <c r="P108" s="9"/>
      <c r="Q108" s="58" t="n">
        <f aca="false">TRIMMEAN(B108:P108,2/COUNT(B108:P108))</f>
        <v>0.2225</v>
      </c>
    </row>
    <row r="109" customFormat="false" ht="15.75" hidden="false" customHeight="true" outlineLevel="0" collapsed="false">
      <c r="A109" s="57" t="s">
        <v>253</v>
      </c>
      <c r="B109" s="9"/>
      <c r="C109" s="9" t="n">
        <v>-0.05</v>
      </c>
      <c r="D109" s="9" t="n">
        <v>0.84</v>
      </c>
      <c r="E109" s="9" t="n">
        <v>0.81</v>
      </c>
      <c r="F109" s="9" t="n">
        <v>-0.52</v>
      </c>
      <c r="G109" s="9"/>
      <c r="H109" s="9"/>
      <c r="I109" s="9"/>
      <c r="J109" s="9"/>
      <c r="K109" s="9"/>
      <c r="L109" s="9" t="n">
        <v>0.23</v>
      </c>
      <c r="M109" s="9" t="n">
        <v>-1.12</v>
      </c>
      <c r="N109" s="9" t="n">
        <v>0.42</v>
      </c>
      <c r="O109" s="9" t="n">
        <v>0.65</v>
      </c>
      <c r="P109" s="9" t="n">
        <v>-0.24</v>
      </c>
      <c r="Q109" s="58" t="n">
        <f aca="false">TRIMMEAN(B109:P109,2/COUNT(B109:P109))</f>
        <v>0.185714285714286</v>
      </c>
    </row>
    <row r="110" customFormat="false" ht="15.75" hidden="false" customHeight="true" outlineLevel="0" collapsed="false">
      <c r="A110" s="59" t="s">
        <v>254</v>
      </c>
      <c r="B110" s="9" t="n">
        <v>0.89</v>
      </c>
      <c r="C110" s="9" t="n">
        <v>-0.28</v>
      </c>
      <c r="D110" s="9" t="n">
        <v>0.21</v>
      </c>
      <c r="E110" s="9"/>
      <c r="F110" s="9" t="n">
        <v>0.43</v>
      </c>
      <c r="G110" s="9"/>
      <c r="H110" s="9" t="n">
        <v>0.07</v>
      </c>
      <c r="I110" s="9"/>
      <c r="J110" s="9"/>
      <c r="K110" s="9" t="n">
        <v>0.3</v>
      </c>
      <c r="L110" s="9" t="n">
        <v>0.03</v>
      </c>
      <c r="M110" s="9" t="n">
        <v>0.38</v>
      </c>
      <c r="N110" s="9" t="n">
        <v>-0.16</v>
      </c>
      <c r="O110" s="9"/>
      <c r="P110" s="9"/>
      <c r="Q110" s="58" t="n">
        <f aca="false">TRIMMEAN(B110:P110,2/COUNT(B110:P110))</f>
        <v>0.18</v>
      </c>
    </row>
    <row r="111" customFormat="false" ht="15.75" hidden="false" customHeight="true" outlineLevel="0" collapsed="false">
      <c r="A111" s="57" t="s">
        <v>255</v>
      </c>
      <c r="B111" s="9"/>
      <c r="C111" s="9" t="n">
        <v>-0.53</v>
      </c>
      <c r="D111" s="9" t="n">
        <v>-0.18</v>
      </c>
      <c r="E111" s="9" t="n">
        <v>0.16</v>
      </c>
      <c r="F111" s="9" t="n">
        <v>0.34</v>
      </c>
      <c r="G111" s="9" t="n">
        <v>-0.36</v>
      </c>
      <c r="H111" s="9" t="n">
        <v>-0.75</v>
      </c>
      <c r="I111" s="9" t="n">
        <v>0.05</v>
      </c>
      <c r="J111" s="9"/>
      <c r="K111" s="9"/>
      <c r="L111" s="9" t="n">
        <v>0.04</v>
      </c>
      <c r="M111" s="9" t="n">
        <v>-0.7</v>
      </c>
      <c r="N111" s="9" t="n">
        <v>0.85</v>
      </c>
      <c r="O111" s="9" t="n">
        <v>-0.08</v>
      </c>
      <c r="P111" s="9" t="n">
        <v>1.11</v>
      </c>
      <c r="Q111" s="58" t="n">
        <f aca="false">TRIMMEAN(B111:P111,2/COUNT(B111:P111))</f>
        <v>-0.041</v>
      </c>
    </row>
    <row r="112" customFormat="false" ht="15.75" hidden="false" customHeight="true" outlineLevel="0" collapsed="false">
      <c r="A112" s="57" t="s">
        <v>256</v>
      </c>
      <c r="B112" s="9" t="n">
        <v>-0.18</v>
      </c>
      <c r="C112" s="9" t="n">
        <v>-0.91</v>
      </c>
      <c r="D112" s="9"/>
      <c r="E112" s="9" t="n">
        <v>-0.9</v>
      </c>
      <c r="F112" s="9" t="n">
        <v>-0.54</v>
      </c>
      <c r="G112" s="9" t="n">
        <v>0.14</v>
      </c>
      <c r="H112" s="9"/>
      <c r="I112" s="9"/>
      <c r="J112" s="9" t="n">
        <v>-0.38</v>
      </c>
      <c r="K112" s="9" t="n">
        <v>-0.91</v>
      </c>
      <c r="L112" s="9" t="n">
        <v>-0.9</v>
      </c>
      <c r="M112" s="9" t="n">
        <v>0.65</v>
      </c>
      <c r="N112" s="9"/>
      <c r="O112" s="9"/>
      <c r="P112" s="9"/>
      <c r="Q112" s="58" t="n">
        <f aca="false">TRIMMEAN(B112:P112,2/COUNT(B112:P112))</f>
        <v>-0.524285714285714</v>
      </c>
    </row>
    <row r="113" customFormat="false" ht="15.75" hidden="false" customHeight="true" outlineLevel="0" collapsed="false">
      <c r="A113" s="59" t="s">
        <v>257</v>
      </c>
      <c r="B113" s="9"/>
      <c r="C113" s="9" t="n">
        <v>0.66</v>
      </c>
      <c r="D113" s="9"/>
      <c r="E113" s="9" t="n">
        <v>-0.2</v>
      </c>
      <c r="F113" s="9" t="n">
        <v>0.56</v>
      </c>
      <c r="G113" s="9"/>
      <c r="H113" s="9" t="n">
        <v>-0.49</v>
      </c>
      <c r="I113" s="9"/>
      <c r="J113" s="9"/>
      <c r="K113" s="9" t="n">
        <v>0.56</v>
      </c>
      <c r="L113" s="9" t="n">
        <v>0.32</v>
      </c>
      <c r="M113" s="9" t="n">
        <v>-0.02</v>
      </c>
      <c r="N113" s="9" t="n">
        <v>0.35</v>
      </c>
      <c r="O113" s="9" t="n">
        <v>0.54</v>
      </c>
      <c r="P113" s="9" t="n">
        <v>0.62</v>
      </c>
      <c r="Q113" s="58" t="n">
        <f aca="false">TRIMMEAN(B113:P113,2/COUNT(B113:P113))</f>
        <v>0.34125</v>
      </c>
    </row>
    <row r="114" customFormat="false" ht="15.75" hidden="false" customHeight="true" outlineLevel="0" collapsed="false">
      <c r="A114" s="57" t="s">
        <v>258</v>
      </c>
      <c r="B114" s="9" t="n">
        <v>0.32</v>
      </c>
      <c r="C114" s="9" t="n">
        <v>-0.12</v>
      </c>
      <c r="D114" s="9" t="n">
        <v>0.4</v>
      </c>
      <c r="E114" s="9"/>
      <c r="F114" s="9"/>
      <c r="G114" s="9"/>
      <c r="H114" s="9" t="n">
        <v>0.23</v>
      </c>
      <c r="I114" s="9" t="n">
        <v>-0.69</v>
      </c>
      <c r="J114" s="9" t="n">
        <v>1.22</v>
      </c>
      <c r="K114" s="9"/>
      <c r="L114" s="9" t="n">
        <v>0.88</v>
      </c>
      <c r="M114" s="9" t="n">
        <v>-0.8</v>
      </c>
      <c r="N114" s="9"/>
      <c r="O114" s="9"/>
      <c r="P114" s="9"/>
      <c r="Q114" s="58" t="n">
        <f aca="false">TRIMMEAN(B114:P114,2/COUNT(B114:P114))</f>
        <v>0.17</v>
      </c>
    </row>
    <row r="115" customFormat="false" ht="15.75" hidden="false" customHeight="true" outlineLevel="0" collapsed="false">
      <c r="A115" s="57" t="s">
        <v>259</v>
      </c>
      <c r="B115" s="9"/>
      <c r="C115" s="9" t="n">
        <v>-0.03</v>
      </c>
      <c r="D115" s="9"/>
      <c r="E115" s="9" t="n">
        <v>-0.23</v>
      </c>
      <c r="F115" s="9" t="n">
        <v>-0.01</v>
      </c>
      <c r="G115" s="9" t="n">
        <v>-0.53</v>
      </c>
      <c r="H115" s="9"/>
      <c r="I115" s="9"/>
      <c r="J115" s="9" t="n">
        <v>-0.19</v>
      </c>
      <c r="K115" s="9" t="n">
        <v>0.29</v>
      </c>
      <c r="L115" s="9" t="n">
        <v>0.36</v>
      </c>
      <c r="M115" s="9"/>
      <c r="N115" s="9" t="n">
        <v>0.4</v>
      </c>
      <c r="O115" s="9" t="n">
        <v>-0.06</v>
      </c>
      <c r="P115" s="9" t="n">
        <v>0.03</v>
      </c>
      <c r="Q115" s="58" t="n">
        <f aca="false">TRIMMEAN(B115:P115,2/COUNT(B115:P115))</f>
        <v>0.02</v>
      </c>
    </row>
    <row r="116" customFormat="false" ht="15.75" hidden="false" customHeight="true" outlineLevel="0" collapsed="false">
      <c r="A116" s="59" t="s">
        <v>260</v>
      </c>
      <c r="B116" s="9"/>
      <c r="C116" s="9" t="n">
        <v>-0.88</v>
      </c>
      <c r="D116" s="9"/>
      <c r="E116" s="9" t="n">
        <v>-1.36</v>
      </c>
      <c r="F116" s="9" t="n">
        <v>0.06</v>
      </c>
      <c r="G116" s="9"/>
      <c r="H116" s="9" t="n">
        <v>-0.01</v>
      </c>
      <c r="I116" s="9"/>
      <c r="J116" s="9"/>
      <c r="K116" s="9" t="n">
        <v>-0.38</v>
      </c>
      <c r="L116" s="9" t="n">
        <v>0.74</v>
      </c>
      <c r="M116" s="9" t="n">
        <v>0.55</v>
      </c>
      <c r="N116" s="9" t="n">
        <v>-0.11</v>
      </c>
      <c r="O116" s="9" t="n">
        <v>-0.35</v>
      </c>
      <c r="P116" s="9" t="n">
        <v>0.23</v>
      </c>
      <c r="Q116" s="58" t="n">
        <f aca="false">TRIMMEAN(B116:P116,2/COUNT(B116:P116))</f>
        <v>-0.11125</v>
      </c>
    </row>
    <row r="117" customFormat="false" ht="15.75" hidden="false" customHeight="true" outlineLevel="0" collapsed="false">
      <c r="A117" s="57" t="s">
        <v>261</v>
      </c>
      <c r="B117" s="9" t="n">
        <v>0.17</v>
      </c>
      <c r="C117" s="9" t="n">
        <v>0.95</v>
      </c>
      <c r="D117" s="9" t="n">
        <v>0.32</v>
      </c>
      <c r="E117" s="9" t="n">
        <v>0.11</v>
      </c>
      <c r="F117" s="9" t="n">
        <v>-0.2</v>
      </c>
      <c r="G117" s="9" t="n">
        <v>0.57</v>
      </c>
      <c r="H117" s="9"/>
      <c r="I117" s="9" t="n">
        <v>0.54</v>
      </c>
      <c r="J117" s="9" t="n">
        <v>0.64</v>
      </c>
      <c r="K117" s="9" t="n">
        <v>-0.04</v>
      </c>
      <c r="L117" s="9" t="n">
        <v>-0.14</v>
      </c>
      <c r="M117" s="9" t="n">
        <v>0.64</v>
      </c>
      <c r="N117" s="9" t="n">
        <v>1.25</v>
      </c>
      <c r="O117" s="9" t="n">
        <v>0.02</v>
      </c>
      <c r="P117" s="9" t="n">
        <v>0.4</v>
      </c>
      <c r="Q117" s="58" t="n">
        <f aca="false">TRIMMEAN(B117:P117,2/COUNT(B117:P117))</f>
        <v>0.348333333333333</v>
      </c>
    </row>
    <row r="118" customFormat="false" ht="15.75" hidden="false" customHeight="true" outlineLevel="0" collapsed="false">
      <c r="A118" s="59" t="s">
        <v>262</v>
      </c>
      <c r="B118" s="9"/>
      <c r="C118" s="9" t="n">
        <v>-0.13</v>
      </c>
      <c r="D118" s="9" t="n">
        <v>0.22</v>
      </c>
      <c r="E118" s="9" t="n">
        <v>-0.1</v>
      </c>
      <c r="F118" s="9" t="n">
        <v>0.55</v>
      </c>
      <c r="G118" s="9"/>
      <c r="H118" s="9" t="n">
        <v>-2.22</v>
      </c>
      <c r="I118" s="9"/>
      <c r="J118" s="9"/>
      <c r="K118" s="9" t="n">
        <v>-0.84</v>
      </c>
      <c r="L118" s="9" t="n">
        <v>0.47</v>
      </c>
      <c r="M118" s="9" t="n">
        <v>-0.64</v>
      </c>
      <c r="N118" s="9" t="n">
        <v>-1.83</v>
      </c>
      <c r="O118" s="9" t="n">
        <v>0.34</v>
      </c>
      <c r="P118" s="9" t="n">
        <v>-1.99</v>
      </c>
      <c r="Q118" s="58" t="n">
        <f aca="false">TRIMMEAN(B118:P118,2/COUNT(B118:P118))</f>
        <v>-0.5</v>
      </c>
    </row>
    <row r="119" customFormat="false" ht="15.75" hidden="false" customHeight="true" outlineLevel="0" collapsed="false">
      <c r="A119" s="57" t="s">
        <v>263</v>
      </c>
      <c r="B119" s="9" t="n">
        <v>-1.07</v>
      </c>
      <c r="C119" s="9" t="n">
        <v>-0.66</v>
      </c>
      <c r="D119" s="9"/>
      <c r="E119" s="9" t="n">
        <v>0.88</v>
      </c>
      <c r="F119" s="9" t="n">
        <v>-0.6</v>
      </c>
      <c r="G119" s="9" t="n">
        <v>-0.45</v>
      </c>
      <c r="H119" s="9"/>
      <c r="I119" s="9"/>
      <c r="J119" s="9" t="n">
        <v>-0.12</v>
      </c>
      <c r="K119" s="9" t="n">
        <v>-0.53</v>
      </c>
      <c r="L119" s="9" t="n">
        <v>-0.36</v>
      </c>
      <c r="M119" s="9" t="n">
        <v>-0.6</v>
      </c>
      <c r="N119" s="9"/>
      <c r="O119" s="9"/>
      <c r="P119" s="9"/>
      <c r="Q119" s="58" t="n">
        <f aca="false">TRIMMEAN(B119:P119,2/COUNT(B119:P119))</f>
        <v>-0.474285714285714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 t="n">
        <v>0.04</v>
      </c>
      <c r="I120" s="9" t="n">
        <v>0.13</v>
      </c>
      <c r="J120" s="9" t="n">
        <v>0.49</v>
      </c>
      <c r="K120" s="9"/>
      <c r="L120" s="9" t="n">
        <v>0.5</v>
      </c>
      <c r="M120" s="9" t="n">
        <v>0.1</v>
      </c>
      <c r="N120" s="9" t="n">
        <v>0.51</v>
      </c>
      <c r="O120" s="9" t="n">
        <v>0.23</v>
      </c>
      <c r="P120" s="9" t="n">
        <v>0.82</v>
      </c>
      <c r="Q120" s="58" t="n">
        <f aca="false">TRIMMEAN(B120:P120,2/COUNT(B120:P120))</f>
        <v>0.326666666666667</v>
      </c>
    </row>
    <row r="121" customFormat="false" ht="15.75" hidden="false" customHeight="true" outlineLevel="0" collapsed="false">
      <c r="A121" s="57" t="s">
        <v>265</v>
      </c>
      <c r="B121" s="9"/>
      <c r="C121" s="9" t="n">
        <v>-0.32</v>
      </c>
      <c r="D121" s="9" t="n">
        <v>0.03</v>
      </c>
      <c r="E121" s="9" t="n">
        <v>0.69</v>
      </c>
      <c r="F121" s="9" t="n">
        <v>-0.06</v>
      </c>
      <c r="G121" s="9" t="n">
        <v>0</v>
      </c>
      <c r="H121" s="9"/>
      <c r="I121" s="9"/>
      <c r="J121" s="9" t="n">
        <v>-0.03</v>
      </c>
      <c r="K121" s="9" t="n">
        <v>-0.11</v>
      </c>
      <c r="L121" s="9" t="n">
        <v>0.31</v>
      </c>
      <c r="M121" s="9" t="n">
        <v>0.55</v>
      </c>
      <c r="N121" s="9" t="n">
        <v>0.02</v>
      </c>
      <c r="O121" s="9"/>
      <c r="P121" s="9"/>
      <c r="Q121" s="58" t="n">
        <f aca="false">TRIMMEAN(B121:P121,2/COUNT(B121:P121))</f>
        <v>0.08875</v>
      </c>
    </row>
    <row r="122" customFormat="false" ht="15.75" hidden="false" customHeight="true" outlineLevel="0" collapsed="false">
      <c r="A122" s="59" t="s">
        <v>266</v>
      </c>
      <c r="B122" s="9"/>
      <c r="C122" s="9" t="n">
        <v>0.3</v>
      </c>
      <c r="D122" s="9" t="n">
        <v>0.48</v>
      </c>
      <c r="E122" s="9"/>
      <c r="F122" s="9" t="n">
        <v>0.43</v>
      </c>
      <c r="G122" s="9" t="n">
        <v>0.24</v>
      </c>
      <c r="H122" s="9"/>
      <c r="I122" s="9" t="n">
        <v>0.49</v>
      </c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0.403333333333333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 t="n">
        <v>-0.06</v>
      </c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-1.89</v>
      </c>
      <c r="C124" s="9" t="n">
        <v>-0.24</v>
      </c>
      <c r="D124" s="9"/>
      <c r="E124" s="9" t="n">
        <v>-0.47</v>
      </c>
      <c r="F124" s="9" t="n">
        <v>0.11</v>
      </c>
      <c r="G124" s="9" t="n">
        <v>-1.65</v>
      </c>
      <c r="H124" s="9"/>
      <c r="I124" s="9"/>
      <c r="J124" s="9" t="n">
        <v>0.14</v>
      </c>
      <c r="K124" s="9" t="n">
        <v>-2.27</v>
      </c>
      <c r="L124" s="9" t="n">
        <v>0.77</v>
      </c>
      <c r="M124" s="9" t="n">
        <v>-0.36</v>
      </c>
      <c r="N124" s="9"/>
      <c r="O124" s="9"/>
      <c r="P124" s="9"/>
      <c r="Q124" s="58" t="n">
        <f aca="false">TRIMMEAN(B124:P124,2/COUNT(B124:P124))</f>
        <v>-0.622857142857143</v>
      </c>
    </row>
    <row r="125" customFormat="false" ht="15.75" hidden="false" customHeight="true" outlineLevel="0" collapsed="false">
      <c r="A125" s="59" t="s">
        <v>269</v>
      </c>
      <c r="B125" s="9"/>
      <c r="C125" s="9" t="n">
        <v>-0.15</v>
      </c>
      <c r="D125" s="9"/>
      <c r="E125" s="9" t="n">
        <v>-0.03</v>
      </c>
      <c r="F125" s="9" t="n">
        <v>-0.04</v>
      </c>
      <c r="G125" s="9"/>
      <c r="H125" s="9" t="n">
        <v>-0.58</v>
      </c>
      <c r="I125" s="9"/>
      <c r="J125" s="9"/>
      <c r="K125" s="9" t="n">
        <v>0.61</v>
      </c>
      <c r="L125" s="9" t="n">
        <v>-0.05</v>
      </c>
      <c r="M125" s="9" t="n">
        <v>0.26</v>
      </c>
      <c r="N125" s="9" t="n">
        <v>-1.37</v>
      </c>
      <c r="O125" s="9" t="n">
        <v>-0.45</v>
      </c>
      <c r="P125" s="9" t="n">
        <v>0.18</v>
      </c>
      <c r="Q125" s="58" t="n">
        <f aca="false">TRIMMEAN(B125:P125,2/COUNT(B125:P125))</f>
        <v>-0.1075</v>
      </c>
    </row>
    <row r="126" customFormat="false" ht="15.75" hidden="false" customHeight="true" outlineLevel="0" collapsed="false">
      <c r="A126" s="57" t="s">
        <v>270</v>
      </c>
      <c r="B126" s="9" t="n">
        <v>0.15</v>
      </c>
      <c r="C126" s="9" t="n">
        <v>0.13</v>
      </c>
      <c r="D126" s="9" t="n">
        <v>-0.57</v>
      </c>
      <c r="E126" s="9" t="n">
        <v>-0.18</v>
      </c>
      <c r="F126" s="9" t="n">
        <v>-0.17</v>
      </c>
      <c r="G126" s="9"/>
      <c r="H126" s="9"/>
      <c r="I126" s="9"/>
      <c r="J126" s="9" t="n">
        <v>-0.42</v>
      </c>
      <c r="K126" s="9" t="n">
        <v>0.13</v>
      </c>
      <c r="L126" s="9" t="n">
        <v>-1.76</v>
      </c>
      <c r="M126" s="9" t="n">
        <v>-0.6</v>
      </c>
      <c r="N126" s="9"/>
      <c r="O126" s="9"/>
      <c r="P126" s="9"/>
      <c r="Q126" s="58" t="n">
        <f aca="false">TRIMMEAN(B126:P126,2/COUNT(B126:P126))</f>
        <v>-0.24</v>
      </c>
    </row>
    <row r="127" customFormat="false" ht="15.75" hidden="false" customHeight="true" outlineLevel="0" collapsed="false">
      <c r="A127" s="59" t="s">
        <v>271</v>
      </c>
      <c r="B127" s="9"/>
      <c r="C127" s="9" t="n">
        <v>-0.74</v>
      </c>
      <c r="D127" s="9"/>
      <c r="E127" s="9" t="n">
        <v>0.57</v>
      </c>
      <c r="F127" s="9" t="n">
        <v>-0.32</v>
      </c>
      <c r="G127" s="9"/>
      <c r="H127" s="9" t="n">
        <v>-0.31</v>
      </c>
      <c r="I127" s="9"/>
      <c r="J127" s="9"/>
      <c r="K127" s="9" t="n">
        <v>-0.32</v>
      </c>
      <c r="L127" s="9" t="n">
        <v>0.28</v>
      </c>
      <c r="M127" s="9" t="n">
        <v>-0.15</v>
      </c>
      <c r="N127" s="9" t="n">
        <v>0.15</v>
      </c>
      <c r="O127" s="9" t="n">
        <v>0.9</v>
      </c>
      <c r="P127" s="9" t="n">
        <v>-0.8</v>
      </c>
      <c r="Q127" s="58" t="n">
        <f aca="false">TRIMMEAN(B127:P127,2/COUNT(B127:P127))</f>
        <v>-0.105</v>
      </c>
    </row>
    <row r="128" customFormat="false" ht="15.75" hidden="false" customHeight="true" outlineLevel="0" collapsed="false">
      <c r="A128" s="57" t="s">
        <v>272</v>
      </c>
      <c r="B128" s="9" t="n">
        <v>-0.05</v>
      </c>
      <c r="C128" s="9" t="n">
        <v>-0.56</v>
      </c>
      <c r="D128" s="9"/>
      <c r="E128" s="9" t="n">
        <v>-0.27</v>
      </c>
      <c r="F128" s="9" t="n">
        <v>-0.4</v>
      </c>
      <c r="G128" s="9" t="n">
        <v>0.34</v>
      </c>
      <c r="H128" s="9"/>
      <c r="I128" s="9"/>
      <c r="J128" s="9" t="n">
        <v>0.24</v>
      </c>
      <c r="K128" s="9" t="n">
        <v>-0.19</v>
      </c>
      <c r="L128" s="9" t="n">
        <v>-0.16</v>
      </c>
      <c r="M128" s="9" t="n">
        <v>0.42</v>
      </c>
      <c r="N128" s="9"/>
      <c r="O128" s="9"/>
      <c r="P128" s="9"/>
      <c r="Q128" s="58" t="n">
        <f aca="false">TRIMMEAN(B128:P128,2/COUNT(B128:P128))</f>
        <v>-0.07</v>
      </c>
    </row>
    <row r="129" customFormat="false" ht="15.75" hidden="false" customHeight="true" outlineLevel="0" collapsed="false">
      <c r="A129" s="57" t="s">
        <v>273</v>
      </c>
      <c r="B129" s="9"/>
      <c r="C129" s="9" t="n">
        <v>0.16</v>
      </c>
      <c r="D129" s="9" t="n">
        <v>0.42</v>
      </c>
      <c r="E129" s="9" t="n">
        <v>0.56</v>
      </c>
      <c r="F129" s="9" t="n">
        <v>0.83</v>
      </c>
      <c r="G129" s="9"/>
      <c r="H129" s="9" t="n">
        <v>1.44</v>
      </c>
      <c r="I129" s="9" t="n">
        <v>0.63</v>
      </c>
      <c r="J129" s="9"/>
      <c r="K129" s="9" t="n">
        <v>-0.09</v>
      </c>
      <c r="L129" s="9" t="n">
        <v>0.57</v>
      </c>
      <c r="M129" s="9" t="n">
        <v>-0.99</v>
      </c>
      <c r="N129" s="9" t="n">
        <v>0.05</v>
      </c>
      <c r="O129" s="9" t="n">
        <v>0.93</v>
      </c>
      <c r="P129" s="9" t="n">
        <v>0.02</v>
      </c>
      <c r="Q129" s="58" t="n">
        <f aca="false">TRIMMEAN(B129:P129,2/COUNT(B129:P129))</f>
        <v>0.408</v>
      </c>
    </row>
    <row r="130" customFormat="false" ht="15.75" hidden="false" customHeight="true" outlineLevel="0" collapsed="false">
      <c r="A130" s="59" t="s">
        <v>274</v>
      </c>
      <c r="B130" s="9"/>
      <c r="C130" s="9" t="n">
        <v>-0.56</v>
      </c>
      <c r="D130" s="9"/>
      <c r="E130" s="9" t="n">
        <v>-0.19</v>
      </c>
      <c r="F130" s="9"/>
      <c r="G130" s="9"/>
      <c r="H130" s="9"/>
      <c r="I130" s="9"/>
      <c r="J130" s="9"/>
      <c r="K130" s="9" t="n">
        <v>0.3</v>
      </c>
      <c r="L130" s="9" t="n">
        <v>0.32</v>
      </c>
      <c r="M130" s="9" t="n">
        <v>0.44</v>
      </c>
      <c r="N130" s="9"/>
      <c r="O130" s="9"/>
      <c r="P130" s="9"/>
      <c r="Q130" s="58" t="n">
        <f aca="false">TRIMMEAN(B130:P130,2/COUNT(B130:P130))</f>
        <v>0.143333333333333</v>
      </c>
    </row>
    <row r="131" customFormat="false" ht="15.75" hidden="false" customHeight="true" outlineLevel="0" collapsed="false">
      <c r="A131" s="57" t="s">
        <v>275</v>
      </c>
      <c r="B131" s="9" t="n">
        <v>-0.44</v>
      </c>
      <c r="C131" s="9" t="n">
        <v>-0.67</v>
      </c>
      <c r="D131" s="9" t="n">
        <v>-0.23</v>
      </c>
      <c r="E131" s="9"/>
      <c r="F131" s="9" t="n">
        <v>0.11</v>
      </c>
      <c r="G131" s="9" t="n">
        <v>0.04</v>
      </c>
      <c r="H131" s="9"/>
      <c r="I131" s="9" t="n">
        <v>0.22</v>
      </c>
      <c r="J131" s="9" t="n">
        <v>-0.04</v>
      </c>
      <c r="K131" s="9" t="n">
        <v>-0.52</v>
      </c>
      <c r="L131" s="9" t="n">
        <v>0.39</v>
      </c>
      <c r="M131" s="9" t="n">
        <v>-1.11</v>
      </c>
      <c r="N131" s="9" t="n">
        <v>0.33</v>
      </c>
      <c r="O131" s="9" t="n">
        <v>0.1</v>
      </c>
      <c r="P131" s="9" t="n">
        <v>-0.4</v>
      </c>
      <c r="Q131" s="58" t="n">
        <f aca="false">TRIMMEAN(B131:P131,2/COUNT(B131:P131))</f>
        <v>-0.136363636363636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0.22</v>
      </c>
      <c r="C133" s="9" t="n">
        <v>0.31</v>
      </c>
      <c r="D133" s="9" t="n">
        <v>0.66</v>
      </c>
      <c r="E133" s="9" t="n">
        <v>0.92</v>
      </c>
      <c r="F133" s="9"/>
      <c r="G133" s="9" t="n">
        <v>0.6</v>
      </c>
      <c r="H133" s="9"/>
      <c r="I133" s="9" t="n">
        <v>0.01</v>
      </c>
      <c r="J133" s="9" t="n">
        <v>0.37</v>
      </c>
      <c r="K133" s="9"/>
      <c r="L133" s="9" t="n">
        <v>0.28</v>
      </c>
      <c r="M133" s="9" t="n">
        <v>-0.08</v>
      </c>
      <c r="N133" s="9"/>
      <c r="O133" s="9" t="n">
        <v>0.22</v>
      </c>
      <c r="P133" s="9"/>
      <c r="Q133" s="58" t="n">
        <f aca="false">TRIMMEAN(B133:P133,2/COUNT(B133:P133))</f>
        <v>0.33375</v>
      </c>
    </row>
    <row r="134" customFormat="false" ht="15.75" hidden="false" customHeight="true" outlineLevel="0" collapsed="false">
      <c r="A134" s="57" t="s">
        <v>13</v>
      </c>
      <c r="B134" s="9"/>
      <c r="C134" s="9" t="n">
        <v>0.29</v>
      </c>
      <c r="D134" s="9"/>
      <c r="E134" s="9" t="n">
        <v>-0.21</v>
      </c>
      <c r="F134" s="9" t="n">
        <v>-0.22</v>
      </c>
      <c r="G134" s="9"/>
      <c r="H134" s="9" t="n">
        <v>-0.46</v>
      </c>
      <c r="I134" s="9" t="n">
        <v>0.51</v>
      </c>
      <c r="J134" s="9"/>
      <c r="K134" s="9" t="n">
        <v>-0.13</v>
      </c>
      <c r="L134" s="9" t="n">
        <v>0.77</v>
      </c>
      <c r="M134" s="9" t="n">
        <v>-1.4</v>
      </c>
      <c r="N134" s="9" t="n">
        <v>0.33</v>
      </c>
      <c r="O134" s="9"/>
      <c r="P134" s="9" t="n">
        <v>0.2</v>
      </c>
      <c r="Q134" s="58" t="n">
        <f aca="false">TRIMMEAN(B134:P134,2/COUNT(B134:P134))</f>
        <v>0.03875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 t="n">
        <v>-0.26</v>
      </c>
      <c r="E135" s="9" t="n">
        <v>0.2</v>
      </c>
      <c r="F135" s="9" t="n">
        <v>-0.89</v>
      </c>
      <c r="G135" s="9"/>
      <c r="H135" s="9" t="n">
        <v>0.43</v>
      </c>
      <c r="I135" s="9" t="n">
        <v>-0.48</v>
      </c>
      <c r="J135" s="9"/>
      <c r="K135" s="9"/>
      <c r="L135" s="9" t="n">
        <v>-0.56</v>
      </c>
      <c r="M135" s="9"/>
      <c r="N135" s="9" t="n">
        <v>-0.3</v>
      </c>
      <c r="O135" s="9" t="n">
        <v>0.63</v>
      </c>
      <c r="P135" s="9" t="n">
        <v>0.24</v>
      </c>
      <c r="Q135" s="58" t="n">
        <f aca="false">TRIMMEAN(B135:P135,2/COUNT(B135:P135))</f>
        <v>-0.104285714285714</v>
      </c>
    </row>
    <row r="136" customFormat="false" ht="15.75" hidden="false" customHeight="true" outlineLevel="0" collapsed="false">
      <c r="A136" s="57" t="s">
        <v>279</v>
      </c>
      <c r="B136" s="9" t="n">
        <v>1.14</v>
      </c>
      <c r="C136" s="9" t="n">
        <v>0.35</v>
      </c>
      <c r="D136" s="9" t="n">
        <v>1.11</v>
      </c>
      <c r="E136" s="9"/>
      <c r="F136" s="9"/>
      <c r="G136" s="9" t="n">
        <v>0.35</v>
      </c>
      <c r="H136" s="9"/>
      <c r="I136" s="9" t="n">
        <v>0.94</v>
      </c>
      <c r="J136" s="9" t="n">
        <v>0.41</v>
      </c>
      <c r="K136" s="9"/>
      <c r="L136" s="9" t="n">
        <v>-0.06</v>
      </c>
      <c r="M136" s="9" t="n">
        <v>-0.04</v>
      </c>
      <c r="N136" s="9" t="n">
        <v>0.7</v>
      </c>
      <c r="O136" s="9"/>
      <c r="P136" s="9"/>
      <c r="Q136" s="58" t="n">
        <f aca="false">TRIMMEAN(B136:P136,2/COUNT(B136:P136))</f>
        <v>0.545714285714286</v>
      </c>
    </row>
    <row r="137" customFormat="false" ht="15.75" hidden="false" customHeight="true" outlineLevel="0" collapsed="false">
      <c r="A137" s="59" t="s">
        <v>280</v>
      </c>
      <c r="B137" s="9"/>
      <c r="C137" s="9" t="n">
        <v>-0.77</v>
      </c>
      <c r="D137" s="9"/>
      <c r="E137" s="9" t="n">
        <v>-2.39</v>
      </c>
      <c r="F137" s="9" t="n">
        <v>-1.33</v>
      </c>
      <c r="G137" s="9"/>
      <c r="H137" s="9" t="n">
        <v>-0.99</v>
      </c>
      <c r="I137" s="9"/>
      <c r="J137" s="9"/>
      <c r="K137" s="9" t="n">
        <v>-0.64</v>
      </c>
      <c r="L137" s="9" t="n">
        <v>0.17</v>
      </c>
      <c r="M137" s="9"/>
      <c r="N137" s="9" t="n">
        <v>-3.36</v>
      </c>
      <c r="O137" s="9" t="n">
        <v>-2.21</v>
      </c>
      <c r="P137" s="9" t="n">
        <v>0.08</v>
      </c>
      <c r="Q137" s="58" t="n">
        <f aca="false">TRIMMEAN(B137:P137,2/COUNT(B137:P137))</f>
        <v>-1.17857142857143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 t="n">
        <v>-0.65</v>
      </c>
      <c r="J138" s="9" t="n">
        <v>-0.41</v>
      </c>
      <c r="K138" s="9"/>
      <c r="L138" s="9" t="n">
        <v>0.46</v>
      </c>
      <c r="M138" s="9" t="n">
        <v>0.06</v>
      </c>
      <c r="N138" s="9" t="n">
        <v>0.79</v>
      </c>
      <c r="O138" s="9" t="n">
        <v>0.45</v>
      </c>
      <c r="P138" s="9"/>
      <c r="Q138" s="58" t="n">
        <f aca="false">TRIMMEAN(B138:P138,2/COUNT(B138:P138))</f>
        <v>0.14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0.78</v>
      </c>
      <c r="D140" s="9" t="n">
        <v>0.56</v>
      </c>
      <c r="E140" s="9" t="n">
        <v>0.59</v>
      </c>
      <c r="F140" s="9"/>
      <c r="G140" s="9"/>
      <c r="H140" s="9" t="n">
        <v>-0.84</v>
      </c>
      <c r="I140" s="9" t="n">
        <v>-0.06</v>
      </c>
      <c r="J140" s="9"/>
      <c r="K140" s="9"/>
      <c r="L140" s="9" t="n">
        <v>-0.57</v>
      </c>
      <c r="M140" s="9" t="n">
        <v>1.28</v>
      </c>
      <c r="N140" s="9"/>
      <c r="O140" s="9"/>
      <c r="P140" s="9" t="n">
        <v>0.7</v>
      </c>
      <c r="Q140" s="58" t="n">
        <f aca="false">TRIMMEAN(B140:P140,2/COUNT(B140:P140))</f>
        <v>0.333333333333333</v>
      </c>
    </row>
    <row r="141" customFormat="false" ht="15.75" hidden="false" customHeight="true" outlineLevel="0" collapsed="false">
      <c r="A141" s="59" t="s">
        <v>284</v>
      </c>
      <c r="B141" s="9"/>
      <c r="C141" s="9" t="n">
        <v>0.08</v>
      </c>
      <c r="D141" s="9"/>
      <c r="E141" s="9" t="n">
        <v>0.16</v>
      </c>
      <c r="F141" s="9" t="n">
        <v>-0.93</v>
      </c>
      <c r="G141" s="9"/>
      <c r="H141" s="9"/>
      <c r="I141" s="9"/>
      <c r="J141" s="9"/>
      <c r="K141" s="9" t="n">
        <v>0.4</v>
      </c>
      <c r="L141" s="9" t="n">
        <v>0.32</v>
      </c>
      <c r="M141" s="9"/>
      <c r="N141" s="9" t="n">
        <v>0.43</v>
      </c>
      <c r="O141" s="9" t="n">
        <v>-0.03</v>
      </c>
      <c r="P141" s="9" t="n">
        <v>0.72</v>
      </c>
      <c r="Q141" s="58" t="n">
        <f aca="false">TRIMMEAN(B141:P141,2/COUNT(B141:P141))</f>
        <v>0.226666666666667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 t="n">
        <v>0.39</v>
      </c>
      <c r="J142" s="9"/>
      <c r="K142" s="9" t="n">
        <v>0.68</v>
      </c>
      <c r="L142" s="9" t="n">
        <v>0.15</v>
      </c>
      <c r="M142" s="9"/>
      <c r="N142" s="9" t="n">
        <v>0.65</v>
      </c>
      <c r="O142" s="9" t="n">
        <v>0.84</v>
      </c>
      <c r="P142" s="9" t="n">
        <v>0.42</v>
      </c>
      <c r="Q142" s="58" t="n">
        <f aca="false">TRIMMEAN(B142:P142,2/COUNT(B142:P142))</f>
        <v>0.535</v>
      </c>
    </row>
    <row r="143" customFormat="false" ht="15.75" hidden="false" customHeight="true" outlineLevel="0" collapsed="false">
      <c r="A143" s="57" t="s">
        <v>286</v>
      </c>
      <c r="B143" s="9" t="n">
        <v>-0.45</v>
      </c>
      <c r="C143" s="9" t="n">
        <v>-0.41</v>
      </c>
      <c r="D143" s="9"/>
      <c r="E143" s="9"/>
      <c r="F143" s="9"/>
      <c r="G143" s="9"/>
      <c r="H143" s="9"/>
      <c r="I143" s="9"/>
      <c r="J143" s="9" t="n">
        <v>-1.9</v>
      </c>
      <c r="K143" s="9" t="n">
        <v>0.12</v>
      </c>
      <c r="L143" s="9" t="n">
        <v>-0.38</v>
      </c>
      <c r="M143" s="9"/>
      <c r="N143" s="9"/>
      <c r="O143" s="9"/>
      <c r="P143" s="9"/>
      <c r="Q143" s="58" t="n">
        <f aca="false">TRIMMEAN(B143:P143,2/COUNT(B143:P143))</f>
        <v>-0.413333333333333</v>
      </c>
    </row>
    <row r="144" customFormat="false" ht="15.75" hidden="false" customHeight="true" outlineLevel="0" collapsed="false">
      <c r="A144" s="59" t="s">
        <v>287</v>
      </c>
      <c r="B144" s="9"/>
      <c r="C144" s="9" t="n">
        <v>0.24</v>
      </c>
      <c r="D144" s="9"/>
      <c r="E144" s="9" t="n">
        <v>-0.85</v>
      </c>
      <c r="F144" s="9" t="n">
        <v>-0.6</v>
      </c>
      <c r="G144" s="9" t="n">
        <v>-0.42</v>
      </c>
      <c r="H144" s="9"/>
      <c r="I144" s="9"/>
      <c r="J144" s="9"/>
      <c r="K144" s="9" t="n">
        <v>-0.41</v>
      </c>
      <c r="L144" s="9"/>
      <c r="M144" s="9"/>
      <c r="N144" s="9" t="n">
        <v>-1.72</v>
      </c>
      <c r="O144" s="9" t="n">
        <v>-1.16</v>
      </c>
      <c r="P144" s="9" t="n">
        <v>0.26</v>
      </c>
      <c r="Q144" s="58" t="n">
        <f aca="false">TRIMMEAN(B144:P144,2/COUNT(B144:P144))</f>
        <v>-0.533333333333333</v>
      </c>
    </row>
    <row r="145" customFormat="false" ht="15.75" hidden="false" customHeight="true" outlineLevel="0" collapsed="false">
      <c r="A145" s="57" t="s">
        <v>288</v>
      </c>
      <c r="B145" s="9" t="n">
        <v>0.13</v>
      </c>
      <c r="C145" s="9"/>
      <c r="D145" s="9"/>
      <c r="E145" s="9" t="n">
        <v>0.18</v>
      </c>
      <c r="F145" s="9"/>
      <c r="G145" s="9" t="n">
        <v>-0.32</v>
      </c>
      <c r="H145" s="9"/>
      <c r="I145" s="9"/>
      <c r="J145" s="9" t="n">
        <v>0.34</v>
      </c>
      <c r="K145" s="9" t="n">
        <v>0.28</v>
      </c>
      <c r="L145" s="9" t="n">
        <v>-0.81</v>
      </c>
      <c r="M145" s="9" t="n">
        <v>0.77</v>
      </c>
      <c r="N145" s="9"/>
      <c r="O145" s="9"/>
      <c r="P145" s="9"/>
      <c r="Q145" s="58" t="n">
        <f aca="false">TRIMMEAN(B145:P145,2/COUNT(B145:P145))</f>
        <v>0.122</v>
      </c>
    </row>
    <row r="146" customFormat="false" ht="15.75" hidden="false" customHeight="true" outlineLevel="0" collapsed="false">
      <c r="A146" s="57" t="s">
        <v>289</v>
      </c>
      <c r="B146" s="9" t="n">
        <v>0.31</v>
      </c>
      <c r="C146" s="9" t="n">
        <v>0.73</v>
      </c>
      <c r="D146" s="9"/>
      <c r="E146" s="9" t="n">
        <v>-1.27</v>
      </c>
      <c r="F146" s="9" t="n">
        <v>-0.76</v>
      </c>
      <c r="G146" s="9" t="n">
        <v>-1.36</v>
      </c>
      <c r="H146" s="9"/>
      <c r="I146" s="9"/>
      <c r="J146" s="9" t="n">
        <v>0.7</v>
      </c>
      <c r="K146" s="9" t="n">
        <v>-0.11</v>
      </c>
      <c r="L146" s="9" t="n">
        <v>-0.33</v>
      </c>
      <c r="M146" s="9" t="n">
        <v>0.11</v>
      </c>
      <c r="N146" s="9"/>
      <c r="O146" s="9"/>
      <c r="P146" s="9"/>
      <c r="Q146" s="58" t="n">
        <f aca="false">TRIMMEAN(B146:P146,2/COUNT(B146:P146))</f>
        <v>-0.192857142857143</v>
      </c>
    </row>
    <row r="147" customFormat="false" ht="15.75" hidden="false" customHeight="true" outlineLevel="0" collapsed="false">
      <c r="A147" s="59" t="s">
        <v>290</v>
      </c>
      <c r="B147" s="9"/>
      <c r="C147" s="9" t="n">
        <v>-0.62</v>
      </c>
      <c r="D147" s="9"/>
      <c r="E147" s="9" t="n">
        <v>0.27</v>
      </c>
      <c r="F147" s="9"/>
      <c r="G147" s="9"/>
      <c r="H147" s="9"/>
      <c r="I147" s="9"/>
      <c r="J147" s="9"/>
      <c r="K147" s="9" t="n">
        <v>0.18</v>
      </c>
      <c r="L147" s="9" t="n">
        <v>-1.23</v>
      </c>
      <c r="M147" s="9"/>
      <c r="N147" s="9"/>
      <c r="O147" s="9"/>
      <c r="P147" s="9"/>
      <c r="Q147" s="58" t="n">
        <f aca="false">TRIMMEAN(B147:P147,2/COUNT(B147:P147))</f>
        <v>-0.22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-0.15</v>
      </c>
      <c r="D149" s="9"/>
      <c r="E149" s="9" t="n">
        <v>-0.27</v>
      </c>
      <c r="F149" s="9" t="n">
        <v>-1.16</v>
      </c>
      <c r="G149" s="9"/>
      <c r="H149" s="9" t="n">
        <v>-0.35</v>
      </c>
      <c r="I149" s="9"/>
      <c r="J149" s="9"/>
      <c r="K149" s="9" t="n">
        <v>-0.73</v>
      </c>
      <c r="L149" s="9" t="n">
        <v>0.09</v>
      </c>
      <c r="M149" s="9" t="n">
        <v>0.38</v>
      </c>
      <c r="N149" s="9" t="n">
        <v>-0.11</v>
      </c>
      <c r="O149" s="9" t="n">
        <v>0.18</v>
      </c>
      <c r="P149" s="9" t="n">
        <v>0.17</v>
      </c>
      <c r="Q149" s="58" t="n">
        <f aca="false">TRIMMEAN(B149:P149,2/COUNT(B149:P149))</f>
        <v>-0.14625</v>
      </c>
    </row>
    <row r="150" customFormat="false" ht="15.75" hidden="false" customHeight="true" outlineLevel="0" collapsed="false">
      <c r="A150" s="57" t="s">
        <v>293</v>
      </c>
      <c r="B150" s="9" t="n">
        <v>-0.16</v>
      </c>
      <c r="C150" s="9" t="n">
        <v>-0.34</v>
      </c>
      <c r="D150" s="9"/>
      <c r="E150" s="9" t="n">
        <v>-0.29</v>
      </c>
      <c r="F150" s="9" t="n">
        <v>-0.37</v>
      </c>
      <c r="G150" s="9" t="n">
        <v>0.58</v>
      </c>
      <c r="H150" s="9"/>
      <c r="I150" s="9"/>
      <c r="J150" s="9" t="n">
        <v>-0.32</v>
      </c>
      <c r="K150" s="9" t="n">
        <v>-0.62</v>
      </c>
      <c r="L150" s="9" t="n">
        <v>-0.97</v>
      </c>
      <c r="M150" s="9"/>
      <c r="N150" s="9"/>
      <c r="O150" s="9"/>
      <c r="P150" s="9"/>
      <c r="Q150" s="58" t="n">
        <f aca="false">TRIMMEAN(B150:P150,2/COUNT(B150:P150))</f>
        <v>-0.35</v>
      </c>
    </row>
    <row r="151" customFormat="false" ht="15.75" hidden="false" customHeight="true" outlineLevel="0" collapsed="false">
      <c r="A151" s="57" t="s">
        <v>294</v>
      </c>
      <c r="B151" s="9" t="n">
        <v>0.36</v>
      </c>
      <c r="C151" s="9" t="n">
        <v>0.11</v>
      </c>
      <c r="D151" s="9"/>
      <c r="E151" s="9" t="n">
        <v>-0.42</v>
      </c>
      <c r="F151" s="9" t="n">
        <v>-0.17</v>
      </c>
      <c r="G151" s="9"/>
      <c r="H151" s="9"/>
      <c r="I151" s="9"/>
      <c r="J151" s="9" t="n">
        <v>-0.28</v>
      </c>
      <c r="K151" s="9" t="n">
        <v>0.07</v>
      </c>
      <c r="L151" s="9" t="n">
        <v>0.61</v>
      </c>
      <c r="M151" s="9" t="n">
        <v>-0.03</v>
      </c>
      <c r="N151" s="9"/>
      <c r="O151" s="9"/>
      <c r="P151" s="9"/>
      <c r="Q151" s="58" t="n">
        <f aca="false">TRIMMEAN(B151:P151,2/COUNT(B151:P151))</f>
        <v>0.00999999999999999</v>
      </c>
    </row>
    <row r="152" customFormat="false" ht="15.75" hidden="false" customHeight="true" outlineLevel="0" collapsed="false">
      <c r="A152" s="59" t="s">
        <v>295</v>
      </c>
      <c r="B152" s="9"/>
      <c r="C152" s="9" t="n">
        <v>-1.23</v>
      </c>
      <c r="D152" s="9"/>
      <c r="E152" s="9" t="n">
        <v>-0.62</v>
      </c>
      <c r="F152" s="9" t="n">
        <v>-0.42</v>
      </c>
      <c r="G152" s="9"/>
      <c r="H152" s="9" t="n">
        <v>-0.18</v>
      </c>
      <c r="I152" s="9"/>
      <c r="J152" s="9"/>
      <c r="K152" s="9" t="n">
        <v>0.45</v>
      </c>
      <c r="L152" s="9" t="n">
        <v>-1.11</v>
      </c>
      <c r="M152" s="9" t="n">
        <v>0.3</v>
      </c>
      <c r="N152" s="9" t="n">
        <v>-0.93</v>
      </c>
      <c r="O152" s="9" t="n">
        <v>0.56</v>
      </c>
      <c r="P152" s="9" t="n">
        <v>-0.54</v>
      </c>
      <c r="Q152" s="58" t="n">
        <f aca="false">TRIMMEAN(B152:P152,2/COUNT(B152:P152))</f>
        <v>-0.38125</v>
      </c>
    </row>
    <row r="153" customFormat="false" ht="15.75" hidden="false" customHeight="true" outlineLevel="0" collapsed="false">
      <c r="A153" s="57" t="s">
        <v>296</v>
      </c>
      <c r="B153" s="9"/>
      <c r="C153" s="9" t="n">
        <v>0.15</v>
      </c>
      <c r="D153" s="9"/>
      <c r="E153" s="9"/>
      <c r="F153" s="9" t="n">
        <v>-0.21</v>
      </c>
      <c r="G153" s="9"/>
      <c r="H153" s="9"/>
      <c r="I153" s="9"/>
      <c r="J153" s="9" t="n">
        <v>-1.38</v>
      </c>
      <c r="K153" s="9" t="n">
        <v>0.32</v>
      </c>
      <c r="L153" s="9" t="n">
        <v>0.46</v>
      </c>
      <c r="M153" s="9"/>
      <c r="N153" s="9"/>
      <c r="O153" s="9"/>
      <c r="P153" s="9"/>
      <c r="Q153" s="58" t="n">
        <f aca="false">TRIMMEAN(B153:P153,2/COUNT(B153:P153))</f>
        <v>0.0866666666666667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 t="n">
        <v>0.07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0.19</v>
      </c>
      <c r="C155" s="9" t="n">
        <v>1.14</v>
      </c>
      <c r="D155" s="9" t="n">
        <v>1.08</v>
      </c>
      <c r="E155" s="9"/>
      <c r="F155" s="9"/>
      <c r="G155" s="9" t="n">
        <v>-0.64</v>
      </c>
      <c r="H155" s="9"/>
      <c r="I155" s="9" t="n">
        <v>0.93</v>
      </c>
      <c r="J155" s="9" t="n">
        <v>-0.05</v>
      </c>
      <c r="K155" s="9"/>
      <c r="L155" s="9" t="n">
        <v>1.06</v>
      </c>
      <c r="M155" s="9" t="n">
        <v>0.39</v>
      </c>
      <c r="N155" s="9"/>
      <c r="O155" s="9"/>
      <c r="P155" s="9"/>
      <c r="Q155" s="58" t="n">
        <f aca="false">TRIMMEAN(B155:P155,2/COUNT(B155:P155))</f>
        <v>0.6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0.28</v>
      </c>
      <c r="D157" s="9" t="n">
        <v>0.3</v>
      </c>
      <c r="E157" s="9" t="n">
        <v>-0.27</v>
      </c>
      <c r="F157" s="9" t="n">
        <v>0.17</v>
      </c>
      <c r="G157" s="9"/>
      <c r="H157" s="9" t="n">
        <v>0.47</v>
      </c>
      <c r="I157" s="9"/>
      <c r="J157" s="9"/>
      <c r="K157" s="9" t="n">
        <v>0.56</v>
      </c>
      <c r="L157" s="9" t="n">
        <v>0.47</v>
      </c>
      <c r="M157" s="9" t="n">
        <v>0.36</v>
      </c>
      <c r="N157" s="9" t="n">
        <v>-0.39</v>
      </c>
      <c r="O157" s="9" t="n">
        <v>1.11</v>
      </c>
      <c r="P157" s="9" t="n">
        <v>0.17</v>
      </c>
      <c r="Q157" s="58" t="n">
        <f aca="false">TRIMMEAN(B157:P157,2/COUNT(B157:P157))</f>
        <v>0.278888888888889</v>
      </c>
    </row>
    <row r="158" customFormat="false" ht="15.75" hidden="false" customHeight="true" outlineLevel="0" collapsed="false">
      <c r="A158" s="57" t="s">
        <v>301</v>
      </c>
      <c r="B158" s="9" t="n">
        <v>1.09</v>
      </c>
      <c r="C158" s="9"/>
      <c r="D158" s="9" t="n">
        <v>0.68</v>
      </c>
      <c r="E158" s="9" t="n">
        <v>0.24</v>
      </c>
      <c r="F158" s="9" t="n">
        <v>0.01</v>
      </c>
      <c r="G158" s="9" t="n">
        <v>-0.06</v>
      </c>
      <c r="H158" s="9"/>
      <c r="I158" s="9"/>
      <c r="J158" s="9" t="n">
        <v>0.74</v>
      </c>
      <c r="K158" s="9"/>
      <c r="L158" s="9" t="n">
        <v>0.76</v>
      </c>
      <c r="M158" s="9"/>
      <c r="N158" s="9"/>
      <c r="O158" s="9"/>
      <c r="P158" s="9"/>
      <c r="Q158" s="58" t="n">
        <f aca="false">TRIMMEAN(B158:P158,2/COUNT(B158:P158))</f>
        <v>0.486</v>
      </c>
    </row>
    <row r="159" customFormat="false" ht="15.75" hidden="false" customHeight="true" outlineLevel="0" collapsed="false">
      <c r="A159" s="57" t="s">
        <v>302</v>
      </c>
      <c r="B159" s="9" t="n">
        <v>-0.97</v>
      </c>
      <c r="C159" s="9" t="n">
        <v>-0.14</v>
      </c>
      <c r="D159" s="9"/>
      <c r="E159" s="9" t="n">
        <v>-0.3</v>
      </c>
      <c r="F159" s="9" t="n">
        <v>-0.16</v>
      </c>
      <c r="G159" s="9" t="n">
        <v>-0.16</v>
      </c>
      <c r="H159" s="9"/>
      <c r="I159" s="9"/>
      <c r="J159" s="9" t="n">
        <v>0.04</v>
      </c>
      <c r="K159" s="9" t="n">
        <v>-0.96</v>
      </c>
      <c r="L159" s="9" t="n">
        <v>-0.13</v>
      </c>
      <c r="M159" s="9"/>
      <c r="N159" s="9"/>
      <c r="O159" s="9"/>
      <c r="P159" s="9"/>
      <c r="Q159" s="58" t="n">
        <f aca="false">TRIMMEAN(B159:P159,2/COUNT(B159:P159))</f>
        <v>-0.308333333333333</v>
      </c>
    </row>
    <row r="160" customFormat="false" ht="15.75" hidden="false" customHeight="true" outlineLevel="0" collapsed="false">
      <c r="A160" s="59" t="s">
        <v>303</v>
      </c>
      <c r="B160" s="9" t="n">
        <v>-0.19</v>
      </c>
      <c r="C160" s="9" t="n">
        <v>-0.62</v>
      </c>
      <c r="D160" s="9" t="n">
        <v>-0.6</v>
      </c>
      <c r="E160" s="9"/>
      <c r="F160" s="9" t="n">
        <v>-0.17</v>
      </c>
      <c r="G160" s="9"/>
      <c r="H160" s="9" t="n">
        <v>-1.23</v>
      </c>
      <c r="I160" s="9"/>
      <c r="J160" s="9"/>
      <c r="K160" s="9" t="n">
        <v>-0.18</v>
      </c>
      <c r="L160" s="9" t="n">
        <v>-0.14</v>
      </c>
      <c r="M160" s="9"/>
      <c r="N160" s="9" t="n">
        <v>-0.05</v>
      </c>
      <c r="O160" s="9" t="n">
        <v>0.39</v>
      </c>
      <c r="P160" s="9" t="n">
        <v>-2.65</v>
      </c>
      <c r="Q160" s="58" t="n">
        <f aca="false">TRIMMEAN(B160:P160,2/COUNT(B160:P160))</f>
        <v>-0.3975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 t="n">
        <v>1.18</v>
      </c>
      <c r="F161" s="9"/>
      <c r="G161" s="9"/>
      <c r="H161" s="9"/>
      <c r="I161" s="9"/>
      <c r="J161" s="9"/>
      <c r="K161" s="9" t="n">
        <v>-0.31</v>
      </c>
      <c r="L161" s="9" t="n">
        <v>1.46</v>
      </c>
      <c r="M161" s="9" t="n">
        <v>0.57</v>
      </c>
      <c r="N161" s="9" t="n">
        <v>0.4</v>
      </c>
      <c r="O161" s="9"/>
      <c r="P161" s="9" t="n">
        <v>-1.33</v>
      </c>
      <c r="Q161" s="58" t="n">
        <f aca="false">TRIMMEAN(B161:P161,2/COUNT(B161:P161))</f>
        <v>0.46</v>
      </c>
    </row>
    <row r="162" customFormat="false" ht="15.75" hidden="false" customHeight="true" outlineLevel="0" collapsed="false">
      <c r="A162" s="59" t="s">
        <v>305</v>
      </c>
      <c r="B162" s="9"/>
      <c r="C162" s="9" t="n">
        <v>-0.22</v>
      </c>
      <c r="D162" s="9"/>
      <c r="E162" s="9" t="n">
        <v>-0.74</v>
      </c>
      <c r="F162" s="9"/>
      <c r="G162" s="9"/>
      <c r="H162" s="9" t="n">
        <v>-0.57</v>
      </c>
      <c r="I162" s="9"/>
      <c r="J162" s="9"/>
      <c r="K162" s="9" t="n">
        <v>0.2</v>
      </c>
      <c r="L162" s="9" t="n">
        <v>0</v>
      </c>
      <c r="M162" s="9" t="n">
        <v>-0.34</v>
      </c>
      <c r="N162" s="9" t="n">
        <v>-0.39</v>
      </c>
      <c r="O162" s="9" t="n">
        <v>0.06</v>
      </c>
      <c r="P162" s="9" t="n">
        <v>-0.81</v>
      </c>
      <c r="Q162" s="58" t="n">
        <f aca="false">TRIMMEAN(B162:P162,2/COUNT(B162:P162))</f>
        <v>-0.314285714285714</v>
      </c>
    </row>
    <row r="163" customFormat="false" ht="15.75" hidden="false" customHeight="true" outlineLevel="0" collapsed="false">
      <c r="A163" s="57" t="s">
        <v>306</v>
      </c>
      <c r="B163" s="9" t="n">
        <v>0.56</v>
      </c>
      <c r="C163" s="9"/>
      <c r="D163" s="9" t="n">
        <v>0.35</v>
      </c>
      <c r="E163" s="9"/>
      <c r="F163" s="9"/>
      <c r="G163" s="9" t="n">
        <v>-0.05</v>
      </c>
      <c r="H163" s="9" t="n">
        <v>0.44</v>
      </c>
      <c r="I163" s="9" t="n">
        <v>0.52</v>
      </c>
      <c r="J163" s="9" t="n">
        <v>0.84</v>
      </c>
      <c r="K163" s="9"/>
      <c r="L163" s="9" t="n">
        <v>-0.47</v>
      </c>
      <c r="M163" s="9" t="n">
        <v>0.48</v>
      </c>
      <c r="N163" s="9"/>
      <c r="O163" s="9"/>
      <c r="P163" s="9"/>
      <c r="Q163" s="58" t="n">
        <f aca="false">TRIMMEAN(B163:P163,2/COUNT(B163:P163))</f>
        <v>0.383333333333333</v>
      </c>
    </row>
    <row r="164" customFormat="false" ht="15.75" hidden="false" customHeight="true" outlineLevel="0" collapsed="false">
      <c r="A164" s="57" t="s">
        <v>307</v>
      </c>
      <c r="B164" s="9"/>
      <c r="C164" s="9" t="n">
        <v>0.4</v>
      </c>
      <c r="D164" s="9"/>
      <c r="E164" s="9" t="n">
        <v>-0.56</v>
      </c>
      <c r="F164" s="9" t="n">
        <v>0.18</v>
      </c>
      <c r="G164" s="9" t="n">
        <v>0.09</v>
      </c>
      <c r="H164" s="9"/>
      <c r="I164" s="9"/>
      <c r="J164" s="9" t="n">
        <v>-0.59</v>
      </c>
      <c r="K164" s="9" t="n">
        <v>-0.09</v>
      </c>
      <c r="L164" s="9" t="n">
        <v>0.21</v>
      </c>
      <c r="M164" s="9"/>
      <c r="N164" s="9"/>
      <c r="O164" s="9"/>
      <c r="P164" s="9"/>
      <c r="Q164" s="58" t="n">
        <f aca="false">TRIMMEAN(B164:P164,2/COUNT(B164:P164))</f>
        <v>-0.034</v>
      </c>
    </row>
    <row r="165" customFormat="false" ht="15.75" hidden="false" customHeight="true" outlineLevel="0" collapsed="false">
      <c r="A165" s="57" t="s">
        <v>308</v>
      </c>
      <c r="B165" s="9"/>
      <c r="C165" s="9" t="n">
        <v>0.68</v>
      </c>
      <c r="D165" s="9" t="n">
        <v>0.62</v>
      </c>
      <c r="E165" s="9"/>
      <c r="F165" s="9" t="n">
        <v>0.2</v>
      </c>
      <c r="G165" s="9" t="n">
        <v>0.85</v>
      </c>
      <c r="H165" s="9" t="n">
        <v>0.49</v>
      </c>
      <c r="I165" s="9" t="n">
        <v>0.18</v>
      </c>
      <c r="J165" s="9" t="n">
        <v>0.11</v>
      </c>
      <c r="K165" s="9"/>
      <c r="L165" s="9" t="n">
        <v>0.12</v>
      </c>
      <c r="M165" s="9" t="n">
        <v>0.74</v>
      </c>
      <c r="N165" s="9"/>
      <c r="O165" s="9"/>
      <c r="P165" s="9"/>
      <c r="Q165" s="58" t="n">
        <f aca="false">TRIMMEAN(B165:P165,2/COUNT(B165:P165))</f>
        <v>0.432857142857143</v>
      </c>
    </row>
    <row r="166" customFormat="false" ht="15.75" hidden="false" customHeight="true" outlineLevel="0" collapsed="false">
      <c r="A166" s="59" t="s">
        <v>309</v>
      </c>
      <c r="B166" s="9"/>
      <c r="C166" s="9" t="n">
        <v>-1.27</v>
      </c>
      <c r="D166" s="9"/>
      <c r="E166" s="9" t="n">
        <v>-1.09</v>
      </c>
      <c r="F166" s="9"/>
      <c r="G166" s="9"/>
      <c r="H166" s="9" t="n">
        <v>-2.53</v>
      </c>
      <c r="I166" s="9"/>
      <c r="J166" s="9"/>
      <c r="K166" s="9" t="n">
        <v>-0.36</v>
      </c>
      <c r="L166" s="9" t="n">
        <v>-1.92</v>
      </c>
      <c r="M166" s="9" t="n">
        <v>-0.58</v>
      </c>
      <c r="N166" s="9" t="n">
        <v>-2.42</v>
      </c>
      <c r="O166" s="9" t="n">
        <v>-0.53</v>
      </c>
      <c r="P166" s="9" t="n">
        <v>0.28</v>
      </c>
      <c r="Q166" s="58" t="n">
        <f aca="false">TRIMMEAN(B166:P166,2/COUNT(B166:P166))</f>
        <v>-1.16714285714286</v>
      </c>
    </row>
    <row r="167" customFormat="false" ht="15.75" hidden="false" customHeight="true" outlineLevel="0" collapsed="false">
      <c r="A167" s="57" t="s">
        <v>310</v>
      </c>
      <c r="B167" s="9" t="n">
        <v>-0.01</v>
      </c>
      <c r="C167" s="9" t="n">
        <v>-1.26</v>
      </c>
      <c r="D167" s="9"/>
      <c r="E167" s="9" t="n">
        <v>-0.19</v>
      </c>
      <c r="F167" s="9" t="n">
        <v>-0.41</v>
      </c>
      <c r="G167" s="9" t="n">
        <v>-0.45</v>
      </c>
      <c r="H167" s="9"/>
      <c r="I167" s="9"/>
      <c r="J167" s="9" t="n">
        <v>-0.37</v>
      </c>
      <c r="K167" s="9" t="n">
        <v>-0.58</v>
      </c>
      <c r="L167" s="9" t="n">
        <v>-1.07</v>
      </c>
      <c r="M167" s="9"/>
      <c r="N167" s="9"/>
      <c r="O167" s="9"/>
      <c r="P167" s="9"/>
      <c r="Q167" s="58" t="n">
        <f aca="false">TRIMMEAN(B167:P167,2/COUNT(B167:P167))</f>
        <v>-0.511666666666667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 t="n">
        <v>-1.08</v>
      </c>
      <c r="F168" s="9"/>
      <c r="G168" s="9" t="n">
        <v>0.02</v>
      </c>
      <c r="H168" s="9"/>
      <c r="I168" s="9"/>
      <c r="J168" s="9" t="n">
        <v>0.14</v>
      </c>
      <c r="K168" s="9"/>
      <c r="L168" s="9" t="n">
        <v>-1.34</v>
      </c>
      <c r="M168" s="9"/>
      <c r="N168" s="9"/>
      <c r="O168" s="9"/>
      <c r="P168" s="9"/>
      <c r="Q168" s="58" t="n">
        <f aca="false">TRIMMEAN(B168:P168,2/COUNT(B168:P168))</f>
        <v>-0.53</v>
      </c>
    </row>
    <row r="169" customFormat="false" ht="15.75" hidden="false" customHeight="true" outlineLevel="0" collapsed="false">
      <c r="A169" s="59" t="s">
        <v>312</v>
      </c>
      <c r="B169" s="9"/>
      <c r="C169" s="9" t="n">
        <v>-0.11</v>
      </c>
      <c r="D169" s="9"/>
      <c r="E169" s="9" t="n">
        <v>-0.93</v>
      </c>
      <c r="F169" s="9" t="n">
        <v>-0.13</v>
      </c>
      <c r="G169" s="9"/>
      <c r="H169" s="9" t="n">
        <v>-0.39</v>
      </c>
      <c r="I169" s="9"/>
      <c r="J169" s="9"/>
      <c r="K169" s="9" t="n">
        <v>-0.44</v>
      </c>
      <c r="L169" s="9" t="n">
        <v>-0.3</v>
      </c>
      <c r="M169" s="9" t="n">
        <v>0.34</v>
      </c>
      <c r="N169" s="9" t="n">
        <v>-0.69</v>
      </c>
      <c r="O169" s="9"/>
      <c r="P169" s="9"/>
      <c r="Q169" s="58" t="n">
        <f aca="false">TRIMMEAN(B169:P169,2/COUNT(B169:P169))</f>
        <v>-0.343333333333333</v>
      </c>
    </row>
    <row r="170" customFormat="false" ht="15.75" hidden="false" customHeight="true" outlineLevel="0" collapsed="false">
      <c r="A170" s="59" t="s">
        <v>313</v>
      </c>
      <c r="B170" s="9" t="n">
        <v>-0.6</v>
      </c>
      <c r="C170" s="9" t="n">
        <v>-0.97</v>
      </c>
      <c r="D170" s="9" t="n">
        <v>-0.12</v>
      </c>
      <c r="E170" s="9"/>
      <c r="F170" s="9" t="n">
        <v>0.13</v>
      </c>
      <c r="G170" s="9" t="n">
        <v>-0.41</v>
      </c>
      <c r="H170" s="9"/>
      <c r="I170" s="9" t="n">
        <v>-0.12</v>
      </c>
      <c r="J170" s="9" t="n">
        <v>0.83</v>
      </c>
      <c r="K170" s="9"/>
      <c r="L170" s="9"/>
      <c r="M170" s="9" t="n">
        <v>0.07</v>
      </c>
      <c r="N170" s="9" t="n">
        <v>0.77</v>
      </c>
      <c r="O170" s="9" t="n">
        <v>0.51</v>
      </c>
      <c r="P170" s="9" t="n">
        <v>0.14</v>
      </c>
      <c r="Q170" s="58" t="n">
        <f aca="false">TRIMMEAN(B170:P170,2/COUNT(B170:P170))</f>
        <v>0.0411111111111111</v>
      </c>
    </row>
    <row r="171" customFormat="false" ht="15.75" hidden="false" customHeight="true" outlineLevel="0" collapsed="false">
      <c r="A171" s="59" t="s">
        <v>314</v>
      </c>
      <c r="B171" s="9" t="n">
        <v>-0.95</v>
      </c>
      <c r="C171" s="9" t="n">
        <v>-1.04</v>
      </c>
      <c r="D171" s="9" t="n">
        <v>-0.61</v>
      </c>
      <c r="E171" s="9"/>
      <c r="F171" s="9"/>
      <c r="G171" s="9" t="n">
        <v>-0.1</v>
      </c>
      <c r="H171" s="9" t="n">
        <v>-0.43</v>
      </c>
      <c r="I171" s="9"/>
      <c r="J171" s="9" t="n">
        <v>0.28</v>
      </c>
      <c r="K171" s="9" t="n">
        <v>-1.38</v>
      </c>
      <c r="L171" s="9" t="n">
        <v>0</v>
      </c>
      <c r="M171" s="9"/>
      <c r="N171" s="9" t="n">
        <v>-0.12</v>
      </c>
      <c r="O171" s="9" t="n">
        <v>-1.1</v>
      </c>
      <c r="P171" s="9" t="n">
        <v>-0.04</v>
      </c>
      <c r="Q171" s="58" t="n">
        <f aca="false">TRIMMEAN(B171:P171,2/COUNT(B171:P171))</f>
        <v>-0.487777777777778</v>
      </c>
    </row>
    <row r="172" customFormat="false" ht="15.75" hidden="false" customHeight="true" outlineLevel="0" collapsed="false">
      <c r="A172" s="57" t="s">
        <v>315</v>
      </c>
      <c r="B172" s="9" t="n">
        <v>-0.26</v>
      </c>
      <c r="C172" s="9" t="n">
        <v>0.08</v>
      </c>
      <c r="D172" s="9" t="n">
        <v>-0.93</v>
      </c>
      <c r="E172" s="9"/>
      <c r="F172" s="9" t="n">
        <v>0.01</v>
      </c>
      <c r="G172" s="9" t="n">
        <v>-0.03</v>
      </c>
      <c r="H172" s="9"/>
      <c r="I172" s="9" t="n">
        <v>-0.88</v>
      </c>
      <c r="J172" s="9" t="n">
        <v>-0.4</v>
      </c>
      <c r="K172" s="9"/>
      <c r="L172" s="9" t="n">
        <v>-0.54</v>
      </c>
      <c r="M172" s="9" t="n">
        <v>-1.06</v>
      </c>
      <c r="N172" s="9"/>
      <c r="O172" s="9" t="n">
        <v>-0.16</v>
      </c>
      <c r="P172" s="9" t="n">
        <v>-0.06</v>
      </c>
      <c r="Q172" s="58" t="n">
        <f aca="false">TRIMMEAN(B172:P172,2/COUNT(B172:P172))</f>
        <v>-0.361111111111111</v>
      </c>
    </row>
    <row r="173" customFormat="false" ht="15.75" hidden="false" customHeight="true" outlineLevel="0" collapsed="false">
      <c r="A173" s="57" t="s">
        <v>316</v>
      </c>
      <c r="B173" s="9"/>
      <c r="C173" s="9" t="n">
        <v>-0.28</v>
      </c>
      <c r="D173" s="9" t="n">
        <v>0.21</v>
      </c>
      <c r="E173" s="9" t="n">
        <v>-0.04</v>
      </c>
      <c r="F173" s="9" t="n">
        <v>-0.04</v>
      </c>
      <c r="G173" s="9"/>
      <c r="H173" s="9" t="n">
        <v>0.08</v>
      </c>
      <c r="I173" s="9" t="n">
        <v>0.29</v>
      </c>
      <c r="J173" s="9"/>
      <c r="K173" s="9" t="n">
        <v>-0.71</v>
      </c>
      <c r="L173" s="9" t="n">
        <v>-0.86</v>
      </c>
      <c r="M173" s="9" t="n">
        <v>0.35</v>
      </c>
      <c r="N173" s="9" t="n">
        <v>0.42</v>
      </c>
      <c r="O173" s="9" t="n">
        <v>-1.94</v>
      </c>
      <c r="P173" s="9" t="n">
        <v>0.33</v>
      </c>
      <c r="Q173" s="58" t="n">
        <f aca="false">TRIMMEAN(B173:P173,2/COUNT(B173:P173))</f>
        <v>-0.067</v>
      </c>
    </row>
    <row r="174" customFormat="false" ht="15.75" hidden="false" customHeight="true" outlineLevel="0" collapsed="false">
      <c r="A174" s="57" t="s">
        <v>317</v>
      </c>
      <c r="B174" s="9" t="n">
        <v>0.96</v>
      </c>
      <c r="C174" s="9" t="n">
        <v>1.02</v>
      </c>
      <c r="D174" s="9" t="n">
        <v>0.3</v>
      </c>
      <c r="E174" s="9"/>
      <c r="F174" s="9" t="n">
        <v>0.25</v>
      </c>
      <c r="G174" s="9" t="n">
        <v>1.2</v>
      </c>
      <c r="H174" s="9"/>
      <c r="I174" s="9"/>
      <c r="J174" s="9" t="n">
        <v>0.18</v>
      </c>
      <c r="K174" s="9"/>
      <c r="L174" s="9" t="n">
        <v>0.29</v>
      </c>
      <c r="M174" s="9" t="n">
        <v>0.18</v>
      </c>
      <c r="N174" s="9"/>
      <c r="O174" s="9"/>
      <c r="P174" s="9"/>
      <c r="Q174" s="58" t="n">
        <f aca="false">TRIMMEAN(B174:P174,2/COUNT(B174:P174))</f>
        <v>0.5</v>
      </c>
    </row>
    <row r="175" customFormat="false" ht="15.75" hidden="false" customHeight="true" outlineLevel="0" collapsed="false">
      <c r="A175" s="57" t="s">
        <v>318</v>
      </c>
      <c r="B175" s="9"/>
      <c r="C175" s="9" t="n">
        <v>1.26</v>
      </c>
      <c r="D175" s="9" t="n">
        <v>1</v>
      </c>
      <c r="E175" s="9"/>
      <c r="F175" s="9"/>
      <c r="G175" s="9" t="n">
        <v>0.76</v>
      </c>
      <c r="H175" s="9"/>
      <c r="I175" s="9" t="n">
        <v>1.33</v>
      </c>
      <c r="J175" s="9"/>
      <c r="K175" s="9"/>
      <c r="L175" s="9" t="n">
        <v>1.5</v>
      </c>
      <c r="M175" s="9" t="n">
        <v>2.46</v>
      </c>
      <c r="N175" s="9"/>
      <c r="O175" s="9"/>
      <c r="P175" s="9"/>
      <c r="Q175" s="58" t="n">
        <f aca="false">TRIMMEAN(B175:P175,2/COUNT(B175:P175))</f>
        <v>1.2725</v>
      </c>
    </row>
    <row r="176" customFormat="false" ht="15.75" hidden="false" customHeight="true" outlineLevel="0" collapsed="false">
      <c r="A176" s="59" t="s">
        <v>319</v>
      </c>
      <c r="B176" s="9" t="n">
        <v>-0.03</v>
      </c>
      <c r="C176" s="9" t="n">
        <v>0.37</v>
      </c>
      <c r="D176" s="9" t="n">
        <v>-0.03</v>
      </c>
      <c r="E176" s="9"/>
      <c r="F176" s="9"/>
      <c r="G176" s="9" t="n">
        <v>-0.82</v>
      </c>
      <c r="H176" s="9"/>
      <c r="I176" s="9" t="n">
        <v>0.67</v>
      </c>
      <c r="J176" s="9" t="n">
        <v>0.04</v>
      </c>
      <c r="K176" s="9"/>
      <c r="L176" s="9"/>
      <c r="M176" s="9" t="n">
        <v>0.46</v>
      </c>
      <c r="N176" s="9" t="n">
        <v>0.17</v>
      </c>
      <c r="O176" s="9"/>
      <c r="P176" s="9" t="n">
        <v>0.19</v>
      </c>
      <c r="Q176" s="58" t="n">
        <f aca="false">TRIMMEAN(B176:P176,2/COUNT(B176:P176))</f>
        <v>0.167142857142857</v>
      </c>
    </row>
    <row r="177" customFormat="false" ht="15.75" hidden="false" customHeight="true" outlineLevel="0" collapsed="false">
      <c r="A177" s="57" t="s">
        <v>320</v>
      </c>
      <c r="B177" s="9"/>
      <c r="C177" s="9" t="n">
        <v>0.07</v>
      </c>
      <c r="D177" s="9"/>
      <c r="E177" s="9" t="n">
        <v>-0.56</v>
      </c>
      <c r="F177" s="9" t="n">
        <v>-0.1</v>
      </c>
      <c r="G177" s="9" t="n">
        <v>-0.39</v>
      </c>
      <c r="H177" s="9" t="n">
        <v>-1.25</v>
      </c>
      <c r="I177" s="9"/>
      <c r="J177" s="9" t="n">
        <v>0.56</v>
      </c>
      <c r="K177" s="9" t="n">
        <v>-0.02</v>
      </c>
      <c r="L177" s="9" t="n">
        <v>-0.51</v>
      </c>
      <c r="M177" s="9"/>
      <c r="N177" s="9" t="n">
        <v>-0.04</v>
      </c>
      <c r="O177" s="9" t="n">
        <v>1.05</v>
      </c>
      <c r="P177" s="9" t="n">
        <v>0.69</v>
      </c>
      <c r="Q177" s="58" t="n">
        <f aca="false">TRIMMEAN(B177:P177,2/COUNT(B177:P177))</f>
        <v>-0.0333333333333334</v>
      </c>
    </row>
    <row r="178" customFormat="false" ht="15.75" hidden="false" customHeight="true" outlineLevel="0" collapsed="false">
      <c r="A178" s="57" t="s">
        <v>321</v>
      </c>
      <c r="B178" s="9"/>
      <c r="C178" s="9" t="n">
        <v>-0.14</v>
      </c>
      <c r="D178" s="9"/>
      <c r="E178" s="9" t="n">
        <v>0.07</v>
      </c>
      <c r="F178" s="9" t="n">
        <v>0.06</v>
      </c>
      <c r="G178" s="9" t="n">
        <v>-0.41</v>
      </c>
      <c r="H178" s="9"/>
      <c r="I178" s="9"/>
      <c r="J178" s="9"/>
      <c r="K178" s="9" t="n">
        <v>-0.9</v>
      </c>
      <c r="L178" s="9" t="n">
        <v>-0.3</v>
      </c>
      <c r="M178" s="9"/>
      <c r="N178" s="9"/>
      <c r="O178" s="9"/>
      <c r="P178" s="9"/>
      <c r="Q178" s="58" t="n">
        <f aca="false">TRIMMEAN(B178:P178,2/COUNT(B178:P178))</f>
        <v>-0.1975</v>
      </c>
    </row>
    <row r="179" customFormat="false" ht="15.75" hidden="false" customHeight="true" outlineLevel="0" collapsed="false">
      <c r="A179" s="57" t="s">
        <v>322</v>
      </c>
      <c r="B179" s="9" t="n">
        <v>-0.03</v>
      </c>
      <c r="C179" s="9" t="n">
        <v>-0.94</v>
      </c>
      <c r="D179" s="9"/>
      <c r="E179" s="9"/>
      <c r="F179" s="9" t="n">
        <v>-0.66</v>
      </c>
      <c r="G179" s="9" t="n">
        <v>0.21</v>
      </c>
      <c r="H179" s="9"/>
      <c r="I179" s="9"/>
      <c r="J179" s="9" t="n">
        <v>-0.48</v>
      </c>
      <c r="K179" s="9" t="n">
        <v>0.1</v>
      </c>
      <c r="L179" s="9" t="n">
        <v>-0.06</v>
      </c>
      <c r="M179" s="9"/>
      <c r="N179" s="9"/>
      <c r="O179" s="9"/>
      <c r="P179" s="9"/>
      <c r="Q179" s="58" t="n">
        <f aca="false">TRIMMEAN(B179:P179,2/COUNT(B179:P179))</f>
        <v>-0.226</v>
      </c>
    </row>
    <row r="180" customFormat="false" ht="15" hidden="false" customHeight="true" outlineLevel="0" collapsed="false">
      <c r="A180" s="59" t="s">
        <v>323</v>
      </c>
      <c r="B180" s="9" t="n">
        <v>0.78</v>
      </c>
      <c r="C180" s="9"/>
      <c r="D180" s="9" t="n">
        <v>0.37</v>
      </c>
      <c r="E180" s="9" t="n">
        <v>1.53</v>
      </c>
      <c r="F180" s="9" t="n">
        <v>0.56</v>
      </c>
      <c r="G180" s="9"/>
      <c r="H180" s="9" t="n">
        <v>0.36</v>
      </c>
      <c r="I180" s="9" t="n">
        <v>0.85</v>
      </c>
      <c r="J180" s="9" t="n">
        <v>0.62</v>
      </c>
      <c r="K180" s="9" t="n">
        <v>0.19</v>
      </c>
      <c r="L180" s="9"/>
      <c r="M180" s="9" t="n">
        <v>0.83</v>
      </c>
      <c r="N180" s="9" t="n">
        <v>0.62</v>
      </c>
      <c r="O180" s="9"/>
      <c r="P180" s="9" t="n">
        <v>0.82</v>
      </c>
      <c r="Q180" s="58" t="n">
        <f aca="false">TRIMMEAN(B180:P180,2/COUNT(B180:P180))</f>
        <v>0.645555555555556</v>
      </c>
    </row>
    <row r="181" customFormat="false" ht="15.75" hidden="false" customHeight="true" outlineLevel="0" collapsed="false">
      <c r="A181" s="57" t="s">
        <v>324</v>
      </c>
      <c r="B181" s="9" t="n">
        <v>-0.44</v>
      </c>
      <c r="C181" s="9" t="n">
        <v>-0.42</v>
      </c>
      <c r="D181" s="9"/>
      <c r="E181" s="9"/>
      <c r="F181" s="9"/>
      <c r="G181" s="9" t="n">
        <v>0.01</v>
      </c>
      <c r="H181" s="9"/>
      <c r="I181" s="9"/>
      <c r="J181" s="9" t="n">
        <v>-0.05</v>
      </c>
      <c r="K181" s="9"/>
      <c r="L181" s="9" t="n">
        <v>0.39</v>
      </c>
      <c r="M181" s="9" t="n">
        <v>-0.27</v>
      </c>
      <c r="N181" s="9"/>
      <c r="O181" s="9"/>
      <c r="P181" s="9"/>
      <c r="Q181" s="58" t="n">
        <f aca="false">TRIMMEAN(B181:P181,2/COUNT(B181:P181))</f>
        <v>-0.1825</v>
      </c>
    </row>
    <row r="182" customFormat="false" ht="15.75" hidden="false" customHeight="true" outlineLevel="0" collapsed="false">
      <c r="A182" s="59" t="s">
        <v>325</v>
      </c>
      <c r="B182" s="9"/>
      <c r="C182" s="9" t="n">
        <v>-1.34</v>
      </c>
      <c r="D182" s="9"/>
      <c r="E182" s="9" t="n">
        <v>-1.88</v>
      </c>
      <c r="F182" s="9"/>
      <c r="G182" s="9"/>
      <c r="H182" s="9"/>
      <c r="I182" s="9" t="n">
        <v>-1.15</v>
      </c>
      <c r="J182" s="9"/>
      <c r="K182" s="9"/>
      <c r="L182" s="9"/>
      <c r="M182" s="9"/>
      <c r="N182" s="9"/>
      <c r="O182" s="9"/>
      <c r="P182" s="9"/>
      <c r="Q182" s="58" t="n">
        <f aca="false">TRIMMEAN(B182:P182,2/COUNT(B182:P182))</f>
        <v>-1.34</v>
      </c>
    </row>
    <row r="183" customFormat="false" ht="15.75" hidden="false" customHeight="true" outlineLevel="0" collapsed="false">
      <c r="A183" s="57" t="s">
        <v>326</v>
      </c>
      <c r="B183" s="9"/>
      <c r="C183" s="9" t="n">
        <v>0.53</v>
      </c>
      <c r="D183" s="9"/>
      <c r="E183" s="9" t="n">
        <v>0.46</v>
      </c>
      <c r="F183" s="9" t="n">
        <v>0.48</v>
      </c>
      <c r="G183" s="9"/>
      <c r="H183" s="9" t="n">
        <v>0.23</v>
      </c>
      <c r="I183" s="9"/>
      <c r="J183" s="9"/>
      <c r="K183" s="9" t="n">
        <v>1.1</v>
      </c>
      <c r="L183" s="9" t="n">
        <v>-0.34</v>
      </c>
      <c r="M183" s="9"/>
      <c r="N183" s="9" t="n">
        <v>-0.62</v>
      </c>
      <c r="O183" s="9"/>
      <c r="P183" s="9"/>
      <c r="Q183" s="58" t="n">
        <f aca="false">TRIMMEAN(B183:P183,2/COUNT(B183:P183))</f>
        <v>0.272</v>
      </c>
    </row>
    <row r="184" customFormat="false" ht="15.75" hidden="false" customHeight="true" outlineLevel="0" collapsed="false">
      <c r="A184" s="59" t="s">
        <v>327</v>
      </c>
      <c r="B184" s="9" t="n">
        <v>-0.11</v>
      </c>
      <c r="C184" s="9"/>
      <c r="D184" s="9" t="n">
        <v>-0.06</v>
      </c>
      <c r="E184" s="9"/>
      <c r="F184" s="9"/>
      <c r="G184" s="9"/>
      <c r="H184" s="9" t="n">
        <v>0.32</v>
      </c>
      <c r="I184" s="9" t="n">
        <v>0.81</v>
      </c>
      <c r="J184" s="9" t="n">
        <v>1.13</v>
      </c>
      <c r="K184" s="9"/>
      <c r="L184" s="9"/>
      <c r="M184" s="9" t="n">
        <v>-0.1</v>
      </c>
      <c r="N184" s="9"/>
      <c r="O184" s="9"/>
      <c r="P184" s="9"/>
      <c r="Q184" s="58" t="n">
        <f aca="false">TRIMMEAN(B184:P184,2/COUNT(B184:P184))</f>
        <v>0.2425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 t="n">
        <v>0.07</v>
      </c>
      <c r="E185" s="9" t="n">
        <v>0.69</v>
      </c>
      <c r="F185" s="9" t="n">
        <v>-0.04</v>
      </c>
      <c r="G185" s="9"/>
      <c r="H185" s="9" t="n">
        <v>0.69</v>
      </c>
      <c r="I185" s="9" t="n">
        <v>0.31</v>
      </c>
      <c r="J185" s="9"/>
      <c r="K185" s="9" t="n">
        <v>0.14</v>
      </c>
      <c r="L185" s="9" t="n">
        <v>-0.21</v>
      </c>
      <c r="M185" s="9"/>
      <c r="N185" s="9" t="n">
        <v>0.84</v>
      </c>
      <c r="O185" s="9" t="n">
        <v>-0.79</v>
      </c>
      <c r="P185" s="9" t="n">
        <v>-0.69</v>
      </c>
      <c r="Q185" s="58" t="n">
        <f aca="false">TRIMMEAN(B185:P185,2/COUNT(B185:P185))</f>
        <v>0.12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-0.99</v>
      </c>
      <c r="C187" s="9" t="n">
        <v>-0.43</v>
      </c>
      <c r="D187" s="9"/>
      <c r="E187" s="9" t="n">
        <v>-0.21</v>
      </c>
      <c r="F187" s="9" t="n">
        <v>0.04</v>
      </c>
      <c r="G187" s="9" t="n">
        <v>-0.21</v>
      </c>
      <c r="H187" s="9"/>
      <c r="I187" s="9"/>
      <c r="J187" s="9" t="n">
        <v>-0.4</v>
      </c>
      <c r="K187" s="9" t="n">
        <v>-0.95</v>
      </c>
      <c r="L187" s="9" t="n">
        <v>-0.29</v>
      </c>
      <c r="M187" s="9"/>
      <c r="N187" s="9"/>
      <c r="O187" s="9"/>
      <c r="P187" s="9"/>
      <c r="Q187" s="58" t="n">
        <f aca="false">TRIMMEAN(B187:P187,2/COUNT(B187:P187))</f>
        <v>-0.415</v>
      </c>
    </row>
    <row r="188" customFormat="false" ht="15.75" hidden="false" customHeight="true" outlineLevel="0" collapsed="false">
      <c r="A188" s="57" t="s">
        <v>331</v>
      </c>
      <c r="B188" s="9"/>
      <c r="C188" s="9" t="n">
        <v>0.13</v>
      </c>
      <c r="D188" s="9"/>
      <c r="E188" s="9" t="n">
        <v>0.33</v>
      </c>
      <c r="F188" s="9" t="n">
        <v>0.38</v>
      </c>
      <c r="G188" s="9"/>
      <c r="H188" s="9" t="n">
        <v>0.06</v>
      </c>
      <c r="I188" s="9"/>
      <c r="J188" s="9"/>
      <c r="K188" s="9" t="n">
        <v>-0.76</v>
      </c>
      <c r="L188" s="9" t="n">
        <v>0.45</v>
      </c>
      <c r="M188" s="9" t="n">
        <v>-0.08</v>
      </c>
      <c r="N188" s="9" t="n">
        <v>0.4</v>
      </c>
      <c r="O188" s="9" t="n">
        <v>0.52</v>
      </c>
      <c r="P188" s="9"/>
      <c r="Q188" s="58" t="n">
        <f aca="false">TRIMMEAN(B188:P188,2/COUNT(B188:P188))</f>
        <v>0.238571428571429</v>
      </c>
    </row>
    <row r="189" customFormat="false" ht="15.75" hidden="false" customHeight="true" outlineLevel="0" collapsed="false">
      <c r="A189" s="57" t="s">
        <v>332</v>
      </c>
      <c r="B189" s="9"/>
      <c r="C189" s="9" t="n">
        <v>0.49</v>
      </c>
      <c r="D189" s="9" t="n">
        <v>0.66</v>
      </c>
      <c r="E189" s="9" t="n">
        <v>0.48</v>
      </c>
      <c r="F189" s="9" t="n">
        <v>0.43</v>
      </c>
      <c r="G189" s="9"/>
      <c r="H189" s="9" t="n">
        <v>0.3</v>
      </c>
      <c r="I189" s="9"/>
      <c r="J189" s="9"/>
      <c r="K189" s="9" t="n">
        <v>0.37</v>
      </c>
      <c r="L189" s="9" t="n">
        <v>0.36</v>
      </c>
      <c r="M189" s="9" t="n">
        <v>1.12</v>
      </c>
      <c r="N189" s="9" t="n">
        <v>1.4</v>
      </c>
      <c r="O189" s="9" t="n">
        <v>1.42</v>
      </c>
      <c r="P189" s="9" t="n">
        <v>-0.83</v>
      </c>
      <c r="Q189" s="58" t="n">
        <f aca="false">TRIMMEAN(B189:P189,2/COUNT(B189:P189))</f>
        <v>0.623333333333333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 t="n">
        <v>1.02</v>
      </c>
      <c r="D191" s="9" t="n">
        <v>1.24</v>
      </c>
      <c r="E191" s="9"/>
      <c r="F191" s="9" t="n">
        <v>0.74</v>
      </c>
      <c r="G191" s="9" t="n">
        <v>0.59</v>
      </c>
      <c r="H191" s="9"/>
      <c r="I191" s="9" t="n">
        <v>-0.55</v>
      </c>
      <c r="J191" s="9"/>
      <c r="K191" s="9"/>
      <c r="L191" s="9"/>
      <c r="M191" s="9" t="n">
        <v>0.82</v>
      </c>
      <c r="N191" s="9"/>
      <c r="O191" s="9"/>
      <c r="P191" s="9"/>
      <c r="Q191" s="58" t="n">
        <f aca="false">TRIMMEAN(B191:P191,2/COUNT(B191:P191))</f>
        <v>0.7925</v>
      </c>
    </row>
    <row r="192" customFormat="false" ht="15.75" hidden="false" customHeight="true" outlineLevel="0" collapsed="false">
      <c r="A192" s="57" t="s">
        <v>335</v>
      </c>
      <c r="B192" s="9" t="n">
        <v>0.25</v>
      </c>
      <c r="C192" s="9" t="n">
        <v>0.4</v>
      </c>
      <c r="D192" s="9" t="n">
        <v>-0.17</v>
      </c>
      <c r="E192" s="9"/>
      <c r="F192" s="9"/>
      <c r="G192" s="9" t="n">
        <v>0.43</v>
      </c>
      <c r="H192" s="9" t="n">
        <v>0.06</v>
      </c>
      <c r="I192" s="9" t="n">
        <v>0.86</v>
      </c>
      <c r="J192" s="9" t="n">
        <v>0.05</v>
      </c>
      <c r="K192" s="9"/>
      <c r="L192" s="9" t="n">
        <v>-1.49</v>
      </c>
      <c r="M192" s="9" t="n">
        <v>0.38</v>
      </c>
      <c r="N192" s="9"/>
      <c r="O192" s="9"/>
      <c r="P192" s="9" t="n">
        <v>0.31</v>
      </c>
      <c r="Q192" s="58" t="n">
        <f aca="false">TRIMMEAN(B192:P192,2/COUNT(B192:P192))</f>
        <v>0.21375</v>
      </c>
    </row>
    <row r="193" customFormat="false" ht="15.75" hidden="false" customHeight="true" outlineLevel="0" collapsed="false">
      <c r="A193" s="57" t="s">
        <v>336</v>
      </c>
      <c r="B193" s="9" t="n">
        <v>-0.04</v>
      </c>
      <c r="C193" s="9" t="n">
        <v>-0.13</v>
      </c>
      <c r="D193" s="9"/>
      <c r="E193" s="9" t="n">
        <v>0.03</v>
      </c>
      <c r="F193" s="9"/>
      <c r="G193" s="9" t="n">
        <v>0.52</v>
      </c>
      <c r="H193" s="9"/>
      <c r="I193" s="9" t="n">
        <v>0.87</v>
      </c>
      <c r="J193" s="9" t="n">
        <v>-0.2</v>
      </c>
      <c r="K193" s="9" t="n">
        <v>0.97</v>
      </c>
      <c r="L193" s="9" t="n">
        <v>0.19</v>
      </c>
      <c r="M193" s="9" t="n">
        <v>0.49</v>
      </c>
      <c r="N193" s="9"/>
      <c r="O193" s="9"/>
      <c r="P193" s="9"/>
      <c r="Q193" s="58" t="n">
        <f aca="false">TRIMMEAN(B193:P193,2/COUNT(B193:P193))</f>
        <v>0.275714285714286</v>
      </c>
    </row>
    <row r="194" customFormat="false" ht="15.75" hidden="false" customHeight="true" outlineLevel="0" collapsed="false">
      <c r="A194" s="59" t="s">
        <v>337</v>
      </c>
      <c r="B194" s="9"/>
      <c r="C194" s="9" t="n">
        <v>-0.91</v>
      </c>
      <c r="D194" s="9"/>
      <c r="E194" s="9" t="n">
        <v>-1.41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 t="n">
        <v>0.01</v>
      </c>
      <c r="D195" s="9"/>
      <c r="E195" s="9"/>
      <c r="F195" s="9"/>
      <c r="G195" s="9"/>
      <c r="H195" s="9"/>
      <c r="I195" s="9"/>
      <c r="J195" s="9"/>
      <c r="K195" s="9" t="n">
        <v>-1.08</v>
      </c>
      <c r="L195" s="9" t="n">
        <v>-0.1</v>
      </c>
      <c r="M195" s="9" t="n">
        <v>-0.03</v>
      </c>
      <c r="N195" s="9"/>
      <c r="O195" s="9"/>
      <c r="P195" s="9"/>
      <c r="Q195" s="58" t="n">
        <f aca="false">TRIMMEAN(B195:P195,2/COUNT(B195:P195))</f>
        <v>-0.065</v>
      </c>
    </row>
    <row r="196" customFormat="false" ht="15.75" hidden="false" customHeight="true" outlineLevel="0" collapsed="false">
      <c r="A196" s="57" t="s">
        <v>339</v>
      </c>
      <c r="B196" s="9" t="n">
        <v>-0.76</v>
      </c>
      <c r="C196" s="9" t="n">
        <v>0.59</v>
      </c>
      <c r="D196" s="9" t="n">
        <v>0.29</v>
      </c>
      <c r="E196" s="9"/>
      <c r="F196" s="9" t="n">
        <v>-0.01</v>
      </c>
      <c r="G196" s="9" t="n">
        <v>1.23</v>
      </c>
      <c r="H196" s="9"/>
      <c r="I196" s="9" t="n">
        <v>0.32</v>
      </c>
      <c r="J196" s="9" t="n">
        <v>0.61</v>
      </c>
      <c r="K196" s="9" t="n">
        <v>0.28</v>
      </c>
      <c r="L196" s="9" t="n">
        <v>0.53</v>
      </c>
      <c r="M196" s="9" t="n">
        <v>0.55</v>
      </c>
      <c r="N196" s="9"/>
      <c r="O196" s="9" t="n">
        <v>-1.03</v>
      </c>
      <c r="P196" s="9" t="n">
        <v>0.42</v>
      </c>
      <c r="Q196" s="58" t="n">
        <f aca="false">TRIMMEAN(B196:P196,2/COUNT(B196:P196))</f>
        <v>0.282</v>
      </c>
    </row>
    <row r="197" customFormat="false" ht="15.75" hidden="false" customHeight="true" outlineLevel="0" collapsed="false">
      <c r="A197" s="59" t="s">
        <v>340</v>
      </c>
      <c r="B197" s="9"/>
      <c r="C197" s="9" t="n">
        <v>0.68</v>
      </c>
      <c r="D197" s="9"/>
      <c r="E197" s="9" t="n">
        <v>-1.99</v>
      </c>
      <c r="F197" s="9" t="n">
        <v>0.21</v>
      </c>
      <c r="G197" s="9"/>
      <c r="H197" s="9" t="n">
        <v>-1.83</v>
      </c>
      <c r="I197" s="9"/>
      <c r="J197" s="9"/>
      <c r="K197" s="9" t="n">
        <v>-0.31</v>
      </c>
      <c r="L197" s="9" t="n">
        <v>0.38</v>
      </c>
      <c r="M197" s="9" t="n">
        <v>1.15</v>
      </c>
      <c r="N197" s="9" t="n">
        <v>0.18</v>
      </c>
      <c r="O197" s="9" t="n">
        <v>1.69</v>
      </c>
      <c r="P197" s="9" t="n">
        <v>0.24</v>
      </c>
      <c r="Q197" s="58" t="n">
        <f aca="false">TRIMMEAN(B197:P197,2/COUNT(B197:P197))</f>
        <v>0.0875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 t="n">
        <v>0.22</v>
      </c>
      <c r="F198" s="9" t="n">
        <v>-0.22</v>
      </c>
      <c r="G198" s="9"/>
      <c r="H198" s="9" t="n">
        <v>0.24</v>
      </c>
      <c r="I198" s="9"/>
      <c r="J198" s="9"/>
      <c r="K198" s="9" t="n">
        <v>-0.87</v>
      </c>
      <c r="L198" s="9" t="n">
        <v>-1.04</v>
      </c>
      <c r="M198" s="9"/>
      <c r="N198" s="9" t="n">
        <v>-0.46</v>
      </c>
      <c r="O198" s="9" t="n">
        <v>0.19</v>
      </c>
      <c r="P198" s="9" t="n">
        <v>-0.46</v>
      </c>
      <c r="Q198" s="58" t="n">
        <f aca="false">TRIMMEAN(B198:P198,2/COUNT(B198:P198))</f>
        <v>-0.266666666666667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 t="n">
        <v>-0.02</v>
      </c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 t="n">
        <v>0.19</v>
      </c>
      <c r="D200" s="9"/>
      <c r="E200" s="9"/>
      <c r="F200" s="9" t="n">
        <v>-0.28</v>
      </c>
      <c r="G200" s="9" t="n">
        <v>0.38</v>
      </c>
      <c r="H200" s="9"/>
      <c r="I200" s="9" t="n">
        <v>0.71</v>
      </c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0.285</v>
      </c>
    </row>
    <row r="201" customFormat="false" ht="15.75" hidden="false" customHeight="true" outlineLevel="0" collapsed="false">
      <c r="A201" s="57" t="s">
        <v>344</v>
      </c>
      <c r="B201" s="9" t="n">
        <v>-1.82</v>
      </c>
      <c r="C201" s="9" t="n">
        <v>-0.43</v>
      </c>
      <c r="D201" s="9"/>
      <c r="E201" s="9" t="n">
        <v>-1.59</v>
      </c>
      <c r="F201" s="9" t="n">
        <v>-0.7</v>
      </c>
      <c r="G201" s="9" t="n">
        <v>-0.88</v>
      </c>
      <c r="H201" s="9"/>
      <c r="I201" s="9"/>
      <c r="J201" s="9" t="n">
        <v>-0.77</v>
      </c>
      <c r="K201" s="9" t="n">
        <v>-1.42</v>
      </c>
      <c r="L201" s="9" t="n">
        <v>-1.78</v>
      </c>
      <c r="M201" s="9"/>
      <c r="N201" s="9"/>
      <c r="O201" s="9"/>
      <c r="P201" s="9"/>
      <c r="Q201" s="58" t="n">
        <f aca="false">TRIMMEAN(B201:P201,2/COUNT(B201:P201))</f>
        <v>-1.19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 t="n">
        <v>-0.99</v>
      </c>
      <c r="G202" s="9"/>
      <c r="H202" s="9"/>
      <c r="I202" s="9"/>
      <c r="J202" s="9"/>
      <c r="K202" s="9"/>
      <c r="L202" s="9"/>
      <c r="M202" s="9" t="n">
        <v>-0.99</v>
      </c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-0.33</v>
      </c>
      <c r="D203" s="9" t="n">
        <v>-0.22</v>
      </c>
      <c r="E203" s="9" t="n">
        <v>-0.41</v>
      </c>
      <c r="F203" s="9" t="n">
        <v>-1.62</v>
      </c>
      <c r="G203" s="9"/>
      <c r="H203" s="9" t="n">
        <v>0.32</v>
      </c>
      <c r="I203" s="9" t="n">
        <v>-0.34</v>
      </c>
      <c r="J203" s="9"/>
      <c r="K203" s="9"/>
      <c r="L203" s="9" t="n">
        <v>-0.97</v>
      </c>
      <c r="M203" s="9" t="n">
        <v>0.07</v>
      </c>
      <c r="N203" s="9" t="n">
        <v>0.3</v>
      </c>
      <c r="O203" s="9" t="n">
        <v>-0.39</v>
      </c>
      <c r="P203" s="9" t="n">
        <v>0.72</v>
      </c>
      <c r="Q203" s="58" t="n">
        <f aca="false">TRIMMEAN(B203:P203,2/COUNT(B203:P203))</f>
        <v>-0.218888888888889</v>
      </c>
    </row>
    <row r="204" customFormat="false" ht="15.75" hidden="false" customHeight="true" outlineLevel="0" collapsed="false">
      <c r="A204" s="59" t="s">
        <v>347</v>
      </c>
      <c r="B204" s="9"/>
      <c r="C204" s="9" t="n">
        <v>-0.79</v>
      </c>
      <c r="D204" s="9"/>
      <c r="E204" s="9" t="n">
        <v>-0.14</v>
      </c>
      <c r="F204" s="9"/>
      <c r="G204" s="9"/>
      <c r="H204" s="9" t="n">
        <v>-0.12</v>
      </c>
      <c r="I204" s="9"/>
      <c r="J204" s="9"/>
      <c r="K204" s="9" t="n">
        <v>-0.29</v>
      </c>
      <c r="L204" s="9" t="n">
        <v>0.75</v>
      </c>
      <c r="M204" s="9" t="n">
        <v>-0.48</v>
      </c>
      <c r="N204" s="9" t="n">
        <v>-2.6</v>
      </c>
      <c r="O204" s="9"/>
      <c r="P204" s="9"/>
      <c r="Q204" s="58" t="n">
        <f aca="false">TRIMMEAN(B204:P204,2/COUNT(B204:P204))</f>
        <v>-0.364</v>
      </c>
    </row>
    <row r="205" customFormat="false" ht="15.75" hidden="false" customHeight="true" outlineLevel="0" collapsed="false">
      <c r="A205" s="57" t="s">
        <v>348</v>
      </c>
      <c r="B205" s="9"/>
      <c r="C205" s="9" t="n">
        <v>0.39</v>
      </c>
      <c r="D205" s="9"/>
      <c r="E205" s="9" t="n">
        <v>-0.1</v>
      </c>
      <c r="F205" s="9" t="n">
        <v>0.49</v>
      </c>
      <c r="G205" s="9"/>
      <c r="H205" s="9" t="n">
        <v>0.63</v>
      </c>
      <c r="I205" s="9"/>
      <c r="J205" s="9"/>
      <c r="K205" s="9" t="n">
        <v>0.4</v>
      </c>
      <c r="L205" s="9" t="n">
        <v>1.05</v>
      </c>
      <c r="M205" s="9"/>
      <c r="N205" s="9" t="n">
        <v>1.08</v>
      </c>
      <c r="O205" s="9" t="n">
        <v>1.32</v>
      </c>
      <c r="P205" s="9" t="n">
        <v>0.73</v>
      </c>
      <c r="Q205" s="58" t="n">
        <f aca="false">TRIMMEAN(B205:P205,2/COUNT(B205:P205))</f>
        <v>0.681428571428572</v>
      </c>
    </row>
    <row r="206" customFormat="false" ht="15.75" hidden="false" customHeight="true" outlineLevel="0" collapsed="false">
      <c r="A206" s="59" t="s">
        <v>349</v>
      </c>
      <c r="B206" s="9" t="n">
        <v>0.99</v>
      </c>
      <c r="C206" s="9" t="n">
        <v>0.15</v>
      </c>
      <c r="D206" s="9" t="n">
        <v>1.08</v>
      </c>
      <c r="E206" s="9" t="n">
        <v>-0.34</v>
      </c>
      <c r="F206" s="9"/>
      <c r="G206" s="9" t="n">
        <v>0.01</v>
      </c>
      <c r="H206" s="9" t="n">
        <v>1.34</v>
      </c>
      <c r="I206" s="9"/>
      <c r="J206" s="9" t="n">
        <v>0.01</v>
      </c>
      <c r="K206" s="9" t="n">
        <v>-1.42</v>
      </c>
      <c r="L206" s="9" t="n">
        <v>0.77</v>
      </c>
      <c r="M206" s="9" t="n">
        <v>-0.22</v>
      </c>
      <c r="N206" s="9" t="n">
        <v>-0.98</v>
      </c>
      <c r="O206" s="9" t="n">
        <v>-0.14</v>
      </c>
      <c r="P206" s="9" t="n">
        <v>0.97</v>
      </c>
      <c r="Q206" s="58" t="n">
        <f aca="false">TRIMMEAN(B206:P206,2/COUNT(B206:P206))</f>
        <v>0.209090909090909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 t="n">
        <v>-0.72</v>
      </c>
      <c r="E207" s="9"/>
      <c r="F207" s="9"/>
      <c r="G207" s="9"/>
      <c r="H207" s="9"/>
      <c r="I207" s="9"/>
      <c r="J207" s="9"/>
      <c r="K207" s="9" t="n">
        <v>0.87</v>
      </c>
      <c r="L207" s="9" t="n">
        <v>0.48</v>
      </c>
      <c r="M207" s="9" t="n">
        <v>0.7</v>
      </c>
      <c r="N207" s="9"/>
      <c r="O207" s="9" t="n">
        <v>1.49</v>
      </c>
      <c r="P207" s="9" t="n">
        <v>0.44</v>
      </c>
      <c r="Q207" s="58" t="n">
        <f aca="false">TRIMMEAN(B207:P207,2/COUNT(B207:P207))</f>
        <v>0.6225</v>
      </c>
    </row>
    <row r="208" customFormat="false" ht="15.75" hidden="false" customHeight="true" outlineLevel="0" collapsed="false">
      <c r="A208" s="57" t="s">
        <v>351</v>
      </c>
      <c r="B208" s="9"/>
      <c r="C208" s="9" t="n">
        <v>-0.16</v>
      </c>
      <c r="D208" s="9"/>
      <c r="E208" s="9" t="n">
        <v>1.51</v>
      </c>
      <c r="F208" s="9" t="n">
        <v>0.44</v>
      </c>
      <c r="G208" s="9" t="n">
        <v>0.72</v>
      </c>
      <c r="H208" s="9"/>
      <c r="I208" s="9"/>
      <c r="J208" s="9"/>
      <c r="K208" s="9" t="n">
        <v>0.52</v>
      </c>
      <c r="L208" s="9" t="n">
        <v>0.56</v>
      </c>
      <c r="M208" s="9" t="n">
        <v>0.5</v>
      </c>
      <c r="N208" s="9"/>
      <c r="O208" s="9"/>
      <c r="P208" s="9"/>
      <c r="Q208" s="58" t="n">
        <f aca="false">TRIMMEAN(B208:P208,2/COUNT(B208:P208))</f>
        <v>0.548</v>
      </c>
    </row>
    <row r="209" customFormat="false" ht="15.75" hidden="false" customHeight="true" outlineLevel="0" collapsed="false">
      <c r="A209" s="59" t="s">
        <v>352</v>
      </c>
      <c r="B209" s="9"/>
      <c r="C209" s="9" t="n">
        <v>-0.58</v>
      </c>
      <c r="D209" s="9"/>
      <c r="E209" s="9" t="n">
        <v>-0.27</v>
      </c>
      <c r="F209" s="9" t="n">
        <v>-0.33</v>
      </c>
      <c r="G209" s="9"/>
      <c r="H209" s="9" t="n">
        <v>-0.96</v>
      </c>
      <c r="I209" s="9"/>
      <c r="J209" s="9"/>
      <c r="K209" s="9" t="n">
        <v>-0.51</v>
      </c>
      <c r="L209" s="9" t="n">
        <v>-0.26</v>
      </c>
      <c r="M209" s="9" t="n">
        <v>-0.72</v>
      </c>
      <c r="N209" s="9" t="n">
        <v>0.33</v>
      </c>
      <c r="O209" s="9"/>
      <c r="P209" s="9"/>
      <c r="Q209" s="58" t="n">
        <f aca="false">TRIMMEAN(B209:P209,2/COUNT(B209:P209))</f>
        <v>-0.445</v>
      </c>
    </row>
    <row r="210" customFormat="false" ht="15.75" hidden="false" customHeight="true" outlineLevel="0" collapsed="false">
      <c r="A210" s="59" t="s">
        <v>353</v>
      </c>
      <c r="B210" s="9"/>
      <c r="C210" s="9" t="n">
        <v>-0.83</v>
      </c>
      <c r="D210" s="9"/>
      <c r="E210" s="9" t="n">
        <v>-1.87</v>
      </c>
      <c r="F210" s="9" t="n">
        <v>-0.16</v>
      </c>
      <c r="G210" s="9"/>
      <c r="H210" s="9" t="n">
        <v>0.2</v>
      </c>
      <c r="I210" s="9" t="n">
        <v>-0.29</v>
      </c>
      <c r="J210" s="9"/>
      <c r="K210" s="9" t="n">
        <v>-0.33</v>
      </c>
      <c r="L210" s="9" t="n">
        <v>0.28</v>
      </c>
      <c r="M210" s="9"/>
      <c r="N210" s="9" t="n">
        <v>0.1</v>
      </c>
      <c r="O210" s="9" t="n">
        <v>0.18</v>
      </c>
      <c r="P210" s="9" t="n">
        <v>0.5</v>
      </c>
      <c r="Q210" s="58" t="n">
        <f aca="false">TRIMMEAN(B210:P210,2/COUNT(B210:P210))</f>
        <v>-0.10625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 t="n">
        <v>0.38</v>
      </c>
      <c r="F211" s="9"/>
      <c r="G211" s="9"/>
      <c r="H211" s="9"/>
      <c r="I211" s="9"/>
      <c r="J211" s="9"/>
      <c r="K211" s="9"/>
      <c r="L211" s="9" t="n">
        <v>0.32</v>
      </c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0.93</v>
      </c>
      <c r="C212" s="9" t="n">
        <v>0.13</v>
      </c>
      <c r="D212" s="9" t="n">
        <v>1.19</v>
      </c>
      <c r="E212" s="9"/>
      <c r="F212" s="9" t="n">
        <v>0.04</v>
      </c>
      <c r="G212" s="9" t="n">
        <v>-0.18</v>
      </c>
      <c r="H212" s="9"/>
      <c r="I212" s="9" t="n">
        <v>0.85</v>
      </c>
      <c r="J212" s="9" t="n">
        <v>0.08</v>
      </c>
      <c r="K212" s="9" t="n">
        <v>0.61</v>
      </c>
      <c r="L212" s="9"/>
      <c r="M212" s="9" t="n">
        <v>-0.43</v>
      </c>
      <c r="N212" s="9"/>
      <c r="O212" s="9"/>
      <c r="P212" s="9" t="n">
        <v>0.68</v>
      </c>
      <c r="Q212" s="58" t="n">
        <f aca="false">TRIMMEAN(B212:P212,2/COUNT(B212:P212))</f>
        <v>0.3925</v>
      </c>
    </row>
    <row r="213" customFormat="false" ht="15.75" hidden="false" customHeight="true" outlineLevel="0" collapsed="false">
      <c r="A213" s="57" t="s">
        <v>356</v>
      </c>
      <c r="B213" s="9" t="n">
        <v>0.46</v>
      </c>
      <c r="C213" s="9" t="n">
        <v>1.14</v>
      </c>
      <c r="D213" s="9" t="n">
        <v>0.67</v>
      </c>
      <c r="E213" s="9"/>
      <c r="F213" s="9"/>
      <c r="G213" s="9"/>
      <c r="H213" s="9" t="n">
        <v>0.12</v>
      </c>
      <c r="I213" s="9"/>
      <c r="J213" s="9"/>
      <c r="K213" s="9" t="n">
        <v>0.72</v>
      </c>
      <c r="L213" s="9" t="n">
        <v>0.03</v>
      </c>
      <c r="M213" s="9" t="n">
        <v>1.03</v>
      </c>
      <c r="N213" s="9" t="n">
        <v>-0.5</v>
      </c>
      <c r="O213" s="9" t="n">
        <v>0</v>
      </c>
      <c r="P213" s="9" t="n">
        <v>0.46</v>
      </c>
      <c r="Q213" s="58" t="n">
        <f aca="false">TRIMMEAN(B213:P213,2/COUNT(B213:P213))</f>
        <v>0.43625</v>
      </c>
    </row>
    <row r="214" customFormat="false" ht="15.75" hidden="false" customHeight="true" outlineLevel="0" collapsed="false">
      <c r="A214" s="59" t="s">
        <v>357</v>
      </c>
      <c r="B214" s="9"/>
      <c r="C214" s="9" t="n">
        <v>-0.21</v>
      </c>
      <c r="D214" s="9"/>
      <c r="E214" s="9" t="n">
        <v>-0.25</v>
      </c>
      <c r="F214" s="9" t="n">
        <v>-0.03</v>
      </c>
      <c r="G214" s="9"/>
      <c r="H214" s="9" t="n">
        <v>-0.18</v>
      </c>
      <c r="I214" s="9"/>
      <c r="J214" s="9"/>
      <c r="K214" s="9" t="n">
        <v>-3.99</v>
      </c>
      <c r="L214" s="9"/>
      <c r="M214" s="9" t="n">
        <v>0.21</v>
      </c>
      <c r="N214" s="9" t="n">
        <v>-0.6</v>
      </c>
      <c r="O214" s="9" t="n">
        <v>-0.95</v>
      </c>
      <c r="P214" s="9" t="n">
        <v>-0.8</v>
      </c>
      <c r="Q214" s="58" t="n">
        <f aca="false">TRIMMEAN(B214:P214,2/COUNT(B214:P214))</f>
        <v>-0.431428571428571</v>
      </c>
    </row>
    <row r="215" customFormat="false" ht="15.75" hidden="false" customHeight="true" outlineLevel="0" collapsed="false">
      <c r="A215" s="57" t="s">
        <v>358</v>
      </c>
      <c r="B215" s="9" t="n">
        <v>-0.94</v>
      </c>
      <c r="C215" s="9" t="n">
        <v>-0.28</v>
      </c>
      <c r="D215" s="9"/>
      <c r="E215" s="9" t="n">
        <v>-1.28</v>
      </c>
      <c r="F215" s="9" t="n">
        <v>-1.15</v>
      </c>
      <c r="G215" s="9" t="n">
        <v>-0.89</v>
      </c>
      <c r="H215" s="9"/>
      <c r="I215" s="9"/>
      <c r="J215" s="9" t="n">
        <v>-0.26</v>
      </c>
      <c r="K215" s="9" t="n">
        <v>-0.25</v>
      </c>
      <c r="L215" s="9" t="n">
        <v>-1.18</v>
      </c>
      <c r="M215" s="9"/>
      <c r="N215" s="9"/>
      <c r="O215" s="9"/>
      <c r="P215" s="9"/>
      <c r="Q215" s="58" t="n">
        <f aca="false">TRIMMEAN(B215:P215,2/COUNT(B215:P215))</f>
        <v>-0.783333333333333</v>
      </c>
    </row>
    <row r="216" customFormat="false" ht="15.75" hidden="false" customHeight="true" outlineLevel="0" collapsed="false">
      <c r="A216" s="57" t="s">
        <v>359</v>
      </c>
      <c r="B216" s="9" t="n">
        <v>0.8</v>
      </c>
      <c r="C216" s="9" t="n">
        <v>0.36</v>
      </c>
      <c r="D216" s="9" t="n">
        <v>0.51</v>
      </c>
      <c r="E216" s="9"/>
      <c r="F216" s="9" t="n">
        <v>0.01</v>
      </c>
      <c r="G216" s="9" t="n">
        <v>0.85</v>
      </c>
      <c r="H216" s="9"/>
      <c r="I216" s="9" t="n">
        <v>0.62</v>
      </c>
      <c r="J216" s="9" t="n">
        <v>0.82</v>
      </c>
      <c r="K216" s="9"/>
      <c r="L216" s="9" t="n">
        <v>-0.64</v>
      </c>
      <c r="M216" s="9" t="n">
        <v>-1.46</v>
      </c>
      <c r="N216" s="9"/>
      <c r="O216" s="9"/>
      <c r="P216" s="9"/>
      <c r="Q216" s="58" t="n">
        <f aca="false">TRIMMEAN(B216:P216,2/COUNT(B216:P216))</f>
        <v>0.354285714285714</v>
      </c>
    </row>
    <row r="217" customFormat="false" ht="15.75" hidden="false" customHeight="true" outlineLevel="0" collapsed="false">
      <c r="A217" s="57" t="s">
        <v>360</v>
      </c>
      <c r="B217" s="9" t="n">
        <v>-0.71</v>
      </c>
      <c r="C217" s="9" t="n">
        <v>0.03</v>
      </c>
      <c r="D217" s="9" t="n">
        <v>-0.49</v>
      </c>
      <c r="E217" s="9"/>
      <c r="F217" s="9" t="n">
        <v>-1.13</v>
      </c>
      <c r="G217" s="9"/>
      <c r="H217" s="9" t="n">
        <v>-0.32</v>
      </c>
      <c r="I217" s="9" t="n">
        <v>-0.9</v>
      </c>
      <c r="J217" s="9"/>
      <c r="K217" s="9" t="n">
        <v>-1.48</v>
      </c>
      <c r="L217" s="9" t="n">
        <v>-0.52</v>
      </c>
      <c r="M217" s="9"/>
      <c r="N217" s="9" t="n">
        <v>-1.37</v>
      </c>
      <c r="O217" s="9" t="n">
        <v>-0.99</v>
      </c>
      <c r="P217" s="9" t="n">
        <v>-1.24</v>
      </c>
      <c r="Q217" s="58" t="n">
        <f aca="false">TRIMMEAN(B217:P217,2/COUNT(B217:P217))</f>
        <v>-0.852222222222222</v>
      </c>
    </row>
    <row r="218" customFormat="false" ht="15.75" hidden="false" customHeight="true" outlineLevel="0" collapsed="false">
      <c r="A218" s="57" t="s">
        <v>361</v>
      </c>
      <c r="B218" s="9"/>
      <c r="C218" s="9" t="n">
        <v>0.1</v>
      </c>
      <c r="D218" s="9" t="n">
        <v>1.09</v>
      </c>
      <c r="E218" s="9"/>
      <c r="F218" s="9" t="n">
        <v>0.58</v>
      </c>
      <c r="G218" s="9" t="n">
        <v>0.17</v>
      </c>
      <c r="H218" s="9"/>
      <c r="I218" s="9" t="n">
        <v>1.44</v>
      </c>
      <c r="J218" s="9"/>
      <c r="K218" s="9"/>
      <c r="L218" s="9" t="n">
        <v>1.21</v>
      </c>
      <c r="M218" s="9" t="n">
        <v>0.29</v>
      </c>
      <c r="N218" s="9"/>
      <c r="O218" s="9"/>
      <c r="P218" s="9"/>
      <c r="Q218" s="58" t="n">
        <f aca="false">TRIMMEAN(B218:P218,2/COUNT(B218:P218))</f>
        <v>0.668</v>
      </c>
    </row>
    <row r="219" customFormat="false" ht="15.75" hidden="false" customHeight="true" outlineLevel="0" collapsed="false">
      <c r="A219" s="57" t="s">
        <v>362</v>
      </c>
      <c r="B219" s="9"/>
      <c r="C219" s="9" t="n">
        <v>0.39</v>
      </c>
      <c r="D219" s="9" t="n">
        <v>0.32</v>
      </c>
      <c r="E219" s="9"/>
      <c r="F219" s="9"/>
      <c r="G219" s="9" t="n">
        <v>0.52</v>
      </c>
      <c r="H219" s="9" t="n">
        <v>1.12</v>
      </c>
      <c r="I219" s="9" t="n">
        <v>0.47</v>
      </c>
      <c r="J219" s="9" t="n">
        <v>0.56</v>
      </c>
      <c r="K219" s="9"/>
      <c r="L219" s="9" t="n">
        <v>0.02</v>
      </c>
      <c r="M219" s="9" t="n">
        <v>0.23</v>
      </c>
      <c r="N219" s="9"/>
      <c r="O219" s="9"/>
      <c r="P219" s="9" t="n">
        <v>-0.22</v>
      </c>
      <c r="Q219" s="58" t="n">
        <f aca="false">TRIMMEAN(B219:P219,2/COUNT(B219:P219))</f>
        <v>0.358571428571429</v>
      </c>
    </row>
    <row r="220" customFormat="false" ht="15.75" hidden="false" customHeight="true" outlineLevel="0" collapsed="false">
      <c r="A220" s="59" t="s">
        <v>363</v>
      </c>
      <c r="B220" s="9"/>
      <c r="C220" s="9" t="n">
        <v>0.17</v>
      </c>
      <c r="D220" s="9"/>
      <c r="E220" s="9" t="n">
        <v>-0.44</v>
      </c>
      <c r="F220" s="9" t="n">
        <v>-0.52</v>
      </c>
      <c r="G220" s="9"/>
      <c r="H220" s="9" t="n">
        <v>0.76</v>
      </c>
      <c r="I220" s="9"/>
      <c r="J220" s="9"/>
      <c r="K220" s="9" t="n">
        <v>-0.89</v>
      </c>
      <c r="L220" s="9" t="n">
        <v>0.13</v>
      </c>
      <c r="M220" s="9" t="n">
        <v>0.03</v>
      </c>
      <c r="N220" s="9" t="n">
        <v>-0.26</v>
      </c>
      <c r="O220" s="9" t="n">
        <v>-0.97</v>
      </c>
      <c r="P220" s="9" t="n">
        <v>-0.51</v>
      </c>
      <c r="Q220" s="58" t="n">
        <f aca="false">TRIMMEAN(B220:P220,2/COUNT(B220:P220))</f>
        <v>-0.28625</v>
      </c>
    </row>
    <row r="221" customFormat="false" ht="15.75" hidden="false" customHeight="true" outlineLevel="0" collapsed="false">
      <c r="A221" s="57" t="s">
        <v>364</v>
      </c>
      <c r="B221" s="9" t="n">
        <v>-0.49</v>
      </c>
      <c r="C221" s="9" t="n">
        <v>-0.34</v>
      </c>
      <c r="D221" s="9"/>
      <c r="E221" s="9" t="n">
        <v>0.43</v>
      </c>
      <c r="F221" s="9" t="n">
        <v>1</v>
      </c>
      <c r="G221" s="9" t="n">
        <v>0.23</v>
      </c>
      <c r="H221" s="9"/>
      <c r="I221" s="9"/>
      <c r="J221" s="9" t="n">
        <v>0.52</v>
      </c>
      <c r="K221" s="9" t="n">
        <v>0.33</v>
      </c>
      <c r="L221" s="9" t="n">
        <v>-0.58</v>
      </c>
      <c r="M221" s="9" t="n">
        <v>0.13</v>
      </c>
      <c r="N221" s="9"/>
      <c r="O221" s="9"/>
      <c r="P221" s="9"/>
      <c r="Q221" s="58" t="n">
        <f aca="false">TRIMMEAN(B221:P221,2/COUNT(B221:P221))</f>
        <v>0.115714285714286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 t="n">
        <v>-0.58</v>
      </c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-0.12</v>
      </c>
      <c r="E223" s="9"/>
      <c r="F223" s="9"/>
      <c r="G223" s="9"/>
      <c r="H223" s="9"/>
      <c r="I223" s="9" t="n">
        <v>-0.81</v>
      </c>
      <c r="J223" s="9" t="n">
        <v>-0.32</v>
      </c>
      <c r="K223" s="9" t="n">
        <v>-0.66</v>
      </c>
      <c r="L223" s="9" t="n">
        <v>-0.24</v>
      </c>
      <c r="M223" s="9" t="n">
        <v>0.09</v>
      </c>
      <c r="N223" s="9"/>
      <c r="O223" s="9"/>
      <c r="P223" s="9"/>
      <c r="Q223" s="58" t="n">
        <f aca="false">TRIMMEAN(B223:P223,2/COUNT(B223:P223))</f>
        <v>-0.335</v>
      </c>
    </row>
    <row r="224" customFormat="false" ht="15.75" hidden="false" customHeight="true" outlineLevel="0" collapsed="false">
      <c r="A224" s="57" t="s">
        <v>367</v>
      </c>
      <c r="B224" s="9" t="n">
        <v>0.54</v>
      </c>
      <c r="C224" s="9" t="n">
        <v>1.05</v>
      </c>
      <c r="D224" s="9" t="n">
        <v>0.77</v>
      </c>
      <c r="E224" s="9"/>
      <c r="F224" s="9"/>
      <c r="G224" s="9" t="n">
        <v>0.54</v>
      </c>
      <c r="H224" s="9" t="n">
        <v>0.74</v>
      </c>
      <c r="I224" s="9" t="n">
        <v>0.73</v>
      </c>
      <c r="J224" s="9" t="n">
        <v>0.67</v>
      </c>
      <c r="K224" s="9"/>
      <c r="L224" s="9" t="n">
        <v>0.49</v>
      </c>
      <c r="M224" s="9" t="n">
        <v>1.01</v>
      </c>
      <c r="N224" s="9"/>
      <c r="O224" s="9"/>
      <c r="P224" s="9"/>
      <c r="Q224" s="58" t="n">
        <f aca="false">TRIMMEAN(B224:P224,2/COUNT(B224:P224))</f>
        <v>0.714285714285714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-0.79</v>
      </c>
      <c r="D226" s="9" t="n">
        <v>-0.35</v>
      </c>
      <c r="E226" s="9" t="n">
        <v>0.56</v>
      </c>
      <c r="F226" s="9" t="n">
        <v>-1.56</v>
      </c>
      <c r="G226" s="9"/>
      <c r="H226" s="9" t="n">
        <v>-0.22</v>
      </c>
      <c r="I226" s="9"/>
      <c r="J226" s="9"/>
      <c r="K226" s="9" t="n">
        <v>-0.96</v>
      </c>
      <c r="L226" s="9" t="n">
        <v>-1.03</v>
      </c>
      <c r="M226" s="9" t="n">
        <v>0.03</v>
      </c>
      <c r="N226" s="9" t="n">
        <v>1.05</v>
      </c>
      <c r="O226" s="9" t="n">
        <v>-0.17</v>
      </c>
      <c r="P226" s="9" t="n">
        <v>-0.6</v>
      </c>
      <c r="Q226" s="58" t="n">
        <f aca="false">TRIMMEAN(B226:P226,2/COUNT(B226:P226))</f>
        <v>-0.392222222222222</v>
      </c>
    </row>
    <row r="227" customFormat="false" ht="15.75" hidden="false" customHeight="true" outlineLevel="0" collapsed="false">
      <c r="A227" s="59" t="s">
        <v>370</v>
      </c>
      <c r="B227" s="9" t="n">
        <v>0.08</v>
      </c>
      <c r="C227" s="9" t="n">
        <v>0.14</v>
      </c>
      <c r="D227" s="9" t="n">
        <v>-0.06</v>
      </c>
      <c r="E227" s="9" t="n">
        <v>0.29</v>
      </c>
      <c r="F227" s="9" t="n">
        <v>0.35</v>
      </c>
      <c r="G227" s="9" t="n">
        <v>-1.43</v>
      </c>
      <c r="H227" s="9"/>
      <c r="I227" s="9" t="n">
        <v>-0.15</v>
      </c>
      <c r="J227" s="9"/>
      <c r="K227" s="9" t="n">
        <v>-0.16</v>
      </c>
      <c r="L227" s="9"/>
      <c r="M227" s="9"/>
      <c r="N227" s="9" t="n">
        <v>-0.03</v>
      </c>
      <c r="O227" s="9" t="n">
        <v>-2.92</v>
      </c>
      <c r="P227" s="9" t="n">
        <v>-1.1</v>
      </c>
      <c r="Q227" s="58" t="n">
        <f aca="false">TRIMMEAN(B227:P227,2/COUNT(B227:P227))</f>
        <v>-0.268888888888889</v>
      </c>
    </row>
    <row r="228" customFormat="false" ht="15.75" hidden="false" customHeight="true" outlineLevel="0" collapsed="false">
      <c r="A228" s="57" t="s">
        <v>371</v>
      </c>
      <c r="B228" s="9" t="n">
        <v>-0.04</v>
      </c>
      <c r="C228" s="9" t="n">
        <v>-0.04</v>
      </c>
      <c r="D228" s="9"/>
      <c r="E228" s="9" t="n">
        <v>-1.41</v>
      </c>
      <c r="F228" s="9" t="n">
        <v>-0.48</v>
      </c>
      <c r="G228" s="9" t="n">
        <v>-1.02</v>
      </c>
      <c r="H228" s="9"/>
      <c r="I228" s="9"/>
      <c r="J228" s="9" t="n">
        <v>-0.52</v>
      </c>
      <c r="K228" s="9" t="n">
        <v>-0.26</v>
      </c>
      <c r="L228" s="9" t="n">
        <v>-0.55</v>
      </c>
      <c r="M228" s="9"/>
      <c r="N228" s="9"/>
      <c r="O228" s="9"/>
      <c r="P228" s="9"/>
      <c r="Q228" s="58" t="n">
        <f aca="false">TRIMMEAN(B228:P228,2/COUNT(B228:P228))</f>
        <v>-0.478333333333333</v>
      </c>
    </row>
    <row r="229" customFormat="false" ht="15.75" hidden="false" customHeight="true" outlineLevel="0" collapsed="false">
      <c r="A229" s="59" t="s">
        <v>372</v>
      </c>
      <c r="B229" s="9" t="n">
        <v>0.2</v>
      </c>
      <c r="C229" s="9" t="n">
        <v>0.43</v>
      </c>
      <c r="D229" s="9" t="n">
        <v>-0.6</v>
      </c>
      <c r="E229" s="9"/>
      <c r="F229" s="9"/>
      <c r="G229" s="9" t="n">
        <v>1.01</v>
      </c>
      <c r="H229" s="9" t="n">
        <v>0.59</v>
      </c>
      <c r="I229" s="9" t="n">
        <v>0.47</v>
      </c>
      <c r="J229" s="9" t="n">
        <v>-0.08</v>
      </c>
      <c r="K229" s="9"/>
      <c r="L229" s="9"/>
      <c r="M229" s="9" t="n">
        <v>0.21</v>
      </c>
      <c r="N229" s="9"/>
      <c r="O229" s="9"/>
      <c r="P229" s="9"/>
      <c r="Q229" s="58" t="n">
        <f aca="false">TRIMMEAN(B229:P229,2/COUNT(B229:P229))</f>
        <v>0.303333333333333</v>
      </c>
    </row>
    <row r="230" customFormat="false" ht="15.75" hidden="false" customHeight="true" outlineLevel="0" collapsed="false">
      <c r="A230" s="59" t="s">
        <v>373</v>
      </c>
      <c r="B230" s="9"/>
      <c r="C230" s="9" t="n">
        <v>-0.26</v>
      </c>
      <c r="D230" s="9"/>
      <c r="E230" s="9"/>
      <c r="F230" s="9"/>
      <c r="G230" s="9"/>
      <c r="H230" s="9"/>
      <c r="I230" s="9"/>
      <c r="J230" s="9"/>
      <c r="K230" s="9"/>
      <c r="L230" s="9" t="n">
        <v>0.87</v>
      </c>
      <c r="M230" s="9" t="n">
        <v>-0.25</v>
      </c>
      <c r="N230" s="9"/>
      <c r="O230" s="9"/>
      <c r="P230" s="9"/>
      <c r="Q230" s="58" t="n">
        <f aca="false">TRIMMEAN(B230:P230,2/COUNT(B230:P230))</f>
        <v>-0.25</v>
      </c>
    </row>
    <row r="231" customFormat="false" ht="15.75" hidden="false" customHeight="true" outlineLevel="0" collapsed="false">
      <c r="A231" s="57" t="s">
        <v>374</v>
      </c>
      <c r="B231" s="9"/>
      <c r="C231" s="9" t="n">
        <v>0.09</v>
      </c>
      <c r="D231" s="9"/>
      <c r="E231" s="9" t="n">
        <v>-0.94</v>
      </c>
      <c r="F231" s="9" t="n">
        <v>-0.73</v>
      </c>
      <c r="G231" s="9"/>
      <c r="H231" s="9" t="n">
        <v>-0.91</v>
      </c>
      <c r="I231" s="9" t="n">
        <v>0.33</v>
      </c>
      <c r="J231" s="9"/>
      <c r="K231" s="9" t="n">
        <v>1.05</v>
      </c>
      <c r="L231" s="9" t="n">
        <v>0.45</v>
      </c>
      <c r="M231" s="9" t="n">
        <v>0.72</v>
      </c>
      <c r="N231" s="9" t="n">
        <v>0.28</v>
      </c>
      <c r="O231" s="9" t="n">
        <v>0.6</v>
      </c>
      <c r="P231" s="9" t="n">
        <v>0.7</v>
      </c>
      <c r="Q231" s="58" t="n">
        <f aca="false">TRIMMEAN(B231:P231,2/COUNT(B231:P231))</f>
        <v>0.17</v>
      </c>
    </row>
    <row r="232" customFormat="false" ht="15.75" hidden="false" customHeight="true" outlineLevel="0" collapsed="false">
      <c r="A232" s="57" t="s">
        <v>375</v>
      </c>
      <c r="B232" s="9" t="n">
        <v>-0.46</v>
      </c>
      <c r="C232" s="9" t="n">
        <v>0.2</v>
      </c>
      <c r="D232" s="9"/>
      <c r="E232" s="9"/>
      <c r="F232" s="9" t="n">
        <v>0.67</v>
      </c>
      <c r="G232" s="9" t="n">
        <v>-0.77</v>
      </c>
      <c r="H232" s="9"/>
      <c r="I232" s="9"/>
      <c r="J232" s="9" t="n">
        <v>-0.22</v>
      </c>
      <c r="K232" s="9"/>
      <c r="L232" s="9" t="n">
        <v>1.25</v>
      </c>
      <c r="M232" s="9" t="n">
        <v>-0.45</v>
      </c>
      <c r="N232" s="9"/>
      <c r="O232" s="9"/>
      <c r="P232" s="9"/>
      <c r="Q232" s="58" t="n">
        <f aca="false">TRIMMEAN(B232:P232,2/COUNT(B232:P232))</f>
        <v>-0.052</v>
      </c>
    </row>
    <row r="233" customFormat="false" ht="15.75" hidden="false" customHeight="true" outlineLevel="0" collapsed="false">
      <c r="A233" s="59" t="s">
        <v>376</v>
      </c>
      <c r="B233" s="9"/>
      <c r="C233" s="9" t="n">
        <v>0.15</v>
      </c>
      <c r="D233" s="9"/>
      <c r="E233" s="9" t="n">
        <v>0.3</v>
      </c>
      <c r="F233" s="9" t="n">
        <v>0.14</v>
      </c>
      <c r="G233" s="9"/>
      <c r="H233" s="9" t="n">
        <v>0.69</v>
      </c>
      <c r="I233" s="9" t="n">
        <v>1.05</v>
      </c>
      <c r="J233" s="9"/>
      <c r="K233" s="9" t="n">
        <v>0.13</v>
      </c>
      <c r="L233" s="9" t="n">
        <v>0.84</v>
      </c>
      <c r="M233" s="9" t="n">
        <v>0.44</v>
      </c>
      <c r="N233" s="9" t="n">
        <v>0.79</v>
      </c>
      <c r="O233" s="9" t="n">
        <v>-0.4</v>
      </c>
      <c r="P233" s="9" t="n">
        <v>-0.06</v>
      </c>
      <c r="Q233" s="58" t="n">
        <f aca="false">TRIMMEAN(B233:P233,2/COUNT(B233:P233))</f>
        <v>0.38</v>
      </c>
    </row>
    <row r="234" customFormat="false" ht="15.75" hidden="false" customHeight="true" outlineLevel="0" collapsed="false">
      <c r="A234" s="59" t="s">
        <v>377</v>
      </c>
      <c r="B234" s="9"/>
      <c r="C234" s="9" t="n">
        <v>-0.05</v>
      </c>
      <c r="D234" s="9"/>
      <c r="E234" s="9" t="n">
        <v>-0.01</v>
      </c>
      <c r="F234" s="9" t="n">
        <v>-2.08</v>
      </c>
      <c r="G234" s="9"/>
      <c r="H234" s="9" t="n">
        <v>-0.18</v>
      </c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-0.115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-0.08</v>
      </c>
      <c r="E235" s="9" t="n">
        <v>0.27</v>
      </c>
      <c r="F235" s="9" t="n">
        <v>-0.15</v>
      </c>
      <c r="G235" s="9"/>
      <c r="H235" s="9"/>
      <c r="I235" s="9" t="n">
        <v>0.22</v>
      </c>
      <c r="J235" s="9"/>
      <c r="K235" s="9"/>
      <c r="L235" s="9" t="n">
        <v>0.47</v>
      </c>
      <c r="M235" s="9" t="n">
        <v>-3</v>
      </c>
      <c r="N235" s="9"/>
      <c r="O235" s="9" t="n">
        <v>-0.83</v>
      </c>
      <c r="P235" s="9" t="n">
        <v>-1.14</v>
      </c>
      <c r="Q235" s="58" t="n">
        <f aca="false">TRIMMEAN(B235:P235,2/COUNT(B235:P235))</f>
        <v>-0.285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 t="n">
        <v>-0.05</v>
      </c>
      <c r="D237" s="9"/>
      <c r="E237" s="9" t="n">
        <v>-0.76</v>
      </c>
      <c r="F237" s="9"/>
      <c r="G237" s="9"/>
      <c r="H237" s="9"/>
      <c r="I237" s="9"/>
      <c r="J237" s="9"/>
      <c r="K237" s="9" t="n">
        <v>-0.26</v>
      </c>
      <c r="L237" s="9" t="n">
        <v>0.34</v>
      </c>
      <c r="M237" s="9" t="n">
        <v>0.65</v>
      </c>
      <c r="N237" s="9" t="n">
        <v>1.84</v>
      </c>
      <c r="O237" s="9" t="n">
        <v>0.48</v>
      </c>
      <c r="P237" s="9" t="n">
        <v>0.65</v>
      </c>
      <c r="Q237" s="58" t="n">
        <f aca="false">TRIMMEAN(B237:P237,2/COUNT(B237:P237))</f>
        <v>0.301666666666667</v>
      </c>
    </row>
    <row r="238" customFormat="false" ht="15.75" hidden="false" customHeight="true" outlineLevel="0" collapsed="false">
      <c r="A238" s="57" t="s">
        <v>381</v>
      </c>
      <c r="B238" s="9" t="n">
        <v>0.42</v>
      </c>
      <c r="C238" s="9" t="n">
        <v>0.48</v>
      </c>
      <c r="D238" s="9" t="n">
        <v>-0.05</v>
      </c>
      <c r="E238" s="9" t="n">
        <v>-0.06</v>
      </c>
      <c r="F238" s="9"/>
      <c r="G238" s="9" t="n">
        <v>1.1</v>
      </c>
      <c r="H238" s="9"/>
      <c r="I238" s="9" t="n">
        <v>0.04</v>
      </c>
      <c r="J238" s="9"/>
      <c r="K238" s="9" t="n">
        <v>-0.17</v>
      </c>
      <c r="L238" s="9" t="n">
        <v>0.08</v>
      </c>
      <c r="M238" s="9" t="n">
        <v>0.36</v>
      </c>
      <c r="N238" s="9"/>
      <c r="O238" s="9"/>
      <c r="P238" s="9"/>
      <c r="Q238" s="58" t="n">
        <f aca="false">TRIMMEAN(B238:P238,2/COUNT(B238:P238))</f>
        <v>0.181428571428571</v>
      </c>
    </row>
    <row r="239" customFormat="false" ht="15.75" hidden="false" customHeight="true" outlineLevel="0" collapsed="false">
      <c r="A239" s="57" t="s">
        <v>382</v>
      </c>
      <c r="B239" s="9"/>
      <c r="C239" s="9" t="n">
        <v>0.67</v>
      </c>
      <c r="D239" s="9" t="n">
        <v>0.98</v>
      </c>
      <c r="E239" s="9"/>
      <c r="F239" s="9"/>
      <c r="G239" s="9" t="n">
        <v>0.87</v>
      </c>
      <c r="H239" s="9"/>
      <c r="I239" s="9" t="n">
        <v>0.53</v>
      </c>
      <c r="J239" s="9" t="n">
        <v>0.84</v>
      </c>
      <c r="K239" s="9"/>
      <c r="L239" s="9" t="n">
        <v>-0.29</v>
      </c>
      <c r="M239" s="9" t="n">
        <v>0.69</v>
      </c>
      <c r="N239" s="9"/>
      <c r="O239" s="9" t="n">
        <v>1.27</v>
      </c>
      <c r="P239" s="9"/>
      <c r="Q239" s="58" t="n">
        <f aca="false">TRIMMEAN(B239:P239,2/COUNT(B239:P239))</f>
        <v>0.763333333333333</v>
      </c>
    </row>
    <row r="240" customFormat="false" ht="15.75" hidden="false" customHeight="true" outlineLevel="0" collapsed="false">
      <c r="A240" s="57" t="s">
        <v>383</v>
      </c>
      <c r="B240" s="9" t="n">
        <v>1.01</v>
      </c>
      <c r="C240" s="9"/>
      <c r="D240" s="9" t="n">
        <v>1.04</v>
      </c>
      <c r="E240" s="9" t="n">
        <v>0.68</v>
      </c>
      <c r="F240" s="9"/>
      <c r="G240" s="9" t="n">
        <v>0.52</v>
      </c>
      <c r="H240" s="9"/>
      <c r="I240" s="9" t="n">
        <v>1.06</v>
      </c>
      <c r="J240" s="9" t="n">
        <v>0.71</v>
      </c>
      <c r="K240" s="9"/>
      <c r="L240" s="9" t="n">
        <v>0.32</v>
      </c>
      <c r="M240" s="9" t="n">
        <v>0.79</v>
      </c>
      <c r="N240" s="9" t="n">
        <v>0.79</v>
      </c>
      <c r="O240" s="9"/>
      <c r="P240" s="9"/>
      <c r="Q240" s="58" t="n">
        <f aca="false">TRIMMEAN(B240:P240,2/COUNT(B240:P240))</f>
        <v>0.791428571428572</v>
      </c>
    </row>
    <row r="241" customFormat="false" ht="15.75" hidden="false" customHeight="true" outlineLevel="0" collapsed="false">
      <c r="A241" s="59" t="s">
        <v>384</v>
      </c>
      <c r="B241" s="9"/>
      <c r="C241" s="9" t="n">
        <v>-0.75</v>
      </c>
      <c r="D241" s="9" t="n">
        <v>-0.47</v>
      </c>
      <c r="E241" s="9" t="n">
        <v>-0.01</v>
      </c>
      <c r="F241" s="9" t="n">
        <v>-0.62</v>
      </c>
      <c r="G241" s="9"/>
      <c r="H241" s="9" t="n">
        <v>0.57</v>
      </c>
      <c r="I241" s="9"/>
      <c r="J241" s="9"/>
      <c r="K241" s="9" t="n">
        <v>-1.25</v>
      </c>
      <c r="L241" s="9" t="n">
        <v>-0.09</v>
      </c>
      <c r="M241" s="9"/>
      <c r="N241" s="9" t="n">
        <v>0.02</v>
      </c>
      <c r="O241" s="9" t="n">
        <v>-1</v>
      </c>
      <c r="P241" s="9" t="n">
        <v>-0.83</v>
      </c>
      <c r="Q241" s="58" t="n">
        <f aca="false">TRIMMEAN(B241:P241,2/COUNT(B241:P241))</f>
        <v>-0.46875</v>
      </c>
    </row>
    <row r="242" customFormat="false" ht="15.75" hidden="false" customHeight="true" outlineLevel="0" collapsed="false">
      <c r="A242" s="57" t="s">
        <v>385</v>
      </c>
      <c r="B242" s="9"/>
      <c r="C242" s="9" t="n">
        <v>0.23</v>
      </c>
      <c r="D242" s="9" t="n">
        <v>-0.04</v>
      </c>
      <c r="E242" s="9" t="n">
        <v>0.83</v>
      </c>
      <c r="F242" s="9"/>
      <c r="G242" s="9"/>
      <c r="H242" s="9" t="n">
        <v>0.7</v>
      </c>
      <c r="I242" s="9" t="n">
        <v>-1</v>
      </c>
      <c r="J242" s="9"/>
      <c r="K242" s="9"/>
      <c r="L242" s="9" t="n">
        <v>-0.39</v>
      </c>
      <c r="M242" s="9"/>
      <c r="N242" s="9" t="n">
        <v>0.22</v>
      </c>
      <c r="O242" s="9" t="n">
        <v>-0.22</v>
      </c>
      <c r="P242" s="9" t="n">
        <v>0.44</v>
      </c>
      <c r="Q242" s="58" t="n">
        <f aca="false">TRIMMEAN(B242:P242,2/COUNT(B242:P242))</f>
        <v>0.134285714285714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-0.49</v>
      </c>
      <c r="C244" s="9" t="n">
        <v>-0.93</v>
      </c>
      <c r="D244" s="9"/>
      <c r="E244" s="9" t="n">
        <v>0.74</v>
      </c>
      <c r="F244" s="9" t="n">
        <v>0.06</v>
      </c>
      <c r="G244" s="9"/>
      <c r="H244" s="9"/>
      <c r="I244" s="9"/>
      <c r="J244" s="9" t="n">
        <v>1.23</v>
      </c>
      <c r="K244" s="9" t="n">
        <v>0.56</v>
      </c>
      <c r="L244" s="9" t="n">
        <v>-2.6</v>
      </c>
      <c r="M244" s="9" t="n">
        <v>0.76</v>
      </c>
      <c r="N244" s="9"/>
      <c r="O244" s="9"/>
      <c r="P244" s="9"/>
      <c r="Q244" s="58" t="n">
        <f aca="false">TRIMMEAN(B244:P244,2/COUNT(B244:P244))</f>
        <v>0.116666666666667</v>
      </c>
    </row>
    <row r="245" customFormat="false" ht="15.75" hidden="false" customHeight="true" outlineLevel="0" collapsed="false">
      <c r="A245" s="57" t="s">
        <v>388</v>
      </c>
      <c r="B245" s="9" t="n">
        <v>-0.08</v>
      </c>
      <c r="C245" s="9" t="n">
        <v>0.82</v>
      </c>
      <c r="D245" s="9" t="n">
        <v>0.4</v>
      </c>
      <c r="E245" s="9"/>
      <c r="F245" s="9"/>
      <c r="G245" s="9" t="n">
        <v>0.92</v>
      </c>
      <c r="H245" s="9"/>
      <c r="I245" s="9" t="n">
        <v>0.21</v>
      </c>
      <c r="J245" s="9" t="n">
        <v>-0.18</v>
      </c>
      <c r="K245" s="9"/>
      <c r="L245" s="9" t="n">
        <v>-0.49</v>
      </c>
      <c r="M245" s="9" t="n">
        <v>0.64</v>
      </c>
      <c r="N245" s="9"/>
      <c r="O245" s="9"/>
      <c r="P245" s="9"/>
      <c r="Q245" s="58" t="n">
        <f aca="false">TRIMMEAN(B245:P245,2/COUNT(B245:P245))</f>
        <v>0.301666666666667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0.73</v>
      </c>
      <c r="D247" s="9"/>
      <c r="E247" s="9" t="n">
        <v>1.16</v>
      </c>
      <c r="F247" s="9" t="n">
        <v>0.83</v>
      </c>
      <c r="G247" s="9"/>
      <c r="H247" s="9" t="n">
        <v>0.62</v>
      </c>
      <c r="I247" s="9" t="n">
        <v>0.5</v>
      </c>
      <c r="J247" s="9"/>
      <c r="K247" s="9" t="n">
        <v>0.08</v>
      </c>
      <c r="L247" s="9"/>
      <c r="M247" s="9"/>
      <c r="N247" s="9"/>
      <c r="O247" s="9"/>
      <c r="P247" s="9"/>
      <c r="Q247" s="58" t="n">
        <f aca="false">TRIMMEAN(B247:P247,2/COUNT(B247:P247))</f>
        <v>0.67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 t="n">
        <v>0.16</v>
      </c>
      <c r="F248" s="9" t="n">
        <v>-2.04</v>
      </c>
      <c r="G248" s="9" t="n">
        <v>-0.64</v>
      </c>
      <c r="H248" s="9"/>
      <c r="I248" s="9"/>
      <c r="J248" s="9" t="n">
        <v>-0.15</v>
      </c>
      <c r="K248" s="9" t="n">
        <v>-0.62</v>
      </c>
      <c r="L248" s="9" t="n">
        <v>-0.95</v>
      </c>
      <c r="M248" s="9"/>
      <c r="N248" s="9"/>
      <c r="O248" s="9"/>
      <c r="P248" s="9"/>
      <c r="Q248" s="58" t="n">
        <f aca="false">TRIMMEAN(B248:P248,2/COUNT(B248:P248))</f>
        <v>-0.59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0.49</v>
      </c>
      <c r="D250" s="9"/>
      <c r="E250" s="9" t="n">
        <v>-0.39</v>
      </c>
      <c r="F250" s="9"/>
      <c r="G250" s="9"/>
      <c r="H250" s="9" t="n">
        <v>-0.9</v>
      </c>
      <c r="I250" s="9" t="n">
        <v>-1.17</v>
      </c>
      <c r="J250" s="9"/>
      <c r="K250" s="9" t="n">
        <v>0.22</v>
      </c>
      <c r="L250" s="9" t="n">
        <v>0.27</v>
      </c>
      <c r="M250" s="9" t="n">
        <v>0.03</v>
      </c>
      <c r="N250" s="9" t="n">
        <v>0.62</v>
      </c>
      <c r="O250" s="9" t="n">
        <v>-0.16</v>
      </c>
      <c r="P250" s="9" t="n">
        <v>-0.14</v>
      </c>
      <c r="Q250" s="58" t="n">
        <f aca="false">TRIMMEAN(B250:P250,2/COUNT(B250:P250))</f>
        <v>-0.0725</v>
      </c>
    </row>
    <row r="251" customFormat="false" ht="15.75" hidden="false" customHeight="true" outlineLevel="0" collapsed="false">
      <c r="A251" s="59" t="s">
        <v>394</v>
      </c>
      <c r="B251" s="9"/>
      <c r="C251" s="9" t="n">
        <v>-0.34</v>
      </c>
      <c r="D251" s="9"/>
      <c r="E251" s="9"/>
      <c r="F251" s="9" t="n">
        <v>0.67</v>
      </c>
      <c r="G251" s="9"/>
      <c r="H251" s="9"/>
      <c r="I251" s="9"/>
      <c r="J251" s="9"/>
      <c r="K251" s="9" t="n">
        <v>-1.63</v>
      </c>
      <c r="L251" s="9"/>
      <c r="M251" s="9"/>
      <c r="N251" s="9"/>
      <c r="O251" s="9" t="n">
        <v>-1.3</v>
      </c>
      <c r="P251" s="9" t="n">
        <v>0.41</v>
      </c>
      <c r="Q251" s="58" t="n">
        <f aca="false">TRIMMEAN(B251:P251,2/COUNT(B251:P251))</f>
        <v>-0.41</v>
      </c>
    </row>
    <row r="252" customFormat="false" ht="15.75" hidden="false" customHeight="true" outlineLevel="0" collapsed="false">
      <c r="A252" s="59" t="s">
        <v>395</v>
      </c>
      <c r="B252" s="9"/>
      <c r="C252" s="9" t="n">
        <v>-0.15</v>
      </c>
      <c r="D252" s="9"/>
      <c r="E252" s="9" t="n">
        <v>-0.17</v>
      </c>
      <c r="F252" s="9" t="n">
        <v>-0.53</v>
      </c>
      <c r="G252" s="9"/>
      <c r="H252" s="9" t="n">
        <v>-0.08</v>
      </c>
      <c r="I252" s="9"/>
      <c r="J252" s="9"/>
      <c r="K252" s="9" t="n">
        <v>-0.55</v>
      </c>
      <c r="L252" s="9" t="n">
        <v>0.19</v>
      </c>
      <c r="M252" s="9" t="n">
        <v>0.44</v>
      </c>
      <c r="N252" s="9" t="n">
        <v>-0.14</v>
      </c>
      <c r="O252" s="9"/>
      <c r="P252" s="9" t="n">
        <v>-0.47</v>
      </c>
      <c r="Q252" s="58" t="n">
        <f aca="false">TRIMMEAN(B252:P252,2/COUNT(B252:P252))</f>
        <v>-0.192857142857143</v>
      </c>
    </row>
    <row r="253" customFormat="false" ht="15.75" hidden="false" customHeight="true" outlineLevel="0" collapsed="false">
      <c r="A253" s="57" t="s">
        <v>396</v>
      </c>
      <c r="B253" s="9" t="n">
        <v>0.2</v>
      </c>
      <c r="C253" s="9" t="n">
        <v>0.67</v>
      </c>
      <c r="D253" s="9" t="n">
        <v>0.4</v>
      </c>
      <c r="E253" s="9"/>
      <c r="F253" s="9" t="n">
        <v>0.51</v>
      </c>
      <c r="G253" s="9" t="n">
        <v>-2.71</v>
      </c>
      <c r="H253" s="9"/>
      <c r="I253" s="9" t="n">
        <v>0.17</v>
      </c>
      <c r="J253" s="9" t="n">
        <v>0.28</v>
      </c>
      <c r="K253" s="9"/>
      <c r="L253" s="9" t="n">
        <v>0.88</v>
      </c>
      <c r="M253" s="9" t="n">
        <v>-0.61</v>
      </c>
      <c r="N253" s="9"/>
      <c r="O253" s="9"/>
      <c r="P253" s="9" t="n">
        <v>0.43</v>
      </c>
      <c r="Q253" s="58" t="n">
        <f aca="false">TRIMMEAN(B253:P253,2/COUNT(B253:P253))</f>
        <v>0.25625</v>
      </c>
    </row>
    <row r="254" customFormat="false" ht="15.75" hidden="false" customHeight="true" outlineLevel="0" collapsed="false">
      <c r="A254" s="59" t="s">
        <v>397</v>
      </c>
      <c r="B254" s="9"/>
      <c r="C254" s="9" t="n">
        <v>-1.43</v>
      </c>
      <c r="D254" s="9" t="n">
        <v>-0.77</v>
      </c>
      <c r="E254" s="9"/>
      <c r="F254" s="9" t="n">
        <v>-0.53</v>
      </c>
      <c r="G254" s="9" t="n">
        <v>-0.21</v>
      </c>
      <c r="H254" s="9"/>
      <c r="I254" s="9" t="n">
        <v>-0.57</v>
      </c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-0.623333333333333</v>
      </c>
    </row>
    <row r="255" customFormat="false" ht="15.75" hidden="false" customHeight="true" outlineLevel="0" collapsed="false">
      <c r="A255" s="57" t="s">
        <v>398</v>
      </c>
      <c r="B255" s="9" t="n">
        <v>0.63</v>
      </c>
      <c r="C255" s="9"/>
      <c r="D255" s="9" t="n">
        <v>-0.3</v>
      </c>
      <c r="E255" s="9" t="n">
        <v>-0.08</v>
      </c>
      <c r="F255" s="9" t="n">
        <v>1.06</v>
      </c>
      <c r="G255" s="9"/>
      <c r="H255" s="9" t="n">
        <v>-0.12</v>
      </c>
      <c r="I255" s="9"/>
      <c r="J255" s="9"/>
      <c r="K255" s="9"/>
      <c r="L255" s="9" t="n">
        <v>0.74</v>
      </c>
      <c r="M255" s="9" t="n">
        <v>0.24</v>
      </c>
      <c r="N255" s="9" t="n">
        <v>0.8</v>
      </c>
      <c r="O255" s="9" t="n">
        <v>0.67</v>
      </c>
      <c r="P255" s="9" t="n">
        <v>0.45</v>
      </c>
      <c r="Q255" s="58" t="n">
        <f aca="false">TRIMMEAN(B255:P255,2/COUNT(B255:P255))</f>
        <v>0.41625</v>
      </c>
    </row>
    <row r="256" customFormat="false" ht="15.75" hidden="false" customHeight="true" outlineLevel="0" collapsed="false">
      <c r="A256" s="57" t="s">
        <v>399</v>
      </c>
      <c r="B256" s="9" t="n">
        <v>0.42</v>
      </c>
      <c r="C256" s="9"/>
      <c r="D256" s="9" t="n">
        <v>0.06</v>
      </c>
      <c r="E256" s="9"/>
      <c r="F256" s="9" t="n">
        <v>-0.07</v>
      </c>
      <c r="G256" s="9"/>
      <c r="H256" s="9" t="n">
        <v>0.58</v>
      </c>
      <c r="I256" s="9"/>
      <c r="J256" s="9"/>
      <c r="K256" s="9" t="n">
        <v>0.61</v>
      </c>
      <c r="L256" s="9" t="n">
        <v>-1.14</v>
      </c>
      <c r="M256" s="9"/>
      <c r="N256" s="9" t="n">
        <v>-0.28</v>
      </c>
      <c r="O256" s="9" t="n">
        <v>-1.86</v>
      </c>
      <c r="P256" s="9" t="n">
        <v>0.48</v>
      </c>
      <c r="Q256" s="58" t="n">
        <f aca="false">TRIMMEAN(B256:P256,2/COUNT(B256:P256))</f>
        <v>0.00714285714285714</v>
      </c>
    </row>
    <row r="257" customFormat="false" ht="15.75" hidden="false" customHeight="true" outlineLevel="0" collapsed="false">
      <c r="A257" s="57" t="s">
        <v>400</v>
      </c>
      <c r="B257" s="9"/>
      <c r="C257" s="9" t="n">
        <v>-0.33</v>
      </c>
      <c r="D257" s="9" t="n">
        <v>0.05</v>
      </c>
      <c r="E257" s="9"/>
      <c r="F257" s="9" t="n">
        <v>-1.4</v>
      </c>
      <c r="G257" s="9" t="n">
        <v>-0.13</v>
      </c>
      <c r="H257" s="9"/>
      <c r="I257" s="9"/>
      <c r="J257" s="9" t="n">
        <v>-0.06</v>
      </c>
      <c r="K257" s="9"/>
      <c r="L257" s="9" t="n">
        <v>-2.52</v>
      </c>
      <c r="M257" s="9" t="n">
        <v>-0.43</v>
      </c>
      <c r="N257" s="9" t="n">
        <v>-2.93</v>
      </c>
      <c r="O257" s="9" t="n">
        <v>-0.15</v>
      </c>
      <c r="P257" s="9" t="n">
        <v>-0.02</v>
      </c>
      <c r="Q257" s="58" t="n">
        <f aca="false">TRIMMEAN(B257:P257,2/COUNT(B257:P257))</f>
        <v>-0.63</v>
      </c>
    </row>
    <row r="258" customFormat="false" ht="15.75" hidden="false" customHeight="true" outlineLevel="0" collapsed="false">
      <c r="A258" s="57" t="s">
        <v>401</v>
      </c>
      <c r="B258" s="9" t="n">
        <v>0.37</v>
      </c>
      <c r="C258" s="9" t="n">
        <v>0.72</v>
      </c>
      <c r="D258" s="9" t="n">
        <v>0.05</v>
      </c>
      <c r="E258" s="9"/>
      <c r="F258" s="9" t="n">
        <v>0.72</v>
      </c>
      <c r="G258" s="9" t="n">
        <v>0.27</v>
      </c>
      <c r="H258" s="9"/>
      <c r="I258" s="9" t="n">
        <v>0.11</v>
      </c>
      <c r="J258" s="9" t="n">
        <v>0.26</v>
      </c>
      <c r="K258" s="9"/>
      <c r="L258" s="9" t="n">
        <v>-0.26</v>
      </c>
      <c r="M258" s="9" t="n">
        <v>-0.12</v>
      </c>
      <c r="N258" s="9"/>
      <c r="O258" s="9" t="n">
        <v>0.68</v>
      </c>
      <c r="P258" s="9"/>
      <c r="Q258" s="58" t="n">
        <f aca="false">TRIMMEAN(B258:P258,2/COUNT(B258:P258))</f>
        <v>0.2925</v>
      </c>
    </row>
    <row r="259" customFormat="false" ht="15.75" hidden="false" customHeight="true" outlineLevel="0" collapsed="false">
      <c r="A259" s="59" t="s">
        <v>402</v>
      </c>
      <c r="B259" s="9" t="n">
        <v>0.89</v>
      </c>
      <c r="C259" s="9" t="n">
        <v>1.25</v>
      </c>
      <c r="D259" s="9" t="n">
        <v>0.92</v>
      </c>
      <c r="E259" s="9" t="n">
        <v>0.18</v>
      </c>
      <c r="F259" s="9"/>
      <c r="G259" s="9" t="n">
        <v>0.96</v>
      </c>
      <c r="H259" s="9"/>
      <c r="I259" s="9" t="n">
        <v>0.76</v>
      </c>
      <c r="J259" s="9" t="n">
        <v>-0.91</v>
      </c>
      <c r="K259" s="9" t="n">
        <v>-0.33</v>
      </c>
      <c r="L259" s="9"/>
      <c r="M259" s="9" t="n">
        <v>-0.96</v>
      </c>
      <c r="N259" s="9"/>
      <c r="O259" s="9" t="n">
        <v>0.76</v>
      </c>
      <c r="P259" s="9" t="n">
        <v>-0.08</v>
      </c>
      <c r="Q259" s="58" t="n">
        <f aca="false">TRIMMEAN(B259:P259,2/COUNT(B259:P259))</f>
        <v>0.35</v>
      </c>
    </row>
    <row r="260" customFormat="false" ht="15.75" hidden="false" customHeight="true" outlineLevel="0" collapsed="false">
      <c r="A260" s="59" t="s">
        <v>403</v>
      </c>
      <c r="B260" s="9"/>
      <c r="C260" s="9" t="n">
        <v>0.86</v>
      </c>
      <c r="D260" s="9"/>
      <c r="E260" s="9" t="n">
        <v>0.32</v>
      </c>
      <c r="F260" s="9" t="n">
        <v>0.11</v>
      </c>
      <c r="G260" s="9"/>
      <c r="H260" s="9" t="n">
        <v>0.55</v>
      </c>
      <c r="I260" s="9" t="n">
        <v>-0.65</v>
      </c>
      <c r="J260" s="9"/>
      <c r="K260" s="9" t="n">
        <v>0.35</v>
      </c>
      <c r="L260" s="9" t="n">
        <v>1.17</v>
      </c>
      <c r="M260" s="9" t="n">
        <v>1</v>
      </c>
      <c r="N260" s="9" t="n">
        <v>0.49</v>
      </c>
      <c r="O260" s="9" t="n">
        <v>0.01</v>
      </c>
      <c r="P260" s="9" t="n">
        <v>-0.06</v>
      </c>
      <c r="Q260" s="58" t="n">
        <f aca="false">TRIMMEAN(B260:P260,2/COUNT(B260:P260))</f>
        <v>0.403333333333333</v>
      </c>
    </row>
    <row r="261" customFormat="false" ht="15.75" hidden="false" customHeight="true" outlineLevel="0" collapsed="false">
      <c r="A261" s="57" t="s">
        <v>404</v>
      </c>
      <c r="B261" s="9" t="n">
        <v>0.5</v>
      </c>
      <c r="C261" s="9" t="n">
        <v>-0.42</v>
      </c>
      <c r="D261" s="9"/>
      <c r="E261" s="9" t="n">
        <v>-0.17</v>
      </c>
      <c r="F261" s="9" t="n">
        <v>-0.16</v>
      </c>
      <c r="G261" s="9" t="n">
        <v>-0.23</v>
      </c>
      <c r="H261" s="9"/>
      <c r="I261" s="9"/>
      <c r="J261" s="9"/>
      <c r="K261" s="9"/>
      <c r="L261" s="9" t="n">
        <v>-1.15</v>
      </c>
      <c r="M261" s="9"/>
      <c r="N261" s="9"/>
      <c r="O261" s="9"/>
      <c r="P261" s="9"/>
      <c r="Q261" s="58" t="n">
        <f aca="false">TRIMMEAN(B261:P261,2/COUNT(B261:P261))</f>
        <v>-0.245</v>
      </c>
    </row>
    <row r="262" customFormat="false" ht="15.75" hidden="false" customHeight="true" outlineLevel="0" collapsed="false">
      <c r="A262" s="57" t="s">
        <v>405</v>
      </c>
      <c r="B262" s="9" t="n">
        <v>0.9</v>
      </c>
      <c r="C262" s="9" t="n">
        <v>-0.08</v>
      </c>
      <c r="D262" s="9" t="n">
        <v>-0.14</v>
      </c>
      <c r="E262" s="9"/>
      <c r="F262" s="9" t="n">
        <v>-0.25</v>
      </c>
      <c r="G262" s="9" t="n">
        <v>0.93</v>
      </c>
      <c r="H262" s="9"/>
      <c r="I262" s="9" t="n">
        <v>0.17</v>
      </c>
      <c r="J262" s="9" t="n">
        <v>0.85</v>
      </c>
      <c r="K262" s="9"/>
      <c r="L262" s="9" t="n">
        <v>1.82</v>
      </c>
      <c r="M262" s="9" t="n">
        <v>-0.92</v>
      </c>
      <c r="N262" s="9" t="n">
        <v>-1.05</v>
      </c>
      <c r="O262" s="9" t="n">
        <v>-0.04</v>
      </c>
      <c r="P262" s="9" t="n">
        <v>-0.49</v>
      </c>
      <c r="Q262" s="58" t="n">
        <f aca="false">TRIMMEAN(B262:P262,2/COUNT(B262:P262))</f>
        <v>0.093</v>
      </c>
    </row>
    <row r="263" customFormat="false" ht="15.75" hidden="false" customHeight="true" outlineLevel="0" collapsed="false">
      <c r="A263" s="57" t="s">
        <v>406</v>
      </c>
      <c r="B263" s="9" t="n">
        <v>0.17</v>
      </c>
      <c r="C263" s="9" t="n">
        <v>-0.7</v>
      </c>
      <c r="D263" s="9" t="n">
        <v>-0.89</v>
      </c>
      <c r="E263" s="9"/>
      <c r="F263" s="9"/>
      <c r="G263" s="9" t="n">
        <v>0.81</v>
      </c>
      <c r="H263" s="9"/>
      <c r="I263" s="9" t="n">
        <v>-0.48</v>
      </c>
      <c r="J263" s="9" t="n">
        <v>-0.23</v>
      </c>
      <c r="K263" s="9"/>
      <c r="L263" s="9" t="n">
        <v>0.64</v>
      </c>
      <c r="M263" s="9" t="n">
        <v>-0.37</v>
      </c>
      <c r="N263" s="9"/>
      <c r="O263" s="9"/>
      <c r="P263" s="9" t="n">
        <v>0.19</v>
      </c>
      <c r="Q263" s="58" t="n">
        <f aca="false">TRIMMEAN(B263:P263,2/COUNT(B263:P263))</f>
        <v>-0.111428571428571</v>
      </c>
    </row>
    <row r="264" customFormat="false" ht="15.75" hidden="false" customHeight="true" outlineLevel="0" collapsed="false">
      <c r="A264" s="59" t="s">
        <v>407</v>
      </c>
      <c r="B264" s="9"/>
      <c r="C264" s="9" t="n">
        <v>-0.66</v>
      </c>
      <c r="D264" s="9"/>
      <c r="E264" s="9" t="n">
        <v>-0.12</v>
      </c>
      <c r="F264" s="9" t="n">
        <v>0.19</v>
      </c>
      <c r="G264" s="9"/>
      <c r="H264" s="9"/>
      <c r="I264" s="9"/>
      <c r="J264" s="9"/>
      <c r="K264" s="9" t="n">
        <v>1.02</v>
      </c>
      <c r="L264" s="9" t="n">
        <v>-0.45</v>
      </c>
      <c r="M264" s="9"/>
      <c r="N264" s="9" t="n">
        <v>0.17</v>
      </c>
      <c r="O264" s="9" t="n">
        <v>-0.08</v>
      </c>
      <c r="P264" s="9" t="n">
        <v>0.82</v>
      </c>
      <c r="Q264" s="58" t="n">
        <f aca="false">TRIMMEAN(B264:P264,2/COUNT(B264:P264))</f>
        <v>0.0883333333333333</v>
      </c>
    </row>
    <row r="265" customFormat="false" ht="15.75" hidden="false" customHeight="true" outlineLevel="0" collapsed="false">
      <c r="A265" s="57" t="s">
        <v>408</v>
      </c>
      <c r="B265" s="9"/>
      <c r="C265" s="9" t="n">
        <v>-1.25</v>
      </c>
      <c r="D265" s="9"/>
      <c r="E265" s="9"/>
      <c r="F265" s="9"/>
      <c r="G265" s="9"/>
      <c r="H265" s="9"/>
      <c r="I265" s="9"/>
      <c r="J265" s="9" t="n">
        <v>-0.96</v>
      </c>
      <c r="K265" s="9" t="n">
        <v>-3.22</v>
      </c>
      <c r="L265" s="9" t="n">
        <v>0.75</v>
      </c>
      <c r="M265" s="9"/>
      <c r="N265" s="9"/>
      <c r="O265" s="9"/>
      <c r="P265" s="9"/>
      <c r="Q265" s="58" t="n">
        <f aca="false">TRIMMEAN(B265:P265,2/COUNT(B265:P265))</f>
        <v>-1.105</v>
      </c>
    </row>
    <row r="266" customFormat="false" ht="15.75" hidden="false" customHeight="true" outlineLevel="0" collapsed="false">
      <c r="A266" s="59" t="s">
        <v>409</v>
      </c>
      <c r="B266" s="9"/>
      <c r="C266" s="9" t="n">
        <v>0.25</v>
      </c>
      <c r="D266" s="9"/>
      <c r="E266" s="9" t="n">
        <v>0.31</v>
      </c>
      <c r="F266" s="9" t="n">
        <v>0.13</v>
      </c>
      <c r="G266" s="9"/>
      <c r="H266" s="9" t="n">
        <v>1.58</v>
      </c>
      <c r="I266" s="9" t="n">
        <v>-0.93</v>
      </c>
      <c r="J266" s="9" t="n">
        <v>0.6</v>
      </c>
      <c r="K266" s="9" t="n">
        <v>0.68</v>
      </c>
      <c r="L266" s="9"/>
      <c r="M266" s="9" t="n">
        <v>-0.51</v>
      </c>
      <c r="N266" s="9" t="n">
        <v>-1.3</v>
      </c>
      <c r="O266" s="9" t="n">
        <v>0.12</v>
      </c>
      <c r="P266" s="9" t="n">
        <v>0.73</v>
      </c>
      <c r="Q266" s="58" t="n">
        <f aca="false">TRIMMEAN(B266:P266,2/COUNT(B266:P266))</f>
        <v>0.153333333333333</v>
      </c>
    </row>
    <row r="267" customFormat="false" ht="15.75" hidden="false" customHeight="true" outlineLevel="0" collapsed="false">
      <c r="A267" s="57" t="s">
        <v>410</v>
      </c>
      <c r="B267" s="9" t="n">
        <v>-0.43</v>
      </c>
      <c r="C267" s="9"/>
      <c r="D267" s="9" t="n">
        <v>-0.14</v>
      </c>
      <c r="E267" s="9" t="n">
        <v>-0.36</v>
      </c>
      <c r="F267" s="9"/>
      <c r="G267" s="9" t="n">
        <v>1.05</v>
      </c>
      <c r="H267" s="9"/>
      <c r="I267" s="9"/>
      <c r="J267" s="9" t="n">
        <v>-0.02</v>
      </c>
      <c r="K267" s="9" t="n">
        <v>0.73</v>
      </c>
      <c r="L267" s="9" t="n">
        <v>0</v>
      </c>
      <c r="M267" s="9" t="n">
        <v>-0.09</v>
      </c>
      <c r="N267" s="9"/>
      <c r="O267" s="9"/>
      <c r="P267" s="9"/>
      <c r="Q267" s="58" t="n">
        <f aca="false">TRIMMEAN(B267:P267,2/COUNT(B267:P267))</f>
        <v>0.02</v>
      </c>
    </row>
    <row r="268" customFormat="false" ht="15.75" hidden="false" customHeight="true" outlineLevel="0" collapsed="false">
      <c r="A268" s="59" t="s">
        <v>411</v>
      </c>
      <c r="B268" s="9"/>
      <c r="C268" s="9" t="n">
        <v>-1</v>
      </c>
      <c r="D268" s="9"/>
      <c r="E268" s="9" t="n">
        <v>-0.48</v>
      </c>
      <c r="F268" s="9" t="n">
        <v>-0.2</v>
      </c>
      <c r="G268" s="9"/>
      <c r="H268" s="9" t="n">
        <v>-0.36</v>
      </c>
      <c r="I268" s="9"/>
      <c r="J268" s="9"/>
      <c r="K268" s="9" t="n">
        <v>-0.79</v>
      </c>
      <c r="L268" s="9" t="n">
        <v>-0.54</v>
      </c>
      <c r="M268" s="9" t="n">
        <v>-1.6</v>
      </c>
      <c r="N268" s="9" t="n">
        <v>-1.01</v>
      </c>
      <c r="O268" s="9" t="n">
        <v>-0.23</v>
      </c>
      <c r="P268" s="9" t="n">
        <v>-1.17</v>
      </c>
      <c r="Q268" s="58" t="n">
        <f aca="false">TRIMMEAN(B268:P268,2/COUNT(B268:P268))</f>
        <v>-0.6975</v>
      </c>
    </row>
    <row r="269" customFormat="false" ht="15.75" hidden="false" customHeight="true" outlineLevel="0" collapsed="false">
      <c r="A269" s="57" t="s">
        <v>412</v>
      </c>
      <c r="B269" s="9"/>
      <c r="C269" s="9" t="n">
        <v>1.77</v>
      </c>
      <c r="D269" s="9"/>
      <c r="E269" s="9" t="n">
        <v>0.89</v>
      </c>
      <c r="F269" s="9"/>
      <c r="G269" s="9"/>
      <c r="H269" s="9" t="n">
        <v>0.98</v>
      </c>
      <c r="I269" s="9"/>
      <c r="J269" s="9"/>
      <c r="K269" s="9"/>
      <c r="L269" s="9" t="n">
        <v>1.02</v>
      </c>
      <c r="M269" s="9" t="n">
        <v>0.47</v>
      </c>
      <c r="N269" s="9" t="n">
        <v>0.24</v>
      </c>
      <c r="O269" s="9" t="n">
        <v>0.13</v>
      </c>
      <c r="P269" s="9" t="n">
        <v>-0.61</v>
      </c>
      <c r="Q269" s="58" t="n">
        <f aca="false">TRIMMEAN(B269:P269,2/COUNT(B269:P269))</f>
        <v>0.621666666666667</v>
      </c>
    </row>
    <row r="270" customFormat="false" ht="15.75" hidden="false" customHeight="true" outlineLevel="0" collapsed="false">
      <c r="A270" s="57" t="s">
        <v>413</v>
      </c>
      <c r="B270" s="9" t="n">
        <v>0.21</v>
      </c>
      <c r="C270" s="9"/>
      <c r="D270" s="9"/>
      <c r="E270" s="9" t="n">
        <v>0.38</v>
      </c>
      <c r="F270" s="9" t="n">
        <v>-0.34</v>
      </c>
      <c r="G270" s="9" t="n">
        <v>-0.15</v>
      </c>
      <c r="H270" s="9"/>
      <c r="I270" s="9"/>
      <c r="J270" s="9" t="n">
        <v>-0.92</v>
      </c>
      <c r="K270" s="9" t="n">
        <v>-0.9</v>
      </c>
      <c r="L270" s="9" t="n">
        <v>-1.34</v>
      </c>
      <c r="M270" s="9"/>
      <c r="N270" s="9"/>
      <c r="O270" s="9"/>
      <c r="P270" s="9"/>
      <c r="Q270" s="58" t="n">
        <f aca="false">TRIMMEAN(B270:P270,2/COUNT(B270:P270))</f>
        <v>-0.42</v>
      </c>
    </row>
    <row r="271" customFormat="false" ht="15.75" hidden="false" customHeight="true" outlineLevel="0" collapsed="false">
      <c r="A271" s="57" t="s">
        <v>414</v>
      </c>
      <c r="B271" s="9" t="n">
        <v>-0.14</v>
      </c>
      <c r="C271" s="9" t="n">
        <v>0.23</v>
      </c>
      <c r="D271" s="9" t="n">
        <v>-0.14</v>
      </c>
      <c r="E271" s="9"/>
      <c r="F271" s="9"/>
      <c r="G271" s="9" t="n">
        <v>0.41</v>
      </c>
      <c r="H271" s="9" t="n">
        <v>-0.46</v>
      </c>
      <c r="I271" s="9" t="n">
        <v>-0.39</v>
      </c>
      <c r="J271" s="9" t="n">
        <v>0.23</v>
      </c>
      <c r="K271" s="9"/>
      <c r="L271" s="9" t="n">
        <v>-0.17</v>
      </c>
      <c r="M271" s="9" t="n">
        <v>-0.86</v>
      </c>
      <c r="N271" s="9"/>
      <c r="O271" s="9" t="n">
        <v>-0.77</v>
      </c>
      <c r="P271" s="9" t="n">
        <v>0.06</v>
      </c>
      <c r="Q271" s="58" t="n">
        <f aca="false">TRIMMEAN(B271:P271,2/COUNT(B271:P271))</f>
        <v>-0.172222222222222</v>
      </c>
    </row>
    <row r="272" customFormat="false" ht="15.75" hidden="false" customHeight="true" outlineLevel="0" collapsed="false">
      <c r="A272" s="57" t="s">
        <v>415</v>
      </c>
      <c r="B272" s="9" t="n">
        <v>-0.3</v>
      </c>
      <c r="C272" s="9" t="n">
        <v>-0.18</v>
      </c>
      <c r="D272" s="9" t="n">
        <v>0.23</v>
      </c>
      <c r="E272" s="9"/>
      <c r="F272" s="9" t="n">
        <v>0.85</v>
      </c>
      <c r="G272" s="9" t="n">
        <v>-0.36</v>
      </c>
      <c r="H272" s="9" t="n">
        <v>-0.2</v>
      </c>
      <c r="I272" s="9" t="n">
        <v>0.52</v>
      </c>
      <c r="J272" s="9" t="n">
        <v>-0.23</v>
      </c>
      <c r="K272" s="9"/>
      <c r="L272" s="9" t="n">
        <v>0.25</v>
      </c>
      <c r="M272" s="9" t="n">
        <v>-0.61</v>
      </c>
      <c r="N272" s="9"/>
      <c r="O272" s="9"/>
      <c r="P272" s="9" t="n">
        <v>-0.64</v>
      </c>
      <c r="Q272" s="58" t="n">
        <f aca="false">TRIMMEAN(B272:P272,2/COUNT(B272:P272))</f>
        <v>-0.0977777777777778</v>
      </c>
    </row>
    <row r="273" customFormat="false" ht="15.75" hidden="false" customHeight="true" outlineLevel="0" collapsed="false">
      <c r="A273" s="57" t="s">
        <v>416</v>
      </c>
      <c r="B273" s="9" t="n">
        <v>1.18</v>
      </c>
      <c r="C273" s="9" t="n">
        <v>0.29</v>
      </c>
      <c r="D273" s="9" t="n">
        <v>0.13</v>
      </c>
      <c r="E273" s="9"/>
      <c r="F273" s="9" t="n">
        <v>1.01</v>
      </c>
      <c r="G273" s="9" t="n">
        <v>0.37</v>
      </c>
      <c r="H273" s="9"/>
      <c r="I273" s="9" t="n">
        <v>-0.03</v>
      </c>
      <c r="J273" s="9" t="n">
        <v>0.52</v>
      </c>
      <c r="K273" s="9"/>
      <c r="L273" s="9" t="n">
        <v>0.25</v>
      </c>
      <c r="M273" s="9" t="n">
        <v>-0.49</v>
      </c>
      <c r="N273" s="9"/>
      <c r="O273" s="9"/>
      <c r="P273" s="9" t="n">
        <v>1.26</v>
      </c>
      <c r="Q273" s="58" t="n">
        <f aca="false">TRIMMEAN(B273:P273,2/COUNT(B273:P273))</f>
        <v>0.465</v>
      </c>
    </row>
    <row r="274" customFormat="false" ht="15.75" hidden="false" customHeight="true" outlineLevel="0" collapsed="false">
      <c r="A274" s="59" t="s">
        <v>417</v>
      </c>
      <c r="B274" s="9"/>
      <c r="C274" s="9" t="n">
        <v>0.35</v>
      </c>
      <c r="D274" s="9"/>
      <c r="E274" s="9" t="n">
        <v>-0.55</v>
      </c>
      <c r="F274" s="9" t="n">
        <v>-0.04</v>
      </c>
      <c r="G274" s="9"/>
      <c r="H274" s="9" t="n">
        <v>-0.72</v>
      </c>
      <c r="I274" s="9" t="n">
        <v>0.65</v>
      </c>
      <c r="J274" s="9"/>
      <c r="K274" s="9" t="n">
        <v>0.69</v>
      </c>
      <c r="L274" s="9" t="n">
        <v>-0.39</v>
      </c>
      <c r="M274" s="9"/>
      <c r="N274" s="9" t="n">
        <v>1.23</v>
      </c>
      <c r="O274" s="9" t="n">
        <v>0.69</v>
      </c>
      <c r="P274" s="9" t="n">
        <v>-0.09</v>
      </c>
      <c r="Q274" s="58" t="n">
        <f aca="false">TRIMMEAN(B274:P274,2/COUNT(B274:P274))</f>
        <v>0.16375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 t="n">
        <v>1.08</v>
      </c>
      <c r="E275" s="9" t="n">
        <v>1.5</v>
      </c>
      <c r="F275" s="9" t="n">
        <v>0.15</v>
      </c>
      <c r="G275" s="9"/>
      <c r="H275" s="9" t="n">
        <v>-0.04</v>
      </c>
      <c r="I275" s="9"/>
      <c r="J275" s="9"/>
      <c r="K275" s="9" t="n">
        <v>-0.07</v>
      </c>
      <c r="L275" s="9" t="n">
        <v>0.64</v>
      </c>
      <c r="M275" s="9" t="n">
        <v>-0.04</v>
      </c>
      <c r="N275" s="9"/>
      <c r="O275" s="9" t="n">
        <v>1.32</v>
      </c>
      <c r="P275" s="9"/>
      <c r="Q275" s="58" t="n">
        <f aca="false">TRIMMEAN(B275:P275,2/COUNT(B275:P275))</f>
        <v>0.518333333333333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 t="n">
        <v>-1.3</v>
      </c>
      <c r="D277" s="9"/>
      <c r="E277" s="9"/>
      <c r="F277" s="9"/>
      <c r="G277" s="9"/>
      <c r="H277" s="9"/>
      <c r="I277" s="9"/>
      <c r="J277" s="9"/>
      <c r="K277" s="9" t="n">
        <v>0.08</v>
      </c>
      <c r="L277" s="9" t="n">
        <v>-0.38</v>
      </c>
      <c r="M277" s="9"/>
      <c r="N277" s="9"/>
      <c r="O277" s="9" t="n">
        <v>-0.36</v>
      </c>
      <c r="P277" s="9"/>
      <c r="Q277" s="58" t="n">
        <f aca="false">TRIMMEAN(B277:P277,2/COUNT(B277:P277))</f>
        <v>-0.37</v>
      </c>
    </row>
    <row r="278" customFormat="false" ht="15.75" hidden="false" customHeight="true" outlineLevel="0" collapsed="false">
      <c r="A278" s="59" t="s">
        <v>421</v>
      </c>
      <c r="B278" s="9"/>
      <c r="C278" s="9" t="n">
        <v>-0.18</v>
      </c>
      <c r="D278" s="9"/>
      <c r="E278" s="9" t="n">
        <v>0.85</v>
      </c>
      <c r="F278" s="9" t="n">
        <v>-0.15</v>
      </c>
      <c r="G278" s="9"/>
      <c r="H278" s="9" t="n">
        <v>1.54</v>
      </c>
      <c r="I278" s="9" t="n">
        <v>1.28</v>
      </c>
      <c r="J278" s="9"/>
      <c r="K278" s="9" t="n">
        <v>-0.38</v>
      </c>
      <c r="L278" s="9" t="n">
        <v>0.7</v>
      </c>
      <c r="M278" s="9" t="n">
        <v>-0.02</v>
      </c>
      <c r="N278" s="9" t="n">
        <v>0.33</v>
      </c>
      <c r="O278" s="9" t="n">
        <v>-1.11</v>
      </c>
      <c r="P278" s="9" t="n">
        <v>0.17</v>
      </c>
      <c r="Q278" s="58" t="n">
        <f aca="false">TRIMMEAN(B278:P278,2/COUNT(B278:P278))</f>
        <v>0.288888888888889</v>
      </c>
    </row>
    <row r="279" customFormat="false" ht="15.75" hidden="false" customHeight="true" outlineLevel="0" collapsed="false">
      <c r="A279" s="59" t="s">
        <v>422</v>
      </c>
      <c r="B279" s="9"/>
      <c r="C279" s="9" t="n">
        <v>-1.03</v>
      </c>
      <c r="D279" s="9" t="n">
        <v>0.23</v>
      </c>
      <c r="E279" s="9"/>
      <c r="F279" s="9"/>
      <c r="G279" s="9"/>
      <c r="H279" s="9"/>
      <c r="I279" s="9"/>
      <c r="J279" s="9"/>
      <c r="K279" s="9"/>
      <c r="L279" s="9"/>
      <c r="M279" s="9" t="n">
        <v>-0.58</v>
      </c>
      <c r="N279" s="9"/>
      <c r="O279" s="9"/>
      <c r="P279" s="9"/>
      <c r="Q279" s="58" t="n">
        <f aca="false">TRIMMEAN(B279:P279,2/COUNT(B279:P279))</f>
        <v>-0.58</v>
      </c>
    </row>
    <row r="280" customFormat="false" ht="15.75" hidden="false" customHeight="true" outlineLevel="0" collapsed="false">
      <c r="A280" s="57" t="s">
        <v>423</v>
      </c>
      <c r="B280" s="9" t="n">
        <v>0.15</v>
      </c>
      <c r="C280" s="9" t="n">
        <v>-0.2</v>
      </c>
      <c r="D280" s="9"/>
      <c r="E280" s="9" t="n">
        <v>-0.13</v>
      </c>
      <c r="F280" s="9" t="n">
        <v>-0.26</v>
      </c>
      <c r="G280" s="9" t="n">
        <v>-0.87</v>
      </c>
      <c r="H280" s="9"/>
      <c r="I280" s="9"/>
      <c r="J280" s="9" t="n">
        <v>-0.35</v>
      </c>
      <c r="K280" s="9" t="n">
        <v>-1.03</v>
      </c>
      <c r="L280" s="9" t="n">
        <v>-1.12</v>
      </c>
      <c r="M280" s="9"/>
      <c r="N280" s="9"/>
      <c r="O280" s="9"/>
      <c r="P280" s="9"/>
      <c r="Q280" s="58" t="n">
        <f aca="false">TRIMMEAN(B280:P280,2/COUNT(B280:P280))</f>
        <v>-0.473333333333333</v>
      </c>
    </row>
    <row r="281" customFormat="false" ht="15.75" hidden="false" customHeight="true" outlineLevel="0" collapsed="false">
      <c r="A281" s="57" t="s">
        <v>424</v>
      </c>
      <c r="B281" s="9"/>
      <c r="C281" s="9" t="n">
        <v>-0.22</v>
      </c>
      <c r="D281" s="9"/>
      <c r="E281" s="9" t="n">
        <v>-0.37</v>
      </c>
      <c r="F281" s="9" t="n">
        <v>-0.98</v>
      </c>
      <c r="G281" s="9"/>
      <c r="H281" s="9" t="n">
        <v>-0.38</v>
      </c>
      <c r="I281" s="9"/>
      <c r="J281" s="9"/>
      <c r="K281" s="9" t="n">
        <v>-0.01</v>
      </c>
      <c r="L281" s="9" t="n">
        <v>0.45</v>
      </c>
      <c r="M281" s="9"/>
      <c r="N281" s="9" t="n">
        <v>-2.5</v>
      </c>
      <c r="O281" s="9" t="n">
        <v>0.6</v>
      </c>
      <c r="P281" s="9" t="n">
        <v>-0.1</v>
      </c>
      <c r="Q281" s="58" t="n">
        <f aca="false">TRIMMEAN(B281:P281,2/COUNT(B281:P281))</f>
        <v>-0.23</v>
      </c>
    </row>
    <row r="282" customFormat="false" ht="15.75" hidden="false" customHeight="true" outlineLevel="0" collapsed="false">
      <c r="A282" s="59" t="s">
        <v>425</v>
      </c>
      <c r="B282" s="9"/>
      <c r="C282" s="9" t="n">
        <v>-0.57</v>
      </c>
      <c r="D282" s="9"/>
      <c r="E282" s="9" t="n">
        <v>0.28</v>
      </c>
      <c r="F282" s="9" t="n">
        <v>0.28</v>
      </c>
      <c r="G282" s="9"/>
      <c r="H282" s="9" t="n">
        <v>-1.34</v>
      </c>
      <c r="I282" s="9"/>
      <c r="J282" s="9"/>
      <c r="K282" s="9" t="n">
        <v>-0.52</v>
      </c>
      <c r="L282" s="9" t="n">
        <v>1.04</v>
      </c>
      <c r="M282" s="9" t="n">
        <v>0.97</v>
      </c>
      <c r="N282" s="9" t="n">
        <v>0.65</v>
      </c>
      <c r="O282" s="9" t="n">
        <v>-0.21</v>
      </c>
      <c r="P282" s="9" t="n">
        <v>0.32</v>
      </c>
      <c r="Q282" s="58" t="n">
        <f aca="false">TRIMMEAN(B282:P282,2/COUNT(B282:P282))</f>
        <v>0.15</v>
      </c>
    </row>
    <row r="283" customFormat="false" ht="15.75" hidden="false" customHeight="true" outlineLevel="0" collapsed="false">
      <c r="A283" s="57" t="s">
        <v>426</v>
      </c>
      <c r="B283" s="9" t="n">
        <v>-1.08</v>
      </c>
      <c r="C283" s="9" t="n">
        <v>-1.99</v>
      </c>
      <c r="D283" s="9"/>
      <c r="E283" s="9"/>
      <c r="F283" s="9" t="n">
        <v>0.35</v>
      </c>
      <c r="G283" s="9" t="n">
        <v>-1.61</v>
      </c>
      <c r="H283" s="9"/>
      <c r="I283" s="9"/>
      <c r="J283" s="9" t="n">
        <v>-0.58</v>
      </c>
      <c r="K283" s="9" t="n">
        <v>-1.35</v>
      </c>
      <c r="L283" s="9" t="n">
        <v>-0.02</v>
      </c>
      <c r="M283" s="9" t="n">
        <v>0.15</v>
      </c>
      <c r="N283" s="9"/>
      <c r="O283" s="9"/>
      <c r="P283" s="9"/>
      <c r="Q283" s="58" t="n">
        <f aca="false">TRIMMEAN(B283:P283,2/COUNT(B283:P283))</f>
        <v>-0.748333333333333</v>
      </c>
    </row>
    <row r="284" customFormat="false" ht="15.75" hidden="false" customHeight="true" outlineLevel="0" collapsed="false">
      <c r="A284" s="59" t="s">
        <v>427</v>
      </c>
      <c r="B284" s="9" t="n">
        <v>-0.44</v>
      </c>
      <c r="C284" s="9" t="n">
        <v>0.35</v>
      </c>
      <c r="D284" s="9" t="n">
        <v>0.68</v>
      </c>
      <c r="E284" s="9" t="n">
        <v>0.5</v>
      </c>
      <c r="F284" s="9"/>
      <c r="G284" s="9" t="n">
        <v>1.09</v>
      </c>
      <c r="H284" s="9" t="n">
        <v>0.38</v>
      </c>
      <c r="I284" s="9"/>
      <c r="J284" s="9" t="n">
        <v>0.13</v>
      </c>
      <c r="K284" s="9" t="n">
        <v>0.13</v>
      </c>
      <c r="L284" s="9"/>
      <c r="M284" s="9"/>
      <c r="N284" s="9"/>
      <c r="O284" s="9"/>
      <c r="P284" s="9"/>
      <c r="Q284" s="58" t="n">
        <f aca="false">TRIMMEAN(B284:P284,2/COUNT(B284:P284))</f>
        <v>0.361666666666667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-0.03</v>
      </c>
      <c r="D286" s="9"/>
      <c r="E286" s="9" t="n">
        <v>1.09</v>
      </c>
      <c r="F286" s="9" t="n">
        <v>-0.13</v>
      </c>
      <c r="G286" s="9"/>
      <c r="H286" s="9" t="n">
        <v>-0.48</v>
      </c>
      <c r="I286" s="9"/>
      <c r="J286" s="9"/>
      <c r="K286" s="9" t="n">
        <v>0.79</v>
      </c>
      <c r="L286" s="9"/>
      <c r="M286" s="9"/>
      <c r="N286" s="9"/>
      <c r="O286" s="9"/>
      <c r="P286" s="9"/>
      <c r="Q286" s="58" t="n">
        <f aca="false">TRIMMEAN(B286:P286,2/COUNT(B286:P286))</f>
        <v>0.21</v>
      </c>
    </row>
    <row r="287" customFormat="false" ht="15.75" hidden="false" customHeight="true" outlineLevel="0" collapsed="false">
      <c r="A287" s="57" t="s">
        <v>430</v>
      </c>
      <c r="B287" s="9"/>
      <c r="C287" s="9" t="n">
        <v>0.13</v>
      </c>
      <c r="D287" s="9"/>
      <c r="E287" s="9" t="n">
        <v>-1.16</v>
      </c>
      <c r="F287" s="9" t="n">
        <v>-1.55</v>
      </c>
      <c r="G287" s="9"/>
      <c r="H287" s="9" t="n">
        <v>-0.9</v>
      </c>
      <c r="I287" s="9"/>
      <c r="J287" s="9"/>
      <c r="K287" s="9" t="n">
        <v>-0.63</v>
      </c>
      <c r="L287" s="9" t="n">
        <v>0.36</v>
      </c>
      <c r="M287" s="9"/>
      <c r="N287" s="9" t="n">
        <v>0.16</v>
      </c>
      <c r="O287" s="9" t="n">
        <v>-0.4</v>
      </c>
      <c r="P287" s="9" t="n">
        <v>-0.04</v>
      </c>
      <c r="Q287" s="58" t="n">
        <f aca="false">TRIMMEAN(B287:P287,2/COUNT(B287:P287))</f>
        <v>-0.405714285714286</v>
      </c>
    </row>
    <row r="288" customFormat="false" ht="15.75" hidden="false" customHeight="true" outlineLevel="0" collapsed="false">
      <c r="A288" s="59" t="s">
        <v>431</v>
      </c>
      <c r="B288" s="9"/>
      <c r="C288" s="9" t="n">
        <v>-0.79</v>
      </c>
      <c r="D288" s="9"/>
      <c r="E288" s="9" t="n">
        <v>-0.68</v>
      </c>
      <c r="F288" s="9" t="n">
        <v>-0.66</v>
      </c>
      <c r="G288" s="9"/>
      <c r="H288" s="9" t="n">
        <v>-0.88</v>
      </c>
      <c r="I288" s="9"/>
      <c r="J288" s="9"/>
      <c r="K288" s="9" t="n">
        <v>0.18</v>
      </c>
      <c r="L288" s="9" t="n">
        <v>-1.5</v>
      </c>
      <c r="M288" s="9" t="n">
        <v>-0.32</v>
      </c>
      <c r="N288" s="9" t="n">
        <v>-1.2</v>
      </c>
      <c r="O288" s="9"/>
      <c r="P288" s="9" t="n">
        <v>-0.76</v>
      </c>
      <c r="Q288" s="58" t="n">
        <f aca="false">TRIMMEAN(B288:P288,2/COUNT(B288:P288))</f>
        <v>-0.755714285714286</v>
      </c>
    </row>
    <row r="289" customFormat="false" ht="15.75" hidden="false" customHeight="true" outlineLevel="0" collapsed="false">
      <c r="A289" s="57" t="s">
        <v>432</v>
      </c>
      <c r="B289" s="9" t="n">
        <v>-0.61</v>
      </c>
      <c r="C289" s="9" t="n">
        <v>-0.16</v>
      </c>
      <c r="D289" s="9"/>
      <c r="E289" s="9" t="n">
        <v>-0.53</v>
      </c>
      <c r="F289" s="9" t="n">
        <v>-0.02</v>
      </c>
      <c r="G289" s="9" t="n">
        <v>-0.18</v>
      </c>
      <c r="H289" s="9"/>
      <c r="I289" s="9"/>
      <c r="J289" s="9" t="n">
        <v>1.2</v>
      </c>
      <c r="K289" s="9" t="n">
        <v>0.39</v>
      </c>
      <c r="L289" s="9" t="n">
        <v>-0.12</v>
      </c>
      <c r="M289" s="9" t="n">
        <v>0.39</v>
      </c>
      <c r="N289" s="9"/>
      <c r="O289" s="9"/>
      <c r="P289" s="9"/>
      <c r="Q289" s="58" t="n">
        <f aca="false">TRIMMEAN(B289:P289,2/COUNT(B289:P289))</f>
        <v>-0.0328571428571429</v>
      </c>
    </row>
    <row r="290" customFormat="false" ht="15.75" hidden="false" customHeight="true" outlineLevel="0" collapsed="false">
      <c r="A290" s="59" t="s">
        <v>433</v>
      </c>
      <c r="B290" s="9"/>
      <c r="C290" s="9" t="n">
        <v>0.18</v>
      </c>
      <c r="D290" s="9"/>
      <c r="E290" s="9" t="n">
        <v>-0.88</v>
      </c>
      <c r="F290" s="9" t="n">
        <v>0.33</v>
      </c>
      <c r="G290" s="9"/>
      <c r="H290" s="9" t="n">
        <v>0.08</v>
      </c>
      <c r="I290" s="9"/>
      <c r="J290" s="9"/>
      <c r="K290" s="9" t="n">
        <v>-0.47</v>
      </c>
      <c r="L290" s="9" t="n">
        <v>0.82</v>
      </c>
      <c r="M290" s="9" t="n">
        <v>-0.65</v>
      </c>
      <c r="N290" s="9" t="n">
        <v>0.07</v>
      </c>
      <c r="O290" s="9" t="n">
        <v>-1.57</v>
      </c>
      <c r="P290" s="9" t="n">
        <v>0.59</v>
      </c>
      <c r="Q290" s="58" t="n">
        <f aca="false">TRIMMEAN(B290:P290,2/COUNT(B290:P290))</f>
        <v>-0.09375</v>
      </c>
    </row>
    <row r="291" customFormat="false" ht="15.75" hidden="false" customHeight="true" outlineLevel="0" collapsed="false">
      <c r="A291" s="57" t="s">
        <v>434</v>
      </c>
      <c r="B291" s="9" t="n">
        <v>0.63</v>
      </c>
      <c r="C291" s="9" t="n">
        <v>0.57</v>
      </c>
      <c r="D291" s="9" t="n">
        <v>-0.29</v>
      </c>
      <c r="E291" s="9"/>
      <c r="F291" s="9"/>
      <c r="G291" s="9"/>
      <c r="H291" s="9" t="n">
        <v>0.44</v>
      </c>
      <c r="I291" s="9"/>
      <c r="J291" s="9"/>
      <c r="K291" s="9" t="n">
        <v>-0.51</v>
      </c>
      <c r="L291" s="9" t="n">
        <v>-1.44</v>
      </c>
      <c r="M291" s="9" t="n">
        <v>0.37</v>
      </c>
      <c r="N291" s="9"/>
      <c r="O291" s="9" t="n">
        <v>0.36</v>
      </c>
      <c r="P291" s="9" t="n">
        <v>0.46</v>
      </c>
      <c r="Q291" s="58" t="n">
        <f aca="false">TRIMMEAN(B291:P291,2/COUNT(B291:P291))</f>
        <v>0.2</v>
      </c>
    </row>
    <row r="292" customFormat="false" ht="15.75" hidden="false" customHeight="true" outlineLevel="0" collapsed="false">
      <c r="A292" s="57" t="s">
        <v>435</v>
      </c>
      <c r="B292" s="9" t="n">
        <v>-0.84</v>
      </c>
      <c r="C292" s="9" t="n">
        <v>0.12</v>
      </c>
      <c r="D292" s="9"/>
      <c r="E292" s="9" t="n">
        <v>0.14</v>
      </c>
      <c r="F292" s="9"/>
      <c r="G292" s="9" t="n">
        <v>0.13</v>
      </c>
      <c r="H292" s="9"/>
      <c r="I292" s="9"/>
      <c r="J292" s="9"/>
      <c r="K292" s="9" t="n">
        <v>0.29</v>
      </c>
      <c r="L292" s="9" t="n">
        <v>-0.15</v>
      </c>
      <c r="M292" s="9" t="n">
        <v>0.42</v>
      </c>
      <c r="N292" s="9"/>
      <c r="O292" s="9"/>
      <c r="P292" s="9"/>
      <c r="Q292" s="58" t="n">
        <f aca="false">TRIMMEAN(B292:P292,2/COUNT(B292:P292))</f>
        <v>0.106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-0.18</v>
      </c>
      <c r="D294" s="9"/>
      <c r="E294" s="9" t="n">
        <v>-0.51</v>
      </c>
      <c r="F294" s="9" t="n">
        <v>-0.08</v>
      </c>
      <c r="G294" s="9"/>
      <c r="H294" s="9" t="n">
        <v>-0.16</v>
      </c>
      <c r="I294" s="9"/>
      <c r="J294" s="9"/>
      <c r="K294" s="9" t="n">
        <v>-1.78</v>
      </c>
      <c r="L294" s="9" t="n">
        <v>-1.03</v>
      </c>
      <c r="M294" s="9" t="n">
        <v>-0.45</v>
      </c>
      <c r="N294" s="9" t="n">
        <v>-0.59</v>
      </c>
      <c r="O294" s="9" t="n">
        <v>-1.07</v>
      </c>
      <c r="P294" s="9" t="n">
        <v>-3.71</v>
      </c>
      <c r="Q294" s="58" t="n">
        <f aca="false">TRIMMEAN(B294:P294,2/COUNT(B294:P294))</f>
        <v>-0.72125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0.53</v>
      </c>
      <c r="C297" s="9" t="n">
        <v>0.38</v>
      </c>
      <c r="D297" s="9" t="n">
        <v>-0.15</v>
      </c>
      <c r="E297" s="9"/>
      <c r="F297" s="9" t="n">
        <v>0.18</v>
      </c>
      <c r="G297" s="9" t="n">
        <v>0.63</v>
      </c>
      <c r="H297" s="9"/>
      <c r="I297" s="9"/>
      <c r="J297" s="9" t="n">
        <v>-0.32</v>
      </c>
      <c r="K297" s="9" t="n">
        <v>-0.26</v>
      </c>
      <c r="L297" s="9" t="n">
        <v>-0.82</v>
      </c>
      <c r="M297" s="9" t="n">
        <v>-0.58</v>
      </c>
      <c r="N297" s="9"/>
      <c r="O297" s="9"/>
      <c r="P297" s="9"/>
      <c r="Q297" s="58" t="n">
        <f aca="false">TRIMMEAN(B297:P297,2/COUNT(B297:P297))</f>
        <v>-0.0314285714285714</v>
      </c>
    </row>
    <row r="298" customFormat="false" ht="15.75" hidden="false" customHeight="true" outlineLevel="0" collapsed="false">
      <c r="A298" s="57" t="s">
        <v>441</v>
      </c>
      <c r="B298" s="9"/>
      <c r="C298" s="9" t="n">
        <v>-1.16</v>
      </c>
      <c r="D298" s="9"/>
      <c r="E298" s="9" t="n">
        <v>-1.03</v>
      </c>
      <c r="F298" s="9"/>
      <c r="G298" s="9" t="n">
        <v>-0.31</v>
      </c>
      <c r="H298" s="9" t="n">
        <v>0.25</v>
      </c>
      <c r="I298" s="9"/>
      <c r="J298" s="9" t="n">
        <v>-1.05</v>
      </c>
      <c r="K298" s="9" t="n">
        <v>-3.24</v>
      </c>
      <c r="L298" s="9" t="n">
        <v>-0.58</v>
      </c>
      <c r="M298" s="9" t="n">
        <v>0.12</v>
      </c>
      <c r="N298" s="9"/>
      <c r="O298" s="9"/>
      <c r="P298" s="9"/>
      <c r="Q298" s="58" t="n">
        <f aca="false">TRIMMEAN(B298:P298,2/COUNT(B298:P298))</f>
        <v>-0.668333333333333</v>
      </c>
    </row>
    <row r="299" customFormat="false" ht="15.75" hidden="false" customHeight="true" outlineLevel="0" collapsed="false">
      <c r="A299" s="59" t="s">
        <v>442</v>
      </c>
      <c r="B299" s="9"/>
      <c r="C299" s="9" t="n">
        <v>-0.58</v>
      </c>
      <c r="D299" s="9"/>
      <c r="E299" s="9" t="n">
        <v>-1.58</v>
      </c>
      <c r="F299" s="9"/>
      <c r="G299" s="9"/>
      <c r="H299" s="9"/>
      <c r="I299" s="9"/>
      <c r="J299" s="9"/>
      <c r="K299" s="9" t="n">
        <v>-0.5</v>
      </c>
      <c r="L299" s="9" t="n">
        <v>0.43</v>
      </c>
      <c r="M299" s="9" t="n">
        <v>0.34</v>
      </c>
      <c r="N299" s="9" t="n">
        <v>0.08</v>
      </c>
      <c r="O299" s="9" t="n">
        <v>0.89</v>
      </c>
      <c r="P299" s="9" t="n">
        <v>-1.46</v>
      </c>
      <c r="Q299" s="58" t="n">
        <f aca="false">TRIMMEAN(B299:P299,2/COUNT(B299:P299))</f>
        <v>-0.281666666666667</v>
      </c>
    </row>
    <row r="300" customFormat="false" ht="15.75" hidden="false" customHeight="true" outlineLevel="0" collapsed="false">
      <c r="A300" s="59" t="s">
        <v>443</v>
      </c>
      <c r="B300" s="9" t="n">
        <v>0.39</v>
      </c>
      <c r="C300" s="9" t="n">
        <v>0.97</v>
      </c>
      <c r="D300" s="9" t="n">
        <v>0.87</v>
      </c>
      <c r="E300" s="9"/>
      <c r="F300" s="9" t="n">
        <v>1.01</v>
      </c>
      <c r="G300" s="9" t="n">
        <v>2.01</v>
      </c>
      <c r="H300" s="9"/>
      <c r="I300" s="9" t="n">
        <v>0.42</v>
      </c>
      <c r="J300" s="9" t="n">
        <v>-0.06</v>
      </c>
      <c r="K300" s="9"/>
      <c r="L300" s="9"/>
      <c r="M300" s="9" t="n">
        <v>-0.61</v>
      </c>
      <c r="N300" s="9" t="n">
        <v>0.77</v>
      </c>
      <c r="O300" s="9"/>
      <c r="P300" s="9"/>
      <c r="Q300" s="58" t="n">
        <f aca="false">TRIMMEAN(B300:P300,2/COUNT(B300:P300))</f>
        <v>0.624285714285714</v>
      </c>
    </row>
    <row r="301" customFormat="false" ht="15.75" hidden="false" customHeight="true" outlineLevel="0" collapsed="false">
      <c r="A301" s="57" t="s">
        <v>444</v>
      </c>
      <c r="B301" s="9" t="n">
        <v>-1.18</v>
      </c>
      <c r="C301" s="9"/>
      <c r="D301" s="9"/>
      <c r="E301" s="9"/>
      <c r="F301" s="9" t="n">
        <v>-0.34</v>
      </c>
      <c r="G301" s="9" t="n">
        <v>-0.54</v>
      </c>
      <c r="H301" s="9"/>
      <c r="I301" s="9"/>
      <c r="J301" s="9" t="n">
        <v>-1.23</v>
      </c>
      <c r="K301" s="9" t="n">
        <v>-0.48</v>
      </c>
      <c r="L301" s="9" t="n">
        <v>-1.08</v>
      </c>
      <c r="M301" s="9"/>
      <c r="N301" s="9"/>
      <c r="O301" s="9"/>
      <c r="P301" s="9"/>
      <c r="Q301" s="58" t="n">
        <f aca="false">TRIMMEAN(B301:P301,2/COUNT(B301:P301))</f>
        <v>-0.82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 t="n">
        <v>0.3</v>
      </c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-1.38</v>
      </c>
      <c r="D303" s="9"/>
      <c r="E303" s="9" t="n">
        <v>-1.6</v>
      </c>
      <c r="F303" s="9" t="n">
        <v>-0.35</v>
      </c>
      <c r="G303" s="9"/>
      <c r="H303" s="9" t="n">
        <v>-0.12</v>
      </c>
      <c r="I303" s="9" t="n">
        <v>-1.36</v>
      </c>
      <c r="J303" s="9"/>
      <c r="K303" s="9" t="n">
        <v>-0.17</v>
      </c>
      <c r="L303" s="9" t="n">
        <v>-0.41</v>
      </c>
      <c r="M303" s="9" t="n">
        <v>-0.3</v>
      </c>
      <c r="N303" s="9" t="n">
        <v>0.21</v>
      </c>
      <c r="O303" s="9" t="n">
        <v>-0.99</v>
      </c>
      <c r="P303" s="9" t="n">
        <v>-1.9</v>
      </c>
      <c r="Q303" s="58" t="n">
        <f aca="false">TRIMMEAN(B303:P303,2/COUNT(B303:P303))</f>
        <v>-0.742222222222222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0.27</v>
      </c>
      <c r="C305" s="9" t="n">
        <v>0.81</v>
      </c>
      <c r="D305" s="9" t="n">
        <v>0.53</v>
      </c>
      <c r="E305" s="9"/>
      <c r="F305" s="9" t="n">
        <v>0.62</v>
      </c>
      <c r="G305" s="9" t="n">
        <v>0.95</v>
      </c>
      <c r="H305" s="9" t="n">
        <v>0.72</v>
      </c>
      <c r="I305" s="9" t="n">
        <v>-0.73</v>
      </c>
      <c r="J305" s="9"/>
      <c r="K305" s="9" t="n">
        <v>-0.23</v>
      </c>
      <c r="L305" s="9" t="n">
        <v>-0.4</v>
      </c>
      <c r="M305" s="9"/>
      <c r="N305" s="9" t="n">
        <v>0.35</v>
      </c>
      <c r="O305" s="9" t="n">
        <v>-0.37</v>
      </c>
      <c r="P305" s="9"/>
      <c r="Q305" s="58" t="n">
        <f aca="false">TRIMMEAN(B305:P305,2/COUNT(B305:P305))</f>
        <v>0.255555555555556</v>
      </c>
    </row>
    <row r="306" customFormat="false" ht="15.75" hidden="false" customHeight="true" outlineLevel="0" collapsed="false">
      <c r="A306" s="59" t="s">
        <v>449</v>
      </c>
      <c r="B306" s="9" t="n">
        <v>1.18</v>
      </c>
      <c r="C306" s="9" t="n">
        <v>0.78</v>
      </c>
      <c r="D306" s="9" t="n">
        <v>0.91</v>
      </c>
      <c r="E306" s="9"/>
      <c r="F306" s="9"/>
      <c r="G306" s="9" t="n">
        <v>0.2</v>
      </c>
      <c r="H306" s="9"/>
      <c r="I306" s="9" t="n">
        <v>0.22</v>
      </c>
      <c r="J306" s="9" t="n">
        <v>0.93</v>
      </c>
      <c r="K306" s="9"/>
      <c r="L306" s="9"/>
      <c r="M306" s="9" t="n">
        <v>1.15</v>
      </c>
      <c r="N306" s="9"/>
      <c r="O306" s="9" t="n">
        <v>1.01</v>
      </c>
      <c r="P306" s="9" t="n">
        <v>0.55</v>
      </c>
      <c r="Q306" s="58" t="n">
        <f aca="false">TRIMMEAN(B306:P306,2/COUNT(B306:P306))</f>
        <v>0.792857142857143</v>
      </c>
    </row>
    <row r="307" customFormat="false" ht="15.75" hidden="false" customHeight="true" outlineLevel="0" collapsed="false">
      <c r="A307" s="59" t="s">
        <v>450</v>
      </c>
      <c r="B307" s="9"/>
      <c r="C307" s="9" t="n">
        <v>0.37</v>
      </c>
      <c r="D307" s="9"/>
      <c r="E307" s="9" t="n">
        <v>-1.12</v>
      </c>
      <c r="F307" s="9"/>
      <c r="G307" s="9"/>
      <c r="H307" s="9"/>
      <c r="I307" s="9"/>
      <c r="J307" s="9"/>
      <c r="K307" s="9" t="n">
        <v>0.65</v>
      </c>
      <c r="L307" s="9"/>
      <c r="M307" s="9" t="n">
        <v>0.24</v>
      </c>
      <c r="N307" s="9"/>
      <c r="O307" s="9"/>
      <c r="P307" s="9"/>
      <c r="Q307" s="58" t="n">
        <f aca="false">TRIMMEAN(B307:P307,2/COUNT(B307:P307))</f>
        <v>0.305</v>
      </c>
    </row>
    <row r="308" customFormat="false" ht="15.75" hidden="false" customHeight="true" outlineLevel="0" collapsed="false">
      <c r="A308" s="60" t="s">
        <v>451</v>
      </c>
      <c r="B308" s="61"/>
      <c r="C308" s="61" t="n">
        <v>0.34</v>
      </c>
      <c r="D308" s="61"/>
      <c r="E308" s="61" t="n">
        <v>0.31</v>
      </c>
      <c r="F308" s="61" t="n">
        <v>0.22</v>
      </c>
      <c r="G308" s="61"/>
      <c r="H308" s="61" t="n">
        <v>1.02</v>
      </c>
      <c r="I308" s="61"/>
      <c r="J308" s="61"/>
      <c r="K308" s="61" t="n">
        <v>0.47</v>
      </c>
      <c r="L308" s="61" t="n">
        <v>0.71</v>
      </c>
      <c r="M308" s="61" t="n">
        <v>0.29</v>
      </c>
      <c r="N308" s="61" t="n">
        <v>0.36</v>
      </c>
      <c r="O308" s="61" t="n">
        <v>0.43</v>
      </c>
      <c r="P308" s="61" t="n">
        <v>0.54</v>
      </c>
      <c r="Q308" s="58" t="n">
        <f aca="false">TRIMMEAN(B308:P308,2/COUNT(B308:P308))</f>
        <v>0.43125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88" activePane="bottomLeft" state="frozen"/>
      <selection pane="topLeft" activeCell="A1" activeCellId="0" sqref="A1"/>
      <selection pane="bottomLeft" activeCell="B93" activeCellId="0" sqref="B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8.86"/>
    <col collapsed="false" customWidth="true" hidden="false" outlineLevel="0" max="6" min="2" style="1" width="11.15"/>
    <col collapsed="false" customWidth="true" hidden="false" outlineLevel="0" max="7" min="7" style="51" width="11.43"/>
    <col collapsed="false" customWidth="true" hidden="false" outlineLevel="0" max="11" min="8" style="51" width="9.71"/>
    <col collapsed="false" customWidth="true" hidden="false" outlineLevel="0" max="12" min="12" style="52" width="9.43"/>
  </cols>
  <sheetData>
    <row r="1" customFormat="false" ht="15" hidden="false" customHeight="true" outlineLevel="0" collapsed="false">
      <c r="A1" s="53" t="s">
        <v>143</v>
      </c>
      <c r="B1" s="54" t="n">
        <v>46180</v>
      </c>
      <c r="C1" s="54" t="n">
        <v>46187</v>
      </c>
      <c r="D1" s="54" t="n">
        <v>46194</v>
      </c>
      <c r="E1" s="54" t="n">
        <v>46201</v>
      </c>
      <c r="F1" s="54" t="n">
        <v>46208</v>
      </c>
      <c r="G1" s="54" t="n">
        <v>46215</v>
      </c>
      <c r="H1" s="54" t="n">
        <v>46222</v>
      </c>
      <c r="I1" s="54" t="n">
        <v>46229</v>
      </c>
      <c r="J1" s="54" t="n">
        <v>46236</v>
      </c>
      <c r="K1" s="54" t="n">
        <v>46243</v>
      </c>
      <c r="L1" s="53" t="s">
        <v>457</v>
      </c>
      <c r="N1" s="1" t="s">
        <v>145</v>
      </c>
      <c r="O1" s="56" t="n">
        <v>1.5</v>
      </c>
    </row>
    <row r="2" customFormat="false" ht="15.75" hidden="false" customHeight="true" outlineLevel="0" collapsed="false">
      <c r="A2" s="57" t="s">
        <v>146</v>
      </c>
      <c r="B2" s="9" t="n">
        <v>0.35</v>
      </c>
      <c r="C2" s="9"/>
      <c r="D2" s="9" t="n">
        <v>2.11</v>
      </c>
      <c r="E2" s="9" t="n">
        <v>-0.07</v>
      </c>
      <c r="F2" s="9"/>
      <c r="G2" s="9" t="n">
        <v>0.29</v>
      </c>
      <c r="H2" s="9" t="n">
        <v>1.91</v>
      </c>
      <c r="I2" s="9"/>
      <c r="J2" s="9"/>
      <c r="K2" s="9"/>
      <c r="L2" s="58" t="n">
        <f aca="false">TRIMMEAN(B2:K2,2/COUNT(B2:K2))</f>
        <v>0.85</v>
      </c>
    </row>
    <row r="3" customFormat="false" ht="15.75" hidden="false" customHeight="true" outlineLevel="0" collapsed="false">
      <c r="A3" s="57" t="s">
        <v>147</v>
      </c>
      <c r="B3" s="9" t="n">
        <v>0.96</v>
      </c>
      <c r="C3" s="9"/>
      <c r="D3" s="9"/>
      <c r="E3" s="9" t="n">
        <v>-1.3</v>
      </c>
      <c r="F3" s="9" t="n">
        <v>-0.61</v>
      </c>
      <c r="G3" s="9" t="n">
        <v>1.22</v>
      </c>
      <c r="H3" s="9"/>
      <c r="I3" s="9"/>
      <c r="J3" s="9"/>
      <c r="K3" s="9"/>
      <c r="L3" s="58" t="n">
        <f aca="false">TRIMMEAN(B3:K3,2/COUNT(B3:K3))</f>
        <v>0.175</v>
      </c>
    </row>
    <row r="4" customFormat="false" ht="15.75" hidden="false" customHeight="true" outlineLevel="0" collapsed="false">
      <c r="A4" s="57" t="s">
        <v>148</v>
      </c>
      <c r="B4" s="9" t="n">
        <v>2.21</v>
      </c>
      <c r="C4" s="9"/>
      <c r="D4" s="9"/>
      <c r="E4" s="9" t="n">
        <v>1.7</v>
      </c>
      <c r="F4" s="9" t="n">
        <v>-2.66</v>
      </c>
      <c r="G4" s="9" t="n">
        <v>-0.21</v>
      </c>
      <c r="H4" s="9" t="n">
        <v>-0.61</v>
      </c>
      <c r="I4" s="9"/>
      <c r="J4" s="9"/>
      <c r="K4" s="9"/>
      <c r="L4" s="58" t="n">
        <f aca="false">TRIMMEAN(B4:K4,2/COUNT(B4:K4))</f>
        <v>0.293333333333333</v>
      </c>
    </row>
    <row r="5" customFormat="false" ht="15.75" hidden="false" customHeight="true" outlineLevel="0" collapsed="false">
      <c r="A5" s="57" t="s">
        <v>149</v>
      </c>
      <c r="B5" s="9"/>
      <c r="C5" s="9" t="n">
        <v>-1.48</v>
      </c>
      <c r="D5" s="9"/>
      <c r="E5" s="9"/>
      <c r="F5" s="9" t="n">
        <v>-1.05</v>
      </c>
      <c r="G5" s="9" t="n">
        <v>0.29</v>
      </c>
      <c r="H5" s="9" t="n">
        <v>2.25</v>
      </c>
      <c r="I5" s="9" t="n">
        <v>0.26</v>
      </c>
      <c r="J5" s="9" t="n">
        <v>-0.81</v>
      </c>
      <c r="K5" s="9" t="n">
        <v>1.93</v>
      </c>
      <c r="L5" s="58" t="n">
        <f aca="false">TRIMMEAN(B5:K5,2/COUNT(B5:K5))</f>
        <v>0.124</v>
      </c>
    </row>
    <row r="6" customFormat="false" ht="15.75" hidden="false" customHeight="true" outlineLevel="0" collapsed="false">
      <c r="A6" s="59" t="s">
        <v>150</v>
      </c>
      <c r="B6" s="9"/>
      <c r="C6" s="9" t="n">
        <v>-0.09</v>
      </c>
      <c r="D6" s="9"/>
      <c r="E6" s="9"/>
      <c r="F6" s="9" t="n">
        <v>1.7</v>
      </c>
      <c r="G6" s="9" t="n">
        <v>1.24</v>
      </c>
      <c r="H6" s="9" t="n">
        <v>-0.5</v>
      </c>
      <c r="I6" s="9" t="n">
        <v>1.51</v>
      </c>
      <c r="J6" s="9" t="n">
        <v>0.45</v>
      </c>
      <c r="K6" s="9" t="n">
        <v>0.68</v>
      </c>
      <c r="L6" s="58" t="n">
        <f aca="false">TRIMMEAN(B6:K6,2/COUNT(B6:K6))</f>
        <v>0.758</v>
      </c>
    </row>
    <row r="7" customFormat="false" ht="15.75" hidden="false" customHeight="true" outlineLevel="0" collapsed="false">
      <c r="A7" s="59" t="s">
        <v>151</v>
      </c>
      <c r="B7" s="9" t="n">
        <v>-1.98</v>
      </c>
      <c r="C7" s="9"/>
      <c r="D7" s="9" t="n">
        <v>-2.32</v>
      </c>
      <c r="E7" s="9" t="n">
        <v>1.43</v>
      </c>
      <c r="F7" s="9" t="n">
        <v>-0.84</v>
      </c>
      <c r="G7" s="9"/>
      <c r="H7" s="9" t="n">
        <v>-2.11</v>
      </c>
      <c r="I7" s="9"/>
      <c r="J7" s="9"/>
      <c r="K7" s="9"/>
      <c r="L7" s="58" t="n">
        <f aca="false">TRIMMEAN(B7:K7,2/COUNT(B7:K7))</f>
        <v>-1.64333333333333</v>
      </c>
    </row>
    <row r="8" customFormat="false" ht="15.75" hidden="false" customHeight="true" outlineLevel="0" collapsed="false">
      <c r="A8" s="59" t="s">
        <v>152</v>
      </c>
      <c r="B8" s="9" t="n">
        <v>-1.98</v>
      </c>
      <c r="C8" s="9"/>
      <c r="D8" s="9" t="n">
        <v>2.11</v>
      </c>
      <c r="E8" s="9" t="n">
        <v>2.93</v>
      </c>
      <c r="F8" s="9"/>
      <c r="G8" s="9"/>
      <c r="H8" s="9" t="n">
        <v>-1.11</v>
      </c>
      <c r="I8" s="9"/>
      <c r="J8" s="9" t="n">
        <v>-0.31</v>
      </c>
      <c r="K8" s="9"/>
      <c r="L8" s="58" t="n">
        <f aca="false">TRIMMEAN(B8:K8,2/COUNT(B8:K8))</f>
        <v>0.23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1.36</v>
      </c>
      <c r="E9" s="9"/>
      <c r="F9" s="9" t="n">
        <v>1.95</v>
      </c>
      <c r="G9" s="9" t="n">
        <v>1.99</v>
      </c>
      <c r="H9" s="9"/>
      <c r="I9" s="9" t="n">
        <v>2.01</v>
      </c>
      <c r="J9" s="9" t="n">
        <v>0.2</v>
      </c>
      <c r="K9" s="9" t="n">
        <v>-0.1</v>
      </c>
      <c r="L9" s="58" t="n">
        <f aca="false">TRIMMEAN(B9:K9,2/COUNT(B9:K9))</f>
        <v>1.375</v>
      </c>
    </row>
    <row r="10" customFormat="false" ht="15.75" hidden="false" customHeight="true" outlineLevel="0" collapsed="false">
      <c r="A10" s="59" t="s">
        <v>154</v>
      </c>
      <c r="B10" s="9"/>
      <c r="C10" s="9" t="n">
        <v>-1.09</v>
      </c>
      <c r="D10" s="9"/>
      <c r="E10" s="9"/>
      <c r="F10" s="9" t="n">
        <v>-4.34</v>
      </c>
      <c r="G10" s="9" t="n">
        <v>-3.44</v>
      </c>
      <c r="H10" s="9" t="n">
        <v>-0.67</v>
      </c>
      <c r="I10" s="9" t="n">
        <v>1.26</v>
      </c>
      <c r="J10" s="9" t="n">
        <v>1.7</v>
      </c>
      <c r="K10" s="9" t="n">
        <v>-3.6</v>
      </c>
      <c r="L10" s="58" t="n">
        <f aca="false">TRIMMEAN(B10:K10,2/COUNT(B10:K10))</f>
        <v>-1.508</v>
      </c>
    </row>
    <row r="11" customFormat="false" ht="15.75" hidden="false" customHeight="true" outlineLevel="0" collapsed="false">
      <c r="A11" s="57" t="s">
        <v>155</v>
      </c>
      <c r="B11" s="9" t="n">
        <v>-1.54</v>
      </c>
      <c r="C11" s="9"/>
      <c r="D11" s="9"/>
      <c r="E11" s="9" t="n">
        <v>-0.05</v>
      </c>
      <c r="F11" s="9" t="n">
        <v>-2.16</v>
      </c>
      <c r="G11" s="9" t="n">
        <v>0.29</v>
      </c>
      <c r="H11" s="9" t="n">
        <v>-3.61</v>
      </c>
      <c r="I11" s="9"/>
      <c r="J11" s="9"/>
      <c r="K11" s="9"/>
      <c r="L11" s="58" t="n">
        <f aca="false">TRIMMEAN(B11:K11,2/COUNT(B11:K11))</f>
        <v>-1.25</v>
      </c>
    </row>
    <row r="12" customFormat="false" ht="15.75" hidden="false" customHeight="true" outlineLevel="0" collapsed="false">
      <c r="A12" s="59" t="s">
        <v>156</v>
      </c>
      <c r="B12" s="9" t="n">
        <v>2.1</v>
      </c>
      <c r="C12" s="9"/>
      <c r="D12" s="9" t="n">
        <v>1.36</v>
      </c>
      <c r="E12" s="9" t="n">
        <v>1.93</v>
      </c>
      <c r="F12" s="9" t="n">
        <v>0.95</v>
      </c>
      <c r="G12" s="9"/>
      <c r="H12" s="9" t="n">
        <v>-1.09</v>
      </c>
      <c r="I12" s="9"/>
      <c r="J12" s="9" t="n">
        <v>1.95</v>
      </c>
      <c r="K12" s="9" t="n">
        <v>0.43</v>
      </c>
      <c r="L12" s="58" t="n">
        <f aca="false">TRIMMEAN(B12:K12,2/COUNT(B12:K12))</f>
        <v>1.324</v>
      </c>
    </row>
    <row r="13" customFormat="false" ht="15.75" hidden="false" customHeight="true" outlineLevel="0" collapsed="false">
      <c r="A13" s="57" t="s">
        <v>157</v>
      </c>
      <c r="B13" s="9"/>
      <c r="C13" s="9" t="n">
        <v>-2.98</v>
      </c>
      <c r="D13" s="9" t="n">
        <v>0.86</v>
      </c>
      <c r="E13" s="9"/>
      <c r="F13" s="9" t="n">
        <v>0.7</v>
      </c>
      <c r="G13" s="9" t="n">
        <v>-0.03</v>
      </c>
      <c r="H13" s="9" t="n">
        <v>0.41</v>
      </c>
      <c r="I13" s="9" t="n">
        <v>1.26</v>
      </c>
      <c r="J13" s="9" t="n">
        <v>1.95</v>
      </c>
      <c r="K13" s="9" t="n">
        <v>4.43</v>
      </c>
      <c r="L13" s="58" t="n">
        <f aca="false">TRIMMEAN(B13:K13,2/COUNT(B13:K13))</f>
        <v>0.858333333333333</v>
      </c>
    </row>
    <row r="14" customFormat="false" ht="15.75" hidden="false" customHeight="true" outlineLevel="0" collapsed="false">
      <c r="A14" s="59" t="s">
        <v>158</v>
      </c>
      <c r="B14" s="9" t="n">
        <v>0.85</v>
      </c>
      <c r="C14" s="9" t="n">
        <v>1.91</v>
      </c>
      <c r="D14" s="9" t="n">
        <v>1.11</v>
      </c>
      <c r="E14" s="9" t="n">
        <v>0.43</v>
      </c>
      <c r="F14" s="9" t="n">
        <v>0.95</v>
      </c>
      <c r="G14" s="9"/>
      <c r="H14" s="9" t="n">
        <v>1.16</v>
      </c>
      <c r="I14" s="9"/>
      <c r="J14" s="9" t="n">
        <v>1.45</v>
      </c>
      <c r="K14" s="9"/>
      <c r="L14" s="58" t="n">
        <f aca="false">TRIMMEAN(B14:K14,2/COUNT(B14:K14))</f>
        <v>1.104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 t="n">
        <v>1.7</v>
      </c>
      <c r="G15" s="9"/>
      <c r="H15" s="9" t="n">
        <v>2</v>
      </c>
      <c r="I15" s="9"/>
      <c r="J15" s="9"/>
      <c r="K15" s="9" t="n">
        <v>-3.1</v>
      </c>
      <c r="L15" s="58" t="n">
        <f aca="false">TRIMMEAN(B15:K15,2/COUNT(B15:K15))</f>
        <v>1.7</v>
      </c>
    </row>
    <row r="16" customFormat="false" ht="15.75" hidden="false" customHeight="true" outlineLevel="0" collapsed="false">
      <c r="A16" s="57" t="s">
        <v>160</v>
      </c>
      <c r="B16" s="9"/>
      <c r="C16" s="9" t="n">
        <v>-0.48</v>
      </c>
      <c r="D16" s="9"/>
      <c r="E16" s="9"/>
      <c r="F16" s="9"/>
      <c r="G16" s="9" t="n">
        <v>-0.21</v>
      </c>
      <c r="H16" s="9" t="n">
        <v>1.41</v>
      </c>
      <c r="I16" s="9"/>
      <c r="J16" s="9"/>
      <c r="K16" s="9"/>
      <c r="L16" s="58" t="n">
        <f aca="false">TRIMMEAN(B16:K16,2/COUNT(B16:K16))</f>
        <v>-0.21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58" t="e">
        <f aca="false">TRIMMEAN(B17:K17,2/COUNT(B17:K17))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58" t="e">
        <f aca="false">TRIMMEAN(B18:K18,2/COUNT(B18:K18))</f>
        <v>#DIV/0!</v>
      </c>
    </row>
    <row r="19" customFormat="false" ht="15.75" hidden="false" customHeight="true" outlineLevel="0" collapsed="false">
      <c r="A19" s="59" t="s">
        <v>163</v>
      </c>
      <c r="B19" s="9" t="n">
        <v>4.1</v>
      </c>
      <c r="C19" s="9" t="n">
        <v>1.41</v>
      </c>
      <c r="D19" s="9" t="n">
        <v>3.61</v>
      </c>
      <c r="E19" s="9" t="n">
        <v>2.18</v>
      </c>
      <c r="F19" s="9"/>
      <c r="G19" s="9"/>
      <c r="H19" s="9" t="n">
        <v>2.66</v>
      </c>
      <c r="I19" s="9"/>
      <c r="J19" s="9"/>
      <c r="K19" s="9"/>
      <c r="L19" s="58" t="n">
        <f aca="false">TRIMMEAN(B19:K19,2/COUNT(B19:K19))</f>
        <v>2.81666666666667</v>
      </c>
    </row>
    <row r="20" customFormat="false" ht="15.75" hidden="false" customHeight="true" outlineLevel="0" collapsed="false">
      <c r="A20" s="57" t="s">
        <v>164</v>
      </c>
      <c r="B20" s="9" t="n">
        <v>-0.48</v>
      </c>
      <c r="C20" s="9" t="n">
        <v>-1.98</v>
      </c>
      <c r="D20" s="9"/>
      <c r="E20" s="9" t="n">
        <v>0.43</v>
      </c>
      <c r="F20" s="9" t="n">
        <v>-1.84</v>
      </c>
      <c r="G20" s="9" t="n">
        <v>-3.21</v>
      </c>
      <c r="H20" s="9"/>
      <c r="I20" s="9" t="n">
        <v>-0.01</v>
      </c>
      <c r="J20" s="9" t="n">
        <v>-0.3</v>
      </c>
      <c r="K20" s="9" t="n">
        <v>-0.1</v>
      </c>
      <c r="L20" s="58" t="n">
        <f aca="false">TRIMMEAN(B20:K20,2/COUNT(B20:K20))</f>
        <v>-0.785</v>
      </c>
    </row>
    <row r="21" customFormat="false" ht="15.75" hidden="false" customHeight="true" outlineLevel="0" collapsed="false">
      <c r="A21" s="59" t="s">
        <v>165</v>
      </c>
      <c r="B21" s="9"/>
      <c r="C21" s="9" t="n">
        <v>-3.98</v>
      </c>
      <c r="D21" s="9"/>
      <c r="E21" s="9"/>
      <c r="F21" s="9" t="n">
        <v>-1.05</v>
      </c>
      <c r="G21" s="9" t="n">
        <v>1.49</v>
      </c>
      <c r="H21" s="9" t="n">
        <v>-0.17</v>
      </c>
      <c r="I21" s="9" t="n">
        <v>-2.51</v>
      </c>
      <c r="J21" s="9" t="n">
        <v>-1.31</v>
      </c>
      <c r="K21" s="9" t="n">
        <v>1.18</v>
      </c>
      <c r="L21" s="58" t="n">
        <f aca="false">TRIMMEAN(B21:K21,2/COUNT(B21:K21))</f>
        <v>-0.772</v>
      </c>
    </row>
    <row r="22" customFormat="false" ht="15.75" hidden="false" customHeight="true" outlineLevel="0" collapsed="false">
      <c r="A22" s="57" t="s">
        <v>166</v>
      </c>
      <c r="B22" s="9" t="n">
        <v>-0.83</v>
      </c>
      <c r="C22" s="9"/>
      <c r="D22" s="9" t="n">
        <v>0.86</v>
      </c>
      <c r="E22" s="9"/>
      <c r="F22" s="9"/>
      <c r="G22" s="9" t="n">
        <v>0.22</v>
      </c>
      <c r="H22" s="9" t="n">
        <v>-0.84</v>
      </c>
      <c r="I22" s="9"/>
      <c r="J22" s="9"/>
      <c r="K22" s="9"/>
      <c r="L22" s="58" t="n">
        <f aca="false">TRIMMEAN(B22:K22,2/COUNT(B22:K22))</f>
        <v>-0.305</v>
      </c>
    </row>
    <row r="23" customFormat="false" ht="15.75" hidden="false" customHeight="true" outlineLevel="0" collapsed="false">
      <c r="A23" s="57" t="s">
        <v>167</v>
      </c>
      <c r="B23" s="9" t="n">
        <v>2.35</v>
      </c>
      <c r="C23" s="9"/>
      <c r="D23" s="9" t="n">
        <v>-0.32</v>
      </c>
      <c r="E23" s="9" t="n">
        <v>1.93</v>
      </c>
      <c r="F23" s="9"/>
      <c r="G23" s="9" t="n">
        <v>0.29</v>
      </c>
      <c r="H23" s="9" t="n">
        <v>1.16</v>
      </c>
      <c r="I23" s="9"/>
      <c r="J23" s="9" t="n">
        <v>2.2</v>
      </c>
      <c r="K23" s="9"/>
      <c r="L23" s="58" t="n">
        <f aca="false">TRIMMEAN(B23:K23,2/COUNT(B23:K23))</f>
        <v>1.395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58" t="e">
        <f aca="false">TRIMMEAN(B24:K24,2/COUNT(B24:K24))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0.41</v>
      </c>
      <c r="D25" s="9"/>
      <c r="E25" s="9"/>
      <c r="F25" s="9"/>
      <c r="G25" s="9" t="n">
        <v>0.47</v>
      </c>
      <c r="H25" s="9"/>
      <c r="I25" s="9" t="n">
        <v>0.26</v>
      </c>
      <c r="J25" s="9" t="n">
        <v>1.7</v>
      </c>
      <c r="K25" s="9" t="n">
        <v>0.43</v>
      </c>
      <c r="L25" s="58" t="n">
        <f aca="false">TRIMMEAN(B25:K25,2/COUNT(B25:K25))</f>
        <v>0.436666666666667</v>
      </c>
    </row>
    <row r="26" customFormat="false" ht="15.75" hidden="false" customHeight="true" outlineLevel="0" collapsed="false">
      <c r="A26" s="57" t="s">
        <v>170</v>
      </c>
      <c r="B26" s="9" t="n">
        <v>1.85</v>
      </c>
      <c r="C26" s="9" t="n">
        <v>3.41</v>
      </c>
      <c r="D26" s="9" t="n">
        <v>0.36</v>
      </c>
      <c r="E26" s="9" t="n">
        <v>1.93</v>
      </c>
      <c r="F26" s="9"/>
      <c r="G26" s="9" t="n">
        <v>-4.71</v>
      </c>
      <c r="H26" s="9" t="n">
        <v>1.41</v>
      </c>
      <c r="I26" s="9"/>
      <c r="J26" s="9"/>
      <c r="K26" s="9" t="n">
        <v>0.18</v>
      </c>
      <c r="L26" s="58" t="n">
        <f aca="false">TRIMMEAN(B26:K26,2/COUNT(B26:K26))</f>
        <v>1.146</v>
      </c>
    </row>
    <row r="27" customFormat="false" ht="15.75" hidden="false" customHeight="true" outlineLevel="0" collapsed="false">
      <c r="A27" s="57" t="s">
        <v>171</v>
      </c>
      <c r="B27" s="9" t="n">
        <v>2.96</v>
      </c>
      <c r="C27" s="9"/>
      <c r="D27" s="9"/>
      <c r="E27" s="9" t="n">
        <v>3.7</v>
      </c>
      <c r="F27" s="9" t="n">
        <v>-0.66</v>
      </c>
      <c r="G27" s="9" t="n">
        <v>-0.03</v>
      </c>
      <c r="H27" s="9" t="n">
        <v>0.66</v>
      </c>
      <c r="I27" s="9"/>
      <c r="J27" s="9"/>
      <c r="K27" s="9"/>
      <c r="L27" s="58" t="n">
        <f aca="false">TRIMMEAN(B27:K27,2/COUNT(B27:K27))</f>
        <v>1.19666666666667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-2.84</v>
      </c>
      <c r="G28" s="9" t="n">
        <v>0.49</v>
      </c>
      <c r="H28" s="9" t="n">
        <v>-0.25</v>
      </c>
      <c r="I28" s="9" t="n">
        <v>-1.51</v>
      </c>
      <c r="J28" s="9"/>
      <c r="K28" s="9"/>
      <c r="L28" s="58" t="n">
        <f aca="false">TRIMMEAN(B28:K28,2/COUNT(B28:K28))</f>
        <v>-0.88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58" t="e">
        <f aca="false">TRIMMEAN(B29:K29,2/COUNT(B29:K29))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-1.48</v>
      </c>
      <c r="D30" s="9"/>
      <c r="E30" s="9"/>
      <c r="F30" s="9" t="n">
        <v>0.7</v>
      </c>
      <c r="G30" s="9" t="n">
        <v>2.24</v>
      </c>
      <c r="H30" s="9" t="n">
        <v>0.75</v>
      </c>
      <c r="I30" s="9" t="n">
        <v>1.76</v>
      </c>
      <c r="J30" s="9" t="n">
        <v>-1.31</v>
      </c>
      <c r="K30" s="9" t="n">
        <v>1.18</v>
      </c>
      <c r="L30" s="58" t="n">
        <f aca="false">TRIMMEAN(B30:K30,2/COUNT(B30:K30))</f>
        <v>0.616</v>
      </c>
    </row>
    <row r="31" customFormat="false" ht="15.75" hidden="false" customHeight="true" outlineLevel="0" collapsed="false">
      <c r="A31" s="59" t="s">
        <v>175</v>
      </c>
      <c r="B31" s="9"/>
      <c r="C31" s="9" t="n">
        <v>-0.09</v>
      </c>
      <c r="D31" s="9"/>
      <c r="E31" s="9"/>
      <c r="F31" s="9" t="n">
        <v>-1.34</v>
      </c>
      <c r="G31" s="9" t="n">
        <v>-0.44</v>
      </c>
      <c r="H31" s="9" t="n">
        <v>-0.17</v>
      </c>
      <c r="I31" s="9" t="n">
        <v>-0.01</v>
      </c>
      <c r="J31" s="9" t="n">
        <v>1.7</v>
      </c>
      <c r="K31" s="9" t="n">
        <v>-0.6</v>
      </c>
      <c r="L31" s="58" t="n">
        <f aca="false">TRIMMEAN(B31:K31,2/COUNT(B31:K31))</f>
        <v>-0.262</v>
      </c>
    </row>
    <row r="32" customFormat="false" ht="15.75" hidden="false" customHeight="true" outlineLevel="0" collapsed="false">
      <c r="A32" s="57" t="s">
        <v>176</v>
      </c>
      <c r="B32" s="9" t="n">
        <v>4.35</v>
      </c>
      <c r="C32" s="9" t="n">
        <v>1.91</v>
      </c>
      <c r="D32" s="9" t="n">
        <v>3.86</v>
      </c>
      <c r="E32" s="9" t="n">
        <v>2.93</v>
      </c>
      <c r="F32" s="9"/>
      <c r="G32" s="9" t="n">
        <v>1.97</v>
      </c>
      <c r="H32" s="9" t="n">
        <v>-0.61</v>
      </c>
      <c r="I32" s="9"/>
      <c r="J32" s="9" t="n">
        <v>-3.31</v>
      </c>
      <c r="K32" s="9"/>
      <c r="L32" s="58" t="n">
        <f aca="false">TRIMMEAN(B32:K32,2/COUNT(B32:K32))</f>
        <v>2.012</v>
      </c>
    </row>
    <row r="33" customFormat="false" ht="15.75" hidden="false" customHeight="true" outlineLevel="0" collapsed="false">
      <c r="A33" s="57" t="s">
        <v>177</v>
      </c>
      <c r="B33" s="9" t="n">
        <v>3.35</v>
      </c>
      <c r="C33" s="9" t="n">
        <v>-0.98</v>
      </c>
      <c r="D33" s="9"/>
      <c r="E33" s="9" t="n">
        <v>0.93</v>
      </c>
      <c r="F33" s="9" t="n">
        <v>0.45</v>
      </c>
      <c r="G33" s="9" t="n">
        <v>-1.78</v>
      </c>
      <c r="H33" s="9" t="n">
        <v>0.41</v>
      </c>
      <c r="I33" s="9"/>
      <c r="J33" s="9" t="n">
        <v>0.19</v>
      </c>
      <c r="K33" s="9" t="n">
        <v>0.93</v>
      </c>
      <c r="L33" s="58" t="n">
        <f aca="false">TRIMMEAN(B33:K33,2/COUNT(B33:K33))</f>
        <v>0.321666666666667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58" t="e">
        <f aca="false">TRIMMEAN(B34:K34,2/COUNT(B34:K34))</f>
        <v>#DIV/0!</v>
      </c>
    </row>
    <row r="35" customFormat="false" ht="15.75" hidden="false" customHeight="true" outlineLevel="0" collapsed="false">
      <c r="A35" s="57" t="s">
        <v>179</v>
      </c>
      <c r="B35" s="9" t="n">
        <v>-2.9</v>
      </c>
      <c r="C35" s="9" t="n">
        <v>-0.98</v>
      </c>
      <c r="D35" s="9" t="n">
        <v>1.61</v>
      </c>
      <c r="E35" s="9" t="n">
        <v>2.68</v>
      </c>
      <c r="F35" s="9"/>
      <c r="G35" s="9" t="n">
        <v>-0.03</v>
      </c>
      <c r="H35" s="9" t="n">
        <v>1.66</v>
      </c>
      <c r="I35" s="9" t="n">
        <v>0.51</v>
      </c>
      <c r="J35" s="9" t="n">
        <v>1.7</v>
      </c>
      <c r="K35" s="9"/>
      <c r="L35" s="58" t="n">
        <f aca="false">TRIMMEAN(B35:K35,2/COUNT(B35:K35))</f>
        <v>0.745</v>
      </c>
    </row>
    <row r="36" customFormat="false" ht="15.75" hidden="false" customHeight="true" outlineLevel="0" collapsed="false">
      <c r="A36" s="57" t="s">
        <v>180</v>
      </c>
      <c r="B36" s="9" t="n">
        <v>-2.48</v>
      </c>
      <c r="C36" s="9"/>
      <c r="D36" s="9" t="n">
        <v>1.61</v>
      </c>
      <c r="E36" s="9"/>
      <c r="F36" s="9" t="n">
        <v>0.45</v>
      </c>
      <c r="G36" s="9" t="n">
        <v>-1.71</v>
      </c>
      <c r="H36" s="9" t="n">
        <v>1.16</v>
      </c>
      <c r="I36" s="9" t="n">
        <v>-4.01</v>
      </c>
      <c r="J36" s="9" t="n">
        <v>-1.81</v>
      </c>
      <c r="K36" s="9" t="n">
        <v>-7.39</v>
      </c>
      <c r="L36" s="58" t="n">
        <f aca="false">TRIMMEAN(B36:K36,2/COUNT(B36:K36))</f>
        <v>-1.4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 t="n">
        <v>0.06</v>
      </c>
      <c r="H37" s="9" t="n">
        <v>0.25</v>
      </c>
      <c r="I37" s="9"/>
      <c r="J37" s="9"/>
      <c r="K37" s="9"/>
      <c r="L37" s="58" t="e">
        <f aca="false">TRIMMEAN(B37:K37,2/COUNT(B37:K37))</f>
        <v>#VALUE!</v>
      </c>
    </row>
    <row r="38" customFormat="false" ht="15.75" hidden="false" customHeight="true" outlineLevel="0" collapsed="false">
      <c r="A38" s="57" t="s">
        <v>182</v>
      </c>
      <c r="B38" s="9" t="n">
        <v>-3.35</v>
      </c>
      <c r="C38" s="9"/>
      <c r="D38" s="9"/>
      <c r="E38" s="9" t="n">
        <v>-0.8</v>
      </c>
      <c r="F38" s="9" t="n">
        <v>-1.16</v>
      </c>
      <c r="G38" s="9" t="n">
        <v>-3.71</v>
      </c>
      <c r="H38" s="9" t="n">
        <v>-2.61</v>
      </c>
      <c r="I38" s="9"/>
      <c r="J38" s="9"/>
      <c r="K38" s="9"/>
      <c r="L38" s="58" t="n">
        <f aca="false">TRIMMEAN(B38:K38,2/COUNT(B38:K38))</f>
        <v>-2.37333333333333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58" t="e">
        <f aca="false">TRIMMEAN(B39:K39,2/COUNT(B39:K39))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-1.48</v>
      </c>
      <c r="D40" s="9"/>
      <c r="E40" s="9"/>
      <c r="F40" s="9" t="n">
        <v>0.2</v>
      </c>
      <c r="G40" s="9" t="n">
        <v>0.99</v>
      </c>
      <c r="H40" s="9" t="n">
        <v>1.25</v>
      </c>
      <c r="I40" s="9" t="n">
        <v>0.76</v>
      </c>
      <c r="J40" s="9" t="n">
        <v>-0.31</v>
      </c>
      <c r="K40" s="9" t="n">
        <v>0.68</v>
      </c>
      <c r="L40" s="58" t="n">
        <f aca="false">TRIMMEAN(B40:K40,2/COUNT(B40:K40))</f>
        <v>0.464</v>
      </c>
    </row>
    <row r="41" customFormat="false" ht="15.75" hidden="false" customHeight="true" outlineLevel="0" collapsed="false">
      <c r="A41" s="57" t="s">
        <v>185</v>
      </c>
      <c r="B41" s="9"/>
      <c r="C41" s="9" t="n">
        <v>-2.98</v>
      </c>
      <c r="D41" s="9"/>
      <c r="E41" s="9"/>
      <c r="F41" s="9"/>
      <c r="G41" s="9" t="n">
        <v>1.47</v>
      </c>
      <c r="H41" s="9"/>
      <c r="I41" s="9" t="n">
        <v>-2.01</v>
      </c>
      <c r="J41" s="9" t="n">
        <v>-2.31</v>
      </c>
      <c r="K41" s="9" t="n">
        <v>-5.6</v>
      </c>
      <c r="L41" s="58" t="n">
        <f aca="false">TRIMMEAN(B41:K41,2/COUNT(B41:K41))</f>
        <v>-2.43333333333333</v>
      </c>
    </row>
    <row r="42" customFormat="false" ht="15.75" hidden="false" customHeight="true" outlineLevel="0" collapsed="false">
      <c r="A42" s="59" t="s">
        <v>186</v>
      </c>
      <c r="B42" s="9" t="n">
        <v>-0.48</v>
      </c>
      <c r="C42" s="9"/>
      <c r="D42" s="9" t="n">
        <v>-0.51</v>
      </c>
      <c r="E42" s="9" t="n">
        <v>-0.07</v>
      </c>
      <c r="F42" s="9"/>
      <c r="G42" s="9"/>
      <c r="H42" s="9" t="n">
        <v>-1.11</v>
      </c>
      <c r="I42" s="9"/>
      <c r="J42" s="9"/>
      <c r="K42" s="9" t="n">
        <v>-3.1</v>
      </c>
      <c r="L42" s="58" t="n">
        <f aca="false">TRIMMEAN(B42:K42,2/COUNT(B42:K42))</f>
        <v>-0.7</v>
      </c>
    </row>
    <row r="43" customFormat="false" ht="15.75" hidden="false" customHeight="true" outlineLevel="0" collapsed="false">
      <c r="A43" s="59" t="s">
        <v>187</v>
      </c>
      <c r="B43" s="9" t="n">
        <v>1.21</v>
      </c>
      <c r="C43" s="9"/>
      <c r="D43" s="9" t="n">
        <v>0.18</v>
      </c>
      <c r="E43" s="9"/>
      <c r="F43" s="9"/>
      <c r="G43" s="9"/>
      <c r="H43" s="9" t="n">
        <v>1.66</v>
      </c>
      <c r="I43" s="9"/>
      <c r="J43" s="9"/>
      <c r="K43" s="9"/>
      <c r="L43" s="58" t="n">
        <f aca="false">TRIMMEAN(B43:K43,2/COUNT(B43:K43))</f>
        <v>1.21</v>
      </c>
    </row>
    <row r="44" customFormat="false" ht="15.75" hidden="false" customHeight="true" outlineLevel="0" collapsed="false">
      <c r="A44" s="57" t="s">
        <v>188</v>
      </c>
      <c r="B44" s="9" t="n">
        <v>-2.85</v>
      </c>
      <c r="C44" s="9"/>
      <c r="D44" s="9"/>
      <c r="E44" s="9" t="n">
        <v>-2</v>
      </c>
      <c r="F44" s="9" t="n">
        <v>0.64</v>
      </c>
      <c r="G44" s="9" t="n">
        <v>1.72</v>
      </c>
      <c r="H44" s="9" t="n">
        <v>0.25</v>
      </c>
      <c r="I44" s="9"/>
      <c r="J44" s="9"/>
      <c r="K44" s="9"/>
      <c r="L44" s="58" t="n">
        <f aca="false">TRIMMEAN(B44:K44,2/COUNT(B44:K44))</f>
        <v>-0.37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58" t="e">
        <f aca="false">TRIMMEAN(B45:K45,2/COUNT(B45:K45))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 t="n">
        <v>0.91</v>
      </c>
      <c r="I46" s="9"/>
      <c r="J46" s="9"/>
      <c r="K46" s="9"/>
      <c r="L46" s="58" t="e">
        <f aca="false">TRIMMEAN(B46:K46,2/COUNT(B46:K46))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58" t="e">
        <f aca="false">TRIMMEAN(B47:K47,2/COUNT(B47:K47))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-1.48</v>
      </c>
      <c r="D48" s="9"/>
      <c r="E48" s="9"/>
      <c r="F48" s="9" t="n">
        <v>1.2</v>
      </c>
      <c r="G48" s="9" t="n">
        <v>0.06</v>
      </c>
      <c r="H48" s="9" t="n">
        <v>-0.17</v>
      </c>
      <c r="I48" s="9" t="n">
        <v>1.76</v>
      </c>
      <c r="J48" s="9" t="n">
        <v>-0.55</v>
      </c>
      <c r="K48" s="9" t="n">
        <v>-1.1</v>
      </c>
      <c r="L48" s="58" t="n">
        <f aca="false">TRIMMEAN(B48:K48,2/COUNT(B48:K48))</f>
        <v>-0.112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 t="n">
        <v>-0.67</v>
      </c>
      <c r="I49" s="9"/>
      <c r="J49" s="9"/>
      <c r="K49" s="9"/>
      <c r="L49" s="58" t="e">
        <f aca="false">TRIMMEAN(B49:K49,2/COUNT(B49:K49))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-1.48</v>
      </c>
      <c r="D50" s="9" t="n">
        <v>0.61</v>
      </c>
      <c r="E50" s="9"/>
      <c r="F50" s="9" t="n">
        <v>-0.05</v>
      </c>
      <c r="G50" s="9" t="n">
        <v>0.49</v>
      </c>
      <c r="H50" s="9"/>
      <c r="I50" s="9" t="n">
        <v>-0.01</v>
      </c>
      <c r="J50" s="9" t="n">
        <v>-0.81</v>
      </c>
      <c r="K50" s="9" t="n">
        <v>-1.1</v>
      </c>
      <c r="L50" s="58" t="n">
        <f aca="false">TRIMMEAN(B50:K50,2/COUNT(B50:K50))</f>
        <v>-0.296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 t="n">
        <v>1.7</v>
      </c>
      <c r="G51" s="9" t="n">
        <v>0.06</v>
      </c>
      <c r="H51" s="9" t="n">
        <v>-3.17</v>
      </c>
      <c r="I51" s="9" t="n">
        <v>-0.01</v>
      </c>
      <c r="J51" s="9"/>
      <c r="K51" s="9"/>
      <c r="L51" s="58" t="n">
        <f aca="false">TRIMMEAN(B51:K51,2/COUNT(B51:K51))</f>
        <v>0.025</v>
      </c>
    </row>
    <row r="52" customFormat="false" ht="15.75" hidden="false" customHeight="true" outlineLevel="0" collapsed="false">
      <c r="A52" s="59" t="s">
        <v>196</v>
      </c>
      <c r="B52" s="9"/>
      <c r="C52" s="9" t="n">
        <v>-3.48</v>
      </c>
      <c r="D52" s="9"/>
      <c r="E52" s="9"/>
      <c r="F52" s="9" t="n">
        <v>0.7</v>
      </c>
      <c r="G52" s="9" t="n">
        <v>-0.51</v>
      </c>
      <c r="H52" s="9" t="n">
        <v>1.5</v>
      </c>
      <c r="I52" s="9" t="n">
        <v>-1.51</v>
      </c>
      <c r="J52" s="9" t="n">
        <v>-3.31</v>
      </c>
      <c r="K52" s="9" t="n">
        <v>-7.6</v>
      </c>
      <c r="L52" s="58" t="n">
        <f aca="false">TRIMMEAN(B52:K52,2/COUNT(B52:K52))</f>
        <v>-1.622</v>
      </c>
    </row>
    <row r="53" customFormat="false" ht="15.75" hidden="false" customHeight="true" outlineLevel="0" collapsed="false">
      <c r="A53" s="57" t="s">
        <v>197</v>
      </c>
      <c r="B53" s="9" t="n">
        <v>-0.85</v>
      </c>
      <c r="C53" s="9"/>
      <c r="D53" s="9" t="n">
        <v>-3.32</v>
      </c>
      <c r="E53" s="9"/>
      <c r="F53" s="9" t="n">
        <v>3.14</v>
      </c>
      <c r="G53" s="9" t="n">
        <v>-0.53</v>
      </c>
      <c r="H53" s="9" t="n">
        <v>0.66</v>
      </c>
      <c r="I53" s="9"/>
      <c r="J53" s="9"/>
      <c r="K53" s="9"/>
      <c r="L53" s="58" t="n">
        <f aca="false">TRIMMEAN(B53:K53,2/COUNT(B53:K53))</f>
        <v>-0.24</v>
      </c>
    </row>
    <row r="54" customFormat="false" ht="15.75" hidden="false" customHeight="true" outlineLevel="0" collapsed="false">
      <c r="A54" s="57" t="s">
        <v>198</v>
      </c>
      <c r="B54" s="9" t="n">
        <v>0.1</v>
      </c>
      <c r="C54" s="9"/>
      <c r="D54" s="9" t="n">
        <v>0.36</v>
      </c>
      <c r="E54" s="9" t="n">
        <v>1.18</v>
      </c>
      <c r="F54" s="9"/>
      <c r="G54" s="9" t="n">
        <v>0.72</v>
      </c>
      <c r="H54" s="9" t="n">
        <v>-0.34</v>
      </c>
      <c r="I54" s="9"/>
      <c r="J54" s="9" t="n">
        <v>-0.81</v>
      </c>
      <c r="K54" s="9" t="n">
        <v>2.18</v>
      </c>
      <c r="L54" s="58" t="n">
        <f aca="false">TRIMMEAN(B54:K54,2/COUNT(B54:K54))</f>
        <v>0.404</v>
      </c>
    </row>
    <row r="55" customFormat="false" ht="15.75" hidden="false" customHeight="true" outlineLevel="0" collapsed="false">
      <c r="A55" s="57" t="s">
        <v>199</v>
      </c>
      <c r="B55" s="9"/>
      <c r="C55" s="9" t="n">
        <v>-2.09</v>
      </c>
      <c r="D55" s="9"/>
      <c r="E55" s="9"/>
      <c r="F55" s="9" t="n">
        <v>-0.3</v>
      </c>
      <c r="G55" s="9" t="n">
        <v>0.97</v>
      </c>
      <c r="H55" s="9" t="n">
        <v>-0.17</v>
      </c>
      <c r="I55" s="9" t="n">
        <v>-0.74</v>
      </c>
      <c r="J55" s="9" t="n">
        <v>0.95</v>
      </c>
      <c r="K55" s="9" t="n">
        <v>0.68</v>
      </c>
      <c r="L55" s="58" t="n">
        <f aca="false">TRIMMEAN(B55:K55,2/COUNT(B55:K55))</f>
        <v>0.084</v>
      </c>
    </row>
    <row r="56" customFormat="false" ht="15.75" hidden="false" customHeight="true" outlineLevel="0" collapsed="false">
      <c r="A56" s="57" t="s">
        <v>200</v>
      </c>
      <c r="B56" s="9" t="n">
        <v>1.21</v>
      </c>
      <c r="C56" s="9"/>
      <c r="D56" s="9"/>
      <c r="E56" s="9" t="n">
        <v>0.45</v>
      </c>
      <c r="F56" s="9" t="n">
        <v>0.64</v>
      </c>
      <c r="G56" s="9" t="n">
        <v>-1.03</v>
      </c>
      <c r="H56" s="9" t="n">
        <v>-0.17</v>
      </c>
      <c r="I56" s="9"/>
      <c r="J56" s="9"/>
      <c r="K56" s="9"/>
      <c r="L56" s="58" t="n">
        <f aca="false">TRIMMEAN(B56:K56,2/COUNT(B56:K56))</f>
        <v>0.306666666666667</v>
      </c>
    </row>
    <row r="57" customFormat="false" ht="15.75" hidden="false" customHeight="true" outlineLevel="0" collapsed="false">
      <c r="A57" s="57" t="s">
        <v>201</v>
      </c>
      <c r="B57" s="9" t="n">
        <v>2.35</v>
      </c>
      <c r="C57" s="9"/>
      <c r="D57" s="9" t="n">
        <v>0.18</v>
      </c>
      <c r="E57" s="9" t="n">
        <v>0.93</v>
      </c>
      <c r="F57" s="9"/>
      <c r="G57" s="9" t="n">
        <v>0.29</v>
      </c>
      <c r="H57" s="9" t="n">
        <v>-0.11</v>
      </c>
      <c r="I57" s="9"/>
      <c r="J57" s="9" t="n">
        <v>-1.3</v>
      </c>
      <c r="K57" s="9" t="n">
        <v>-1.1</v>
      </c>
      <c r="L57" s="58" t="n">
        <f aca="false">TRIMMEAN(B57:K57,2/COUNT(B57:K57))</f>
        <v>0.038</v>
      </c>
    </row>
    <row r="58" customFormat="false" ht="15.75" hidden="false" customHeight="true" outlineLevel="0" collapsed="false">
      <c r="A58" s="59" t="s">
        <v>202</v>
      </c>
      <c r="B58" s="9"/>
      <c r="C58" s="9" t="n">
        <v>1.16</v>
      </c>
      <c r="D58" s="9"/>
      <c r="E58" s="9"/>
      <c r="F58" s="9" t="n">
        <v>-1.3</v>
      </c>
      <c r="G58" s="9"/>
      <c r="H58" s="9"/>
      <c r="I58" s="9"/>
      <c r="J58" s="9"/>
      <c r="K58" s="9"/>
      <c r="L58" s="58" t="e">
        <f aca="false">TRIMMEAN(B58:K58,2/COUNT(B58:K58))</f>
        <v>#VALUE!</v>
      </c>
    </row>
    <row r="59" customFormat="false" ht="15.75" hidden="false" customHeight="true" outlineLevel="0" collapsed="false">
      <c r="A59" s="57" t="s">
        <v>203</v>
      </c>
      <c r="B59" s="9" t="n">
        <v>1.08</v>
      </c>
      <c r="C59" s="9"/>
      <c r="D59" s="9"/>
      <c r="E59" s="9" t="n">
        <v>0.7</v>
      </c>
      <c r="F59" s="9" t="n">
        <v>-2.16</v>
      </c>
      <c r="G59" s="9" t="n">
        <v>0.29</v>
      </c>
      <c r="H59" s="9"/>
      <c r="I59" s="9"/>
      <c r="J59" s="9"/>
      <c r="K59" s="9"/>
      <c r="L59" s="58" t="n">
        <f aca="false">TRIMMEAN(B59:K59,2/COUNT(B59:K59))</f>
        <v>0.495</v>
      </c>
    </row>
    <row r="60" customFormat="false" ht="15.75" hidden="false" customHeight="true" outlineLevel="0" collapsed="false">
      <c r="A60" s="59" t="s">
        <v>204</v>
      </c>
      <c r="B60" s="9" t="n">
        <v>1.35</v>
      </c>
      <c r="C60" s="9" t="n">
        <v>0.66</v>
      </c>
      <c r="D60" s="9"/>
      <c r="E60" s="9" t="n">
        <v>-0.07</v>
      </c>
      <c r="F60" s="9" t="n">
        <v>-0.3</v>
      </c>
      <c r="G60" s="9"/>
      <c r="H60" s="9"/>
      <c r="I60" s="9" t="n">
        <v>-1.51</v>
      </c>
      <c r="J60" s="9" t="n">
        <v>-1.3</v>
      </c>
      <c r="K60" s="9" t="n">
        <v>-0.07</v>
      </c>
      <c r="L60" s="58" t="n">
        <f aca="false">TRIMMEAN(B60:K60,2/COUNT(B60:K60))</f>
        <v>-0.216</v>
      </c>
    </row>
    <row r="61" customFormat="false" ht="15.75" hidden="false" customHeight="true" outlineLevel="0" collapsed="false">
      <c r="A61" s="59" t="s">
        <v>205</v>
      </c>
      <c r="B61" s="9"/>
      <c r="C61" s="9" t="n">
        <v>1.16</v>
      </c>
      <c r="D61" s="9"/>
      <c r="E61" s="9"/>
      <c r="F61" s="9" t="n">
        <v>-1.05</v>
      </c>
      <c r="G61" s="9" t="n">
        <v>-0.94</v>
      </c>
      <c r="H61" s="9" t="n">
        <v>0.5</v>
      </c>
      <c r="I61" s="9" t="n">
        <v>1.76</v>
      </c>
      <c r="J61" s="9" t="n">
        <v>0.2</v>
      </c>
      <c r="K61" s="9" t="n">
        <v>0.43</v>
      </c>
      <c r="L61" s="58" t="n">
        <f aca="false">TRIMMEAN(B61:K61,2/COUNT(B61:K61))</f>
        <v>0.27</v>
      </c>
    </row>
    <row r="62" customFormat="false" ht="15.75" hidden="false" customHeight="true" outlineLevel="0" collapsed="false">
      <c r="A62" s="59" t="s">
        <v>206</v>
      </c>
      <c r="B62" s="9"/>
      <c r="C62" s="9" t="n">
        <v>-2.98</v>
      </c>
      <c r="D62" s="9"/>
      <c r="E62" s="9"/>
      <c r="F62" s="9" t="n">
        <v>-1.05</v>
      </c>
      <c r="G62" s="9" t="n">
        <v>2.74</v>
      </c>
      <c r="H62" s="9"/>
      <c r="I62" s="9" t="n">
        <v>-0.51</v>
      </c>
      <c r="J62" s="9" t="n">
        <v>-4.31</v>
      </c>
      <c r="K62" s="9" t="n">
        <v>-2.1</v>
      </c>
      <c r="L62" s="58" t="n">
        <f aca="false">TRIMMEAN(B62:K62,2/COUNT(B62:K62))</f>
        <v>-1.66</v>
      </c>
    </row>
    <row r="63" customFormat="false" ht="15.75" hidden="false" customHeight="true" outlineLevel="0" collapsed="false">
      <c r="A63" s="57" t="s">
        <v>207</v>
      </c>
      <c r="B63" s="9" t="n">
        <v>3.6</v>
      </c>
      <c r="C63" s="9" t="n">
        <v>1.41</v>
      </c>
      <c r="D63" s="9" t="n">
        <v>1.61</v>
      </c>
      <c r="E63" s="9" t="n">
        <v>2.68</v>
      </c>
      <c r="F63" s="9"/>
      <c r="G63" s="9" t="n">
        <v>-0.71</v>
      </c>
      <c r="H63" s="9" t="n">
        <v>-0.84</v>
      </c>
      <c r="I63" s="9"/>
      <c r="J63" s="9"/>
      <c r="K63" s="9" t="n">
        <v>-0.07</v>
      </c>
      <c r="L63" s="58" t="n">
        <f aca="false">TRIMMEAN(B63:K63,2/COUNT(B63:K63))</f>
        <v>0.984</v>
      </c>
    </row>
    <row r="64" customFormat="false" ht="15.75" hidden="false" customHeight="true" outlineLevel="0" collapsed="false">
      <c r="A64" s="57" t="s">
        <v>208</v>
      </c>
      <c r="B64" s="9" t="n">
        <v>0.6</v>
      </c>
      <c r="C64" s="9" t="n">
        <v>2.91</v>
      </c>
      <c r="D64" s="9" t="n">
        <v>1.86</v>
      </c>
      <c r="E64" s="9" t="n">
        <v>3.18</v>
      </c>
      <c r="F64" s="9"/>
      <c r="G64" s="9" t="n">
        <v>2.97</v>
      </c>
      <c r="H64" s="9" t="n">
        <v>-1.11</v>
      </c>
      <c r="I64" s="9"/>
      <c r="J64" s="9"/>
      <c r="K64" s="9"/>
      <c r="L64" s="58" t="n">
        <f aca="false">TRIMMEAN(B64:K64,2/COUNT(B64:K64))</f>
        <v>2.085</v>
      </c>
    </row>
    <row r="65" customFormat="false" ht="15.75" hidden="false" customHeight="true" outlineLevel="0" collapsed="false">
      <c r="A65" s="57" t="s">
        <v>209</v>
      </c>
      <c r="B65" s="9" t="n">
        <v>4.1</v>
      </c>
      <c r="C65" s="9" t="n">
        <v>1.91</v>
      </c>
      <c r="D65" s="9" t="n">
        <v>2.36</v>
      </c>
      <c r="E65" s="9" t="n">
        <v>1.93</v>
      </c>
      <c r="F65" s="9"/>
      <c r="G65" s="9" t="n">
        <v>1.97</v>
      </c>
      <c r="H65" s="9" t="n">
        <v>2.41</v>
      </c>
      <c r="I65" s="9"/>
      <c r="J65" s="9"/>
      <c r="K65" s="9"/>
      <c r="L65" s="58" t="n">
        <f aca="false">TRIMMEAN(B65:K65,2/COUNT(B65:K65))</f>
        <v>2.1675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58" t="e">
        <f aca="false">TRIMMEAN(B66:K66,2/COUNT(B66:K66))</f>
        <v>#DIV/0!</v>
      </c>
    </row>
    <row r="67" customFormat="false" ht="15.75" hidden="false" customHeight="true" outlineLevel="0" collapsed="false">
      <c r="A67" s="57" t="s">
        <v>211</v>
      </c>
      <c r="B67" s="9" t="n">
        <v>-0.85</v>
      </c>
      <c r="C67" s="9"/>
      <c r="D67" s="9"/>
      <c r="E67" s="9" t="n">
        <v>-1.5</v>
      </c>
      <c r="F67" s="9"/>
      <c r="G67" s="9" t="n">
        <v>-0.21</v>
      </c>
      <c r="H67" s="9"/>
      <c r="I67" s="9"/>
      <c r="J67" s="9"/>
      <c r="K67" s="9"/>
      <c r="L67" s="58" t="n">
        <f aca="false">TRIMMEAN(B67:K67,2/COUNT(B67:K67))</f>
        <v>-0.85</v>
      </c>
    </row>
    <row r="68" customFormat="false" ht="15.75" hidden="false" customHeight="true" outlineLevel="0" collapsed="false">
      <c r="A68" s="59" t="s">
        <v>212</v>
      </c>
      <c r="B68" s="9" t="n">
        <v>-5.98</v>
      </c>
      <c r="C68" s="9"/>
      <c r="D68" s="9" t="n">
        <v>0.18</v>
      </c>
      <c r="E68" s="9" t="n">
        <v>0.93</v>
      </c>
      <c r="F68" s="9" t="n">
        <v>1.45</v>
      </c>
      <c r="G68" s="9"/>
      <c r="H68" s="9" t="n">
        <v>1.41</v>
      </c>
      <c r="I68" s="9"/>
      <c r="J68" s="9" t="n">
        <v>2.2</v>
      </c>
      <c r="K68" s="9"/>
      <c r="L68" s="58" t="n">
        <f aca="false">TRIMMEAN(B68:K68,2/COUNT(B68:K68))</f>
        <v>0.9925</v>
      </c>
    </row>
    <row r="69" customFormat="false" ht="15.75" hidden="false" customHeight="true" outlineLevel="0" collapsed="false">
      <c r="A69" s="57" t="s">
        <v>213</v>
      </c>
      <c r="B69" s="9" t="n">
        <v>1.6</v>
      </c>
      <c r="C69" s="9" t="n">
        <v>2.16</v>
      </c>
      <c r="D69" s="9" t="n">
        <v>1.61</v>
      </c>
      <c r="E69" s="9" t="n">
        <v>-1.57</v>
      </c>
      <c r="F69" s="9"/>
      <c r="G69" s="9" t="n">
        <v>0.97</v>
      </c>
      <c r="H69" s="9" t="n">
        <v>3.16</v>
      </c>
      <c r="I69" s="9"/>
      <c r="J69" s="9"/>
      <c r="K69" s="9"/>
      <c r="L69" s="58" t="n">
        <f aca="false">TRIMMEAN(B69:K69,2/COUNT(B69:K69))</f>
        <v>1.585</v>
      </c>
    </row>
    <row r="70" customFormat="false" ht="15.75" hidden="false" customHeight="true" outlineLevel="0" collapsed="false">
      <c r="A70" s="57" t="s">
        <v>214</v>
      </c>
      <c r="B70" s="9" t="n">
        <v>-0.54</v>
      </c>
      <c r="C70" s="9"/>
      <c r="D70" s="9"/>
      <c r="E70" s="9" t="n">
        <v>0.95</v>
      </c>
      <c r="F70" s="9" t="n">
        <v>-1.34</v>
      </c>
      <c r="G70" s="9" t="n">
        <v>0.29</v>
      </c>
      <c r="H70" s="9" t="n">
        <v>-0.5</v>
      </c>
      <c r="I70" s="9"/>
      <c r="J70" s="9"/>
      <c r="K70" s="9"/>
      <c r="L70" s="58" t="n">
        <f aca="false">TRIMMEAN(B70:K70,2/COUNT(B70:K70))</f>
        <v>-0.25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58" t="e">
        <f aca="false">TRIMMEAN(B71:K71,2/COUNT(B71:K71))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2.41</v>
      </c>
      <c r="D72" s="9"/>
      <c r="E72" s="9"/>
      <c r="F72" s="9" t="n">
        <v>-1.34</v>
      </c>
      <c r="G72" s="9" t="n">
        <v>-0.44</v>
      </c>
      <c r="H72" s="9" t="n">
        <v>-2.17</v>
      </c>
      <c r="I72" s="9" t="n">
        <v>-1.51</v>
      </c>
      <c r="J72" s="9" t="n">
        <v>-0.81</v>
      </c>
      <c r="K72" s="9" t="n">
        <v>-0.1</v>
      </c>
      <c r="L72" s="58" t="n">
        <f aca="false">TRIMMEAN(B72:K72,2/COUNT(B72:K72))</f>
        <v>-0.84</v>
      </c>
    </row>
    <row r="73" customFormat="false" ht="15.75" hidden="false" customHeight="true" outlineLevel="0" collapsed="false">
      <c r="A73" s="57" t="s">
        <v>217</v>
      </c>
      <c r="B73" s="9" t="n">
        <v>4.6</v>
      </c>
      <c r="C73" s="9"/>
      <c r="D73" s="9" t="n">
        <v>0.18</v>
      </c>
      <c r="E73" s="9" t="n">
        <v>0.68</v>
      </c>
      <c r="F73" s="9"/>
      <c r="G73" s="9" t="n">
        <v>1.22</v>
      </c>
      <c r="H73" s="9" t="n">
        <v>1.91</v>
      </c>
      <c r="I73" s="9"/>
      <c r="J73" s="9" t="n">
        <v>2.2</v>
      </c>
      <c r="K73" s="9" t="n">
        <v>-0.1</v>
      </c>
      <c r="L73" s="58" t="n">
        <f aca="false">TRIMMEAN(B73:K73,2/COUNT(B73:K73))</f>
        <v>1.238</v>
      </c>
    </row>
    <row r="74" customFormat="false" ht="15.75" hidden="false" customHeight="true" outlineLevel="0" collapsed="false">
      <c r="A74" s="57" t="s">
        <v>218</v>
      </c>
      <c r="B74" s="9"/>
      <c r="C74" s="9" t="n">
        <v>1.66</v>
      </c>
      <c r="D74" s="9"/>
      <c r="E74" s="9"/>
      <c r="F74" s="9" t="n">
        <v>2.2</v>
      </c>
      <c r="G74" s="9" t="n">
        <v>-0.21</v>
      </c>
      <c r="H74" s="9"/>
      <c r="I74" s="9" t="n">
        <v>-0.51</v>
      </c>
      <c r="J74" s="9" t="n">
        <v>1.95</v>
      </c>
      <c r="K74" s="9" t="n">
        <v>1.68</v>
      </c>
      <c r="L74" s="58" t="n">
        <f aca="false">TRIMMEAN(B74:K74,2/COUNT(B74:K74))</f>
        <v>1.27</v>
      </c>
    </row>
    <row r="75" customFormat="false" ht="15.75" hidden="false" customHeight="true" outlineLevel="0" collapsed="false">
      <c r="A75" s="59" t="s">
        <v>219</v>
      </c>
      <c r="B75" s="9" t="n">
        <v>-0.4</v>
      </c>
      <c r="C75" s="9" t="n">
        <v>-1.98</v>
      </c>
      <c r="D75" s="9"/>
      <c r="E75" s="9" t="n">
        <v>-1.57</v>
      </c>
      <c r="F75" s="9" t="n">
        <v>2.45</v>
      </c>
      <c r="G75" s="9" t="n">
        <v>2.24</v>
      </c>
      <c r="H75" s="9"/>
      <c r="I75" s="9" t="n">
        <v>-0.74</v>
      </c>
      <c r="J75" s="9" t="n">
        <v>-2.81</v>
      </c>
      <c r="K75" s="9" t="n">
        <v>-1.1</v>
      </c>
      <c r="L75" s="58" t="n">
        <f aca="false">TRIMMEAN(B75:K75,2/COUNT(B75:K75))</f>
        <v>-0.591666666666667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58" t="e">
        <f aca="false">TRIMMEAN(B76:K76,2/COUNT(B76:K76))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 t="n">
        <v>-2.34</v>
      </c>
      <c r="G77" s="9"/>
      <c r="H77" s="9"/>
      <c r="I77" s="9"/>
      <c r="J77" s="9"/>
      <c r="K77" s="9"/>
      <c r="L77" s="58" t="e">
        <f aca="false">TRIMMEAN(B77:K77,2/COUNT(B77:K77))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 t="n">
        <v>0.06</v>
      </c>
      <c r="H78" s="9" t="n">
        <v>2.75</v>
      </c>
      <c r="I78" s="9" t="n">
        <v>-0.99</v>
      </c>
      <c r="J78" s="9"/>
      <c r="K78" s="9"/>
      <c r="L78" s="58" t="n">
        <f aca="false">TRIMMEAN(B78:K78,2/COUNT(B78:K78))</f>
        <v>0.06</v>
      </c>
    </row>
    <row r="79" customFormat="false" ht="15.75" hidden="false" customHeight="true" outlineLevel="0" collapsed="false">
      <c r="A79" s="57" t="s">
        <v>223</v>
      </c>
      <c r="B79" s="9" t="n">
        <v>1.6</v>
      </c>
      <c r="C79" s="9"/>
      <c r="D79" s="9" t="n">
        <v>0.86</v>
      </c>
      <c r="E79" s="9" t="n">
        <v>1.18</v>
      </c>
      <c r="F79" s="9" t="n">
        <v>2.95</v>
      </c>
      <c r="G79" s="9" t="n">
        <v>2.22</v>
      </c>
      <c r="H79" s="9" t="n">
        <v>1.41</v>
      </c>
      <c r="I79" s="9"/>
      <c r="J79" s="9" t="n">
        <v>-1.31</v>
      </c>
      <c r="K79" s="9"/>
      <c r="L79" s="58" t="n">
        <f aca="false">TRIMMEAN(B79:K79,2/COUNT(B79:K79))</f>
        <v>1.454</v>
      </c>
    </row>
    <row r="80" customFormat="false" ht="15.75" hidden="false" customHeight="true" outlineLevel="0" collapsed="false">
      <c r="A80" s="57" t="s">
        <v>224</v>
      </c>
      <c r="B80" s="9"/>
      <c r="C80" s="9" t="n">
        <v>-0.98</v>
      </c>
      <c r="D80" s="9" t="n">
        <v>0.86</v>
      </c>
      <c r="E80" s="9"/>
      <c r="F80" s="9" t="n">
        <v>-0.84</v>
      </c>
      <c r="G80" s="9" t="n">
        <v>0.72</v>
      </c>
      <c r="H80" s="9" t="n">
        <v>-1.61</v>
      </c>
      <c r="I80" s="9" t="n">
        <v>1.01</v>
      </c>
      <c r="J80" s="9" t="n">
        <v>0.2</v>
      </c>
      <c r="K80" s="9" t="n">
        <v>-0.82</v>
      </c>
      <c r="L80" s="58" t="n">
        <f aca="false">TRIMMEAN(B80:K80,2/COUNT(B80:K80))</f>
        <v>-0.143333333333333</v>
      </c>
    </row>
    <row r="81" customFormat="false" ht="15.75" hidden="false" customHeight="true" outlineLevel="0" collapsed="false">
      <c r="A81" s="59" t="s">
        <v>225</v>
      </c>
      <c r="B81" s="9" t="n">
        <v>-0.98</v>
      </c>
      <c r="C81" s="9"/>
      <c r="D81" s="9" t="n">
        <v>2.11</v>
      </c>
      <c r="E81" s="9" t="n">
        <v>2.43</v>
      </c>
      <c r="F81" s="9" t="n">
        <v>1.2</v>
      </c>
      <c r="G81" s="9"/>
      <c r="H81" s="9" t="n">
        <v>0.16</v>
      </c>
      <c r="I81" s="9"/>
      <c r="J81" s="9" t="n">
        <v>0.19</v>
      </c>
      <c r="K81" s="9" t="n">
        <v>-0.1</v>
      </c>
      <c r="L81" s="58" t="n">
        <f aca="false">TRIMMEAN(B81:K81,2/COUNT(B81:K81))</f>
        <v>0.712</v>
      </c>
    </row>
    <row r="82" customFormat="false" ht="15.75" hidden="false" customHeight="true" outlineLevel="0" collapsed="false">
      <c r="A82" s="59" t="s">
        <v>226</v>
      </c>
      <c r="B82" s="9"/>
      <c r="C82" s="9" t="n">
        <v>-0.59</v>
      </c>
      <c r="D82" s="9"/>
      <c r="E82" s="9"/>
      <c r="F82" s="9" t="n">
        <v>0.45</v>
      </c>
      <c r="G82" s="9" t="n">
        <v>-0.26</v>
      </c>
      <c r="H82" s="9" t="n">
        <v>-1.67</v>
      </c>
      <c r="I82" s="9" t="n">
        <v>-1.49</v>
      </c>
      <c r="J82" s="9" t="n">
        <v>-3.31</v>
      </c>
      <c r="K82" s="9" t="n">
        <v>-1.1</v>
      </c>
      <c r="L82" s="58" t="n">
        <f aca="false">TRIMMEAN(B82:K82,2/COUNT(B82:K82))</f>
        <v>-1.022</v>
      </c>
    </row>
    <row r="83" customFormat="false" ht="15.75" hidden="false" customHeight="true" outlineLevel="0" collapsed="false">
      <c r="A83" s="59" t="s">
        <v>227</v>
      </c>
      <c r="B83" s="9"/>
      <c r="C83" s="9" t="n">
        <v>1.41</v>
      </c>
      <c r="D83" s="9" t="n">
        <v>1.61</v>
      </c>
      <c r="E83" s="9"/>
      <c r="F83" s="9" t="n">
        <v>0.95</v>
      </c>
      <c r="G83" s="9"/>
      <c r="H83" s="9"/>
      <c r="I83" s="9" t="n">
        <v>2.76</v>
      </c>
      <c r="J83" s="9" t="n">
        <v>1.2</v>
      </c>
      <c r="K83" s="9" t="n">
        <v>-0.1</v>
      </c>
      <c r="L83" s="58" t="n">
        <f aca="false">TRIMMEAN(B83:K83,2/COUNT(B83:K83))</f>
        <v>1.2925</v>
      </c>
    </row>
    <row r="84" customFormat="false" ht="15.75" hidden="false" customHeight="true" outlineLevel="0" collapsed="false">
      <c r="A84" s="57" t="s">
        <v>228</v>
      </c>
      <c r="B84" s="9" t="n">
        <v>1.96</v>
      </c>
      <c r="C84" s="9"/>
      <c r="D84" s="9"/>
      <c r="E84" s="9"/>
      <c r="F84" s="9" t="n">
        <v>-2.66</v>
      </c>
      <c r="G84" s="9" t="n">
        <v>-0.71</v>
      </c>
      <c r="H84" s="9"/>
      <c r="I84" s="9"/>
      <c r="J84" s="9"/>
      <c r="K84" s="9"/>
      <c r="L84" s="58" t="n">
        <f aca="false">TRIMMEAN(B84:K84,2/COUNT(B84:K84))</f>
        <v>-0.71</v>
      </c>
    </row>
    <row r="85" customFormat="false" ht="15.75" hidden="false" customHeight="true" outlineLevel="0" collapsed="false">
      <c r="A85" s="57" t="s">
        <v>229</v>
      </c>
      <c r="B85" s="9" t="n">
        <v>0.71</v>
      </c>
      <c r="C85" s="9"/>
      <c r="D85" s="9"/>
      <c r="E85" s="9" t="n">
        <v>-2</v>
      </c>
      <c r="F85" s="9" t="n">
        <v>-2.66</v>
      </c>
      <c r="G85" s="9" t="n">
        <v>-0.21</v>
      </c>
      <c r="H85" s="9" t="n">
        <v>-1.17</v>
      </c>
      <c r="I85" s="9"/>
      <c r="J85" s="9"/>
      <c r="K85" s="9"/>
      <c r="L85" s="58" t="n">
        <f aca="false">TRIMMEAN(B85:K85,2/COUNT(B85:K85))</f>
        <v>-1.12666666666667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58" t="e">
        <f aca="false">TRIMMEAN(B86:K86,2/COUNT(B86:K86))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0.66</v>
      </c>
      <c r="D87" s="9"/>
      <c r="E87" s="9"/>
      <c r="F87" s="9" t="n">
        <v>-2.84</v>
      </c>
      <c r="G87" s="9" t="n">
        <v>-1.94</v>
      </c>
      <c r="H87" s="9" t="n">
        <v>-0.17</v>
      </c>
      <c r="I87" s="9" t="n">
        <v>-1.01</v>
      </c>
      <c r="J87" s="9"/>
      <c r="K87" s="9"/>
      <c r="L87" s="58" t="n">
        <f aca="false">TRIMMEAN(B87:K87,2/COUNT(B87:K87))</f>
        <v>-1.04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58" t="e">
        <f aca="false">TRIMMEAN(B88:K88,2/COUNT(B88:K88))</f>
        <v>#DIV/0!</v>
      </c>
    </row>
    <row r="89" customFormat="false" ht="15.75" hidden="false" customHeight="true" outlineLevel="0" collapsed="false">
      <c r="A89" s="57" t="s">
        <v>233</v>
      </c>
      <c r="B89" s="9" t="n">
        <v>1.35</v>
      </c>
      <c r="C89" s="9" t="n">
        <v>0.66</v>
      </c>
      <c r="D89" s="9" t="n">
        <v>-2.82</v>
      </c>
      <c r="E89" s="9" t="n">
        <v>0.18</v>
      </c>
      <c r="F89" s="9"/>
      <c r="G89" s="9" t="n">
        <v>-0.71</v>
      </c>
      <c r="H89" s="9" t="n">
        <v>-1.11</v>
      </c>
      <c r="I89" s="9"/>
      <c r="J89" s="9" t="n">
        <v>-1.31</v>
      </c>
      <c r="K89" s="9" t="n">
        <v>2.68</v>
      </c>
      <c r="L89" s="58" t="n">
        <f aca="false">TRIMMEAN(B89:K89,2/COUNT(B89:K89))</f>
        <v>-0.156666666666667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-3.32</v>
      </c>
      <c r="E90" s="9"/>
      <c r="F90" s="9" t="n">
        <v>-0.84</v>
      </c>
      <c r="G90" s="9" t="n">
        <v>1.24</v>
      </c>
      <c r="H90" s="9" t="n">
        <v>0.25</v>
      </c>
      <c r="I90" s="9" t="n">
        <v>-2.01</v>
      </c>
      <c r="J90" s="9"/>
      <c r="K90" s="9"/>
      <c r="L90" s="58" t="n">
        <f aca="false">TRIMMEAN(B90:K90,2/COUNT(B90:K90))</f>
        <v>-0.866666666666667</v>
      </c>
    </row>
    <row r="91" customFormat="false" ht="15.75" hidden="false" customHeight="true" outlineLevel="0" collapsed="false">
      <c r="A91" s="57" t="s">
        <v>235</v>
      </c>
      <c r="B91" s="9" t="n">
        <v>-0.48</v>
      </c>
      <c r="C91" s="9"/>
      <c r="D91" s="9" t="n">
        <v>1.36</v>
      </c>
      <c r="E91" s="9" t="n">
        <v>1.43</v>
      </c>
      <c r="F91" s="9"/>
      <c r="G91" s="9" t="n">
        <v>0.72</v>
      </c>
      <c r="H91" s="9" t="n">
        <v>-3.61</v>
      </c>
      <c r="I91" s="9" t="n">
        <v>3.01</v>
      </c>
      <c r="J91" s="9"/>
      <c r="K91" s="9" t="n">
        <v>-0.1</v>
      </c>
      <c r="L91" s="58" t="n">
        <f aca="false">TRIMMEAN(B91:K91,2/COUNT(B91:K91))</f>
        <v>0.586</v>
      </c>
    </row>
    <row r="92" customFormat="false" ht="15.75" hidden="false" customHeight="true" outlineLevel="0" collapsed="false">
      <c r="A92" s="57" t="s">
        <v>236</v>
      </c>
      <c r="B92" s="9"/>
      <c r="C92" s="9" t="n">
        <v>-2.48</v>
      </c>
      <c r="D92" s="9" t="n">
        <v>-2.82</v>
      </c>
      <c r="E92" s="9"/>
      <c r="F92" s="9"/>
      <c r="G92" s="9" t="n">
        <v>-2.21</v>
      </c>
      <c r="H92" s="9" t="n">
        <v>-3.61</v>
      </c>
      <c r="I92" s="9"/>
      <c r="J92" s="9"/>
      <c r="K92" s="9"/>
      <c r="L92" s="58" t="n">
        <f aca="false">TRIMMEAN(B92:K92,2/COUNT(B92:K92))</f>
        <v>-2.65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58" t="e">
        <f aca="false">TRIMMEAN(B93:K93,2/COUNT(B93:K93))</f>
        <v>#DIV/0!</v>
      </c>
    </row>
    <row r="94" customFormat="false" ht="15.75" hidden="false" customHeight="true" outlineLevel="0" collapsed="false">
      <c r="A94" s="57" t="s">
        <v>238</v>
      </c>
      <c r="B94" s="9" t="n">
        <v>3.46</v>
      </c>
      <c r="C94" s="9"/>
      <c r="D94" s="9" t="n">
        <v>2.61</v>
      </c>
      <c r="E94" s="9"/>
      <c r="F94" s="9"/>
      <c r="G94" s="9"/>
      <c r="H94" s="9"/>
      <c r="I94" s="9"/>
      <c r="J94" s="9"/>
      <c r="K94" s="9"/>
      <c r="L94" s="58" t="e">
        <f aca="false">TRIMMEAN(B94:K94,2/COUNT(B94:K94))</f>
        <v>#VALUE!</v>
      </c>
    </row>
    <row r="95" customFormat="false" ht="15.75" hidden="false" customHeight="true" outlineLevel="0" collapsed="false">
      <c r="A95" s="59" t="s">
        <v>239</v>
      </c>
      <c r="B95" s="9" t="n">
        <v>1.85</v>
      </c>
      <c r="C95" s="9"/>
      <c r="D95" s="9" t="n">
        <v>-0.64</v>
      </c>
      <c r="E95" s="9" t="n">
        <v>2.18</v>
      </c>
      <c r="F95" s="9"/>
      <c r="G95" s="9"/>
      <c r="H95" s="9" t="n">
        <v>1.91</v>
      </c>
      <c r="I95" s="9"/>
      <c r="J95" s="9" t="n">
        <v>1.7</v>
      </c>
      <c r="K95" s="9"/>
      <c r="L95" s="58" t="n">
        <f aca="false">TRIMMEAN(B95:K95,2/COUNT(B95:K95))</f>
        <v>1.82</v>
      </c>
    </row>
    <row r="96" customFormat="false" ht="15.75" hidden="false" customHeight="true" outlineLevel="0" collapsed="false">
      <c r="A96" s="57" t="s">
        <v>240</v>
      </c>
      <c r="B96" s="9" t="n">
        <v>0.71</v>
      </c>
      <c r="C96" s="9"/>
      <c r="D96" s="9" t="n">
        <v>0.61</v>
      </c>
      <c r="E96" s="9" t="n">
        <v>0.7</v>
      </c>
      <c r="F96" s="9" t="n">
        <v>-2.16</v>
      </c>
      <c r="G96" s="9" t="n">
        <v>-0.71</v>
      </c>
      <c r="H96" s="9"/>
      <c r="I96" s="9"/>
      <c r="J96" s="9"/>
      <c r="K96" s="9"/>
      <c r="L96" s="58" t="n">
        <f aca="false">TRIMMEAN(B96:K96,2/COUNT(B96:K96))</f>
        <v>0.2</v>
      </c>
    </row>
    <row r="97" customFormat="false" ht="15.75" hidden="false" customHeight="true" outlineLevel="0" collapsed="false">
      <c r="A97" s="59" t="s">
        <v>241</v>
      </c>
      <c r="B97" s="9"/>
      <c r="C97" s="9" t="n">
        <v>-0.48</v>
      </c>
      <c r="D97" s="9"/>
      <c r="E97" s="9"/>
      <c r="F97" s="9" t="n">
        <v>-1.84</v>
      </c>
      <c r="G97" s="9"/>
      <c r="H97" s="9" t="n">
        <v>0.25</v>
      </c>
      <c r="I97" s="9" t="n">
        <v>-1.51</v>
      </c>
      <c r="J97" s="9" t="n">
        <v>-2.31</v>
      </c>
      <c r="K97" s="9"/>
      <c r="L97" s="58" t="n">
        <f aca="false">TRIMMEAN(B97:K97,2/COUNT(B97:K97))</f>
        <v>-1.27666666666667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0.86</v>
      </c>
      <c r="E98" s="9"/>
      <c r="F98" s="9" t="n">
        <v>1.2</v>
      </c>
      <c r="G98" s="9" t="n">
        <v>-1.44</v>
      </c>
      <c r="H98" s="9" t="n">
        <v>0</v>
      </c>
      <c r="I98" s="9" t="n">
        <v>-0.01</v>
      </c>
      <c r="J98" s="9"/>
      <c r="K98" s="9"/>
      <c r="L98" s="58" t="n">
        <f aca="false">TRIMMEAN(B98:K98,2/COUNT(B98:K98))</f>
        <v>0.283333333333333</v>
      </c>
    </row>
    <row r="99" customFormat="false" ht="15.75" hidden="false" customHeight="true" outlineLevel="0" collapsed="false">
      <c r="A99" s="57" t="s">
        <v>243</v>
      </c>
      <c r="B99" s="9"/>
      <c r="C99" s="9" t="n">
        <v>-1.34</v>
      </c>
      <c r="D99" s="9"/>
      <c r="E99" s="9"/>
      <c r="F99" s="9" t="n">
        <v>-1.34</v>
      </c>
      <c r="G99" s="9" t="n">
        <v>-0.21</v>
      </c>
      <c r="H99" s="9" t="n">
        <v>2.5</v>
      </c>
      <c r="I99" s="9" t="n">
        <v>-1.01</v>
      </c>
      <c r="J99" s="9" t="n">
        <v>0.7</v>
      </c>
      <c r="K99" s="9" t="n">
        <v>-0.82</v>
      </c>
      <c r="L99" s="58" t="n">
        <f aca="false">TRIMMEAN(B99:K99,2/COUNT(B99:K99))</f>
        <v>-0.536</v>
      </c>
    </row>
    <row r="100" customFormat="false" ht="15.75" hidden="false" customHeight="true" outlineLevel="0" collapsed="false">
      <c r="A100" s="57" t="s">
        <v>244</v>
      </c>
      <c r="B100" s="9" t="n">
        <v>0.96</v>
      </c>
      <c r="C100" s="9"/>
      <c r="D100" s="9"/>
      <c r="E100" s="9" t="n">
        <v>0.7</v>
      </c>
      <c r="F100" s="9" t="n">
        <v>0.14</v>
      </c>
      <c r="G100" s="9" t="n">
        <v>0.47</v>
      </c>
      <c r="H100" s="9"/>
      <c r="I100" s="9"/>
      <c r="J100" s="9"/>
      <c r="K100" s="9"/>
      <c r="L100" s="58" t="n">
        <f aca="false">TRIMMEAN(B100:K100,2/COUNT(B100:K100))</f>
        <v>0.585</v>
      </c>
    </row>
    <row r="101" customFormat="false" ht="15.75" hidden="false" customHeight="true" outlineLevel="0" collapsed="false">
      <c r="A101" s="57" t="s">
        <v>245</v>
      </c>
      <c r="B101" s="9" t="n">
        <v>0.96</v>
      </c>
      <c r="C101" s="9"/>
      <c r="D101" s="9"/>
      <c r="E101" s="9" t="n">
        <v>-1</v>
      </c>
      <c r="F101" s="9" t="n">
        <v>-1.66</v>
      </c>
      <c r="G101" s="9" t="n">
        <v>-3.21</v>
      </c>
      <c r="H101" s="9" t="n">
        <v>-0.11</v>
      </c>
      <c r="I101" s="9"/>
      <c r="J101" s="9"/>
      <c r="K101" s="9"/>
      <c r="L101" s="58" t="n">
        <f aca="false">TRIMMEAN(B101:K101,2/COUNT(B101:K101))</f>
        <v>-0.923333333333333</v>
      </c>
    </row>
    <row r="102" customFormat="false" ht="15.75" hidden="false" customHeight="true" outlineLevel="0" collapsed="false">
      <c r="A102" s="59" t="s">
        <v>246</v>
      </c>
      <c r="B102" s="9"/>
      <c r="C102" s="9" t="n">
        <v>-1.59</v>
      </c>
      <c r="D102" s="9"/>
      <c r="E102" s="9"/>
      <c r="F102" s="9" t="n">
        <v>-1.34</v>
      </c>
      <c r="G102" s="9" t="n">
        <v>-1.94</v>
      </c>
      <c r="H102" s="9" t="n">
        <v>-2.17</v>
      </c>
      <c r="I102" s="9" t="n">
        <v>-5.01</v>
      </c>
      <c r="J102" s="9" t="n">
        <v>-0.31</v>
      </c>
      <c r="K102" s="9" t="n">
        <v>-0.57</v>
      </c>
      <c r="L102" s="58" t="n">
        <f aca="false">TRIMMEAN(B102:K102,2/COUNT(B102:K102))</f>
        <v>-1.522</v>
      </c>
    </row>
    <row r="103" customFormat="false" ht="15.75" hidden="false" customHeight="true" outlineLevel="0" collapsed="false">
      <c r="A103" s="59" t="s">
        <v>247</v>
      </c>
      <c r="B103" s="9" t="n">
        <v>-2.4</v>
      </c>
      <c r="C103" s="9"/>
      <c r="D103" s="9" t="n">
        <v>0.86</v>
      </c>
      <c r="E103" s="9" t="n">
        <v>0.93</v>
      </c>
      <c r="F103" s="9" t="n">
        <v>1.95</v>
      </c>
      <c r="G103" s="9"/>
      <c r="H103" s="9" t="n">
        <v>0.41</v>
      </c>
      <c r="I103" s="9"/>
      <c r="J103" s="9" t="n">
        <v>0.2</v>
      </c>
      <c r="K103" s="9" t="n">
        <v>-1.6</v>
      </c>
      <c r="L103" s="58" t="n">
        <f aca="false">TRIMMEAN(B103:K103,2/COUNT(B103:K103))</f>
        <v>0.16</v>
      </c>
    </row>
    <row r="104" customFormat="false" ht="15.75" hidden="false" customHeight="true" outlineLevel="0" collapsed="false">
      <c r="A104" s="59" t="s">
        <v>248</v>
      </c>
      <c r="B104" s="9"/>
      <c r="C104" s="9" t="n">
        <v>-1.48</v>
      </c>
      <c r="D104" s="9"/>
      <c r="E104" s="9"/>
      <c r="F104" s="9" t="n">
        <v>2.45</v>
      </c>
      <c r="G104" s="9" t="n">
        <v>0.06</v>
      </c>
      <c r="H104" s="9"/>
      <c r="I104" s="9" t="n">
        <v>1.51</v>
      </c>
      <c r="J104" s="9" t="n">
        <v>0.19</v>
      </c>
      <c r="K104" s="9" t="n">
        <v>-0.57</v>
      </c>
      <c r="L104" s="58" t="n">
        <f aca="false">TRIMMEAN(B104:K104,2/COUNT(B104:K104))</f>
        <v>0.2975</v>
      </c>
    </row>
    <row r="105" customFormat="false" ht="15.75" hidden="false" customHeight="true" outlineLevel="0" collapsed="false">
      <c r="A105" s="59" t="s">
        <v>249</v>
      </c>
      <c r="B105" s="9"/>
      <c r="C105" s="9" t="n">
        <v>-1.48</v>
      </c>
      <c r="D105" s="9"/>
      <c r="E105" s="9"/>
      <c r="F105" s="9" t="n">
        <v>-0.84</v>
      </c>
      <c r="G105" s="9" t="n">
        <v>0.24</v>
      </c>
      <c r="H105" s="9" t="n">
        <v>-0.25</v>
      </c>
      <c r="I105" s="9" t="n">
        <v>-1.24</v>
      </c>
      <c r="J105" s="9" t="n">
        <v>1.95</v>
      </c>
      <c r="K105" s="9" t="n">
        <v>1.18</v>
      </c>
      <c r="L105" s="58" t="n">
        <f aca="false">TRIMMEAN(B105:K105,2/COUNT(B105:K105))</f>
        <v>-0.182</v>
      </c>
    </row>
    <row r="106" customFormat="false" ht="15.75" hidden="false" customHeight="true" outlineLevel="0" collapsed="false">
      <c r="A106" s="57" t="s">
        <v>250</v>
      </c>
      <c r="B106" s="9"/>
      <c r="C106" s="9" t="n">
        <v>-4.48</v>
      </c>
      <c r="D106" s="9"/>
      <c r="E106" s="9"/>
      <c r="F106" s="9"/>
      <c r="G106" s="9" t="n">
        <v>-2.71</v>
      </c>
      <c r="H106" s="9" t="n">
        <v>-2.17</v>
      </c>
      <c r="I106" s="9" t="n">
        <v>-1.01</v>
      </c>
      <c r="J106" s="9"/>
      <c r="K106" s="9"/>
      <c r="L106" s="58" t="n">
        <f aca="false">TRIMMEAN(B106:K106,2/COUNT(B106:K106))</f>
        <v>-2.44</v>
      </c>
    </row>
    <row r="107" customFormat="false" ht="15.75" hidden="false" customHeight="true" outlineLevel="0" collapsed="false">
      <c r="A107" s="59" t="s">
        <v>251</v>
      </c>
      <c r="B107" s="9" t="n">
        <v>-1.65</v>
      </c>
      <c r="C107" s="9" t="n">
        <v>-0.48</v>
      </c>
      <c r="D107" s="9"/>
      <c r="E107" s="9" t="n">
        <v>0.93</v>
      </c>
      <c r="F107" s="9" t="n">
        <v>0.7</v>
      </c>
      <c r="G107" s="9" t="n">
        <v>1.74</v>
      </c>
      <c r="H107" s="9"/>
      <c r="I107" s="9" t="n">
        <v>-2.01</v>
      </c>
      <c r="J107" s="9" t="n">
        <v>-0.31</v>
      </c>
      <c r="K107" s="9" t="n">
        <v>0.93</v>
      </c>
      <c r="L107" s="58" t="n">
        <f aca="false">TRIMMEAN(B107:K107,2/COUNT(B107:K107))</f>
        <v>0.02</v>
      </c>
    </row>
    <row r="108" customFormat="false" ht="15.75" hidden="false" customHeight="true" outlineLevel="0" collapsed="false">
      <c r="A108" s="57" t="s">
        <v>252</v>
      </c>
      <c r="B108" s="9" t="n">
        <v>-1.48</v>
      </c>
      <c r="C108" s="9" t="n">
        <v>-1.98</v>
      </c>
      <c r="D108" s="9" t="n">
        <v>-1.82</v>
      </c>
      <c r="E108" s="9" t="n">
        <v>1.93</v>
      </c>
      <c r="F108" s="9"/>
      <c r="G108" s="9" t="n">
        <v>1.22</v>
      </c>
      <c r="H108" s="9" t="n">
        <v>-0.11</v>
      </c>
      <c r="I108" s="9"/>
      <c r="J108" s="9" t="n">
        <v>-0.3</v>
      </c>
      <c r="K108" s="9"/>
      <c r="L108" s="58" t="n">
        <f aca="false">TRIMMEAN(B108:K108,2/COUNT(B108:K108))</f>
        <v>-0.498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/>
      <c r="E109" s="9"/>
      <c r="F109" s="9"/>
      <c r="G109" s="9" t="n">
        <v>0.72</v>
      </c>
      <c r="H109" s="9" t="n">
        <v>-2.11</v>
      </c>
      <c r="I109" s="9" t="n">
        <v>-0.01</v>
      </c>
      <c r="J109" s="9" t="n">
        <v>2.7</v>
      </c>
      <c r="K109" s="9" t="n">
        <v>0.43</v>
      </c>
      <c r="L109" s="58" t="n">
        <f aca="false">TRIMMEAN(B109:K109,2/COUNT(B109:K109))</f>
        <v>0.38</v>
      </c>
    </row>
    <row r="110" customFormat="false" ht="15.75" hidden="false" customHeight="true" outlineLevel="0" collapsed="false">
      <c r="A110" s="59" t="s">
        <v>254</v>
      </c>
      <c r="B110" s="9"/>
      <c r="C110" s="9" t="n">
        <v>1.41</v>
      </c>
      <c r="D110" s="9"/>
      <c r="E110" s="9"/>
      <c r="F110" s="9" t="n">
        <v>2.7</v>
      </c>
      <c r="G110" s="9" t="n">
        <v>0.49</v>
      </c>
      <c r="H110" s="9" t="n">
        <v>1.16</v>
      </c>
      <c r="I110" s="9" t="n">
        <v>-3.01</v>
      </c>
      <c r="J110" s="9"/>
      <c r="K110" s="9"/>
      <c r="L110" s="58" t="n">
        <f aca="false">TRIMMEAN(B110:K110,2/COUNT(B110:K110))</f>
        <v>1.02</v>
      </c>
    </row>
    <row r="111" customFormat="false" ht="15.75" hidden="false" customHeight="true" outlineLevel="0" collapsed="false">
      <c r="A111" s="57" t="s">
        <v>255</v>
      </c>
      <c r="B111" s="9" t="n">
        <v>-0.48</v>
      </c>
      <c r="C111" s="9" t="n">
        <v>1.66</v>
      </c>
      <c r="D111" s="9" t="n">
        <v>0.18</v>
      </c>
      <c r="E111" s="9"/>
      <c r="F111" s="9"/>
      <c r="G111" s="9" t="n">
        <v>-0.71</v>
      </c>
      <c r="H111" s="9" t="n">
        <v>-0.11</v>
      </c>
      <c r="I111" s="9" t="n">
        <v>2.01</v>
      </c>
      <c r="J111" s="9" t="n">
        <v>-0.31</v>
      </c>
      <c r="K111" s="9" t="n">
        <v>2.18</v>
      </c>
      <c r="L111" s="58" t="n">
        <f aca="false">TRIMMEAN(B111:K111,2/COUNT(B111:K111))</f>
        <v>0.491666666666667</v>
      </c>
    </row>
    <row r="112" customFormat="false" ht="15.75" hidden="false" customHeight="true" outlineLevel="0" collapsed="false">
      <c r="A112" s="57" t="s">
        <v>256</v>
      </c>
      <c r="B112" s="9" t="n">
        <v>-1.04</v>
      </c>
      <c r="C112" s="9"/>
      <c r="D112" s="9"/>
      <c r="E112" s="9" t="n">
        <v>-1.5</v>
      </c>
      <c r="F112" s="9" t="n">
        <v>-2.16</v>
      </c>
      <c r="G112" s="9" t="n">
        <v>-1.71</v>
      </c>
      <c r="H112" s="9" t="n">
        <v>-2.09</v>
      </c>
      <c r="I112" s="9"/>
      <c r="J112" s="9"/>
      <c r="K112" s="9"/>
      <c r="L112" s="58" t="n">
        <f aca="false">TRIMMEAN(B112:K112,2/COUNT(B112:K112))</f>
        <v>-1.76666666666667</v>
      </c>
    </row>
    <row r="113" customFormat="false" ht="15.75" hidden="false" customHeight="true" outlineLevel="0" collapsed="false">
      <c r="A113" s="59" t="s">
        <v>257</v>
      </c>
      <c r="B113" s="9"/>
      <c r="C113" s="9" t="n">
        <v>0.41</v>
      </c>
      <c r="D113" s="9"/>
      <c r="E113" s="9"/>
      <c r="F113" s="9" t="n">
        <v>0.45</v>
      </c>
      <c r="G113" s="9" t="n">
        <v>1.24</v>
      </c>
      <c r="H113" s="9" t="n">
        <v>0.5</v>
      </c>
      <c r="I113" s="9" t="n">
        <v>-0.49</v>
      </c>
      <c r="J113" s="9" t="n">
        <v>0.45</v>
      </c>
      <c r="K113" s="9" t="n">
        <v>3.68</v>
      </c>
      <c r="L113" s="58" t="n">
        <f aca="false">TRIMMEAN(B113:K113,2/COUNT(B113:K113))</f>
        <v>0.61</v>
      </c>
    </row>
    <row r="114" customFormat="false" ht="15.75" hidden="false" customHeight="true" outlineLevel="0" collapsed="false">
      <c r="A114" s="57" t="s">
        <v>258</v>
      </c>
      <c r="B114" s="9"/>
      <c r="C114" s="9" t="n">
        <v>2.66</v>
      </c>
      <c r="D114" s="9" t="n">
        <v>0.18</v>
      </c>
      <c r="E114" s="9" t="n">
        <v>3.68</v>
      </c>
      <c r="F114" s="9"/>
      <c r="G114" s="9" t="n">
        <v>1.97</v>
      </c>
      <c r="H114" s="9" t="n">
        <v>-1.11</v>
      </c>
      <c r="I114" s="9"/>
      <c r="J114" s="9"/>
      <c r="K114" s="9"/>
      <c r="L114" s="58" t="n">
        <f aca="false">TRIMMEAN(B114:K114,2/COUNT(B114:K114))</f>
        <v>1.60333333333333</v>
      </c>
    </row>
    <row r="115" customFormat="false" ht="15.75" hidden="false" customHeight="true" outlineLevel="0" collapsed="false">
      <c r="A115" s="57" t="s">
        <v>259</v>
      </c>
      <c r="B115" s="9" t="n">
        <v>-1.48</v>
      </c>
      <c r="C115" s="9"/>
      <c r="D115" s="9"/>
      <c r="E115" s="9" t="n">
        <v>-2.07</v>
      </c>
      <c r="F115" s="9" t="n">
        <v>0.2</v>
      </c>
      <c r="G115" s="9" t="n">
        <v>-2.21</v>
      </c>
      <c r="H115" s="9"/>
      <c r="I115" s="9" t="n">
        <v>0.76</v>
      </c>
      <c r="J115" s="9" t="n">
        <v>-0.3</v>
      </c>
      <c r="K115" s="9" t="n">
        <v>-1.6</v>
      </c>
      <c r="L115" s="58" t="n">
        <f aca="false">TRIMMEAN(B115:K115,2/COUNT(B115:K115))</f>
        <v>-1.05</v>
      </c>
    </row>
    <row r="116" customFormat="false" ht="15.75" hidden="false" customHeight="true" outlineLevel="0" collapsed="false">
      <c r="A116" s="59" t="s">
        <v>260</v>
      </c>
      <c r="B116" s="9"/>
      <c r="C116" s="9" t="n">
        <v>-1.98</v>
      </c>
      <c r="D116" s="9"/>
      <c r="E116" s="9"/>
      <c r="F116" s="9" t="n">
        <v>0.2</v>
      </c>
      <c r="G116" s="9" t="n">
        <v>1.74</v>
      </c>
      <c r="H116" s="9" t="n">
        <v>1.5</v>
      </c>
      <c r="I116" s="9" t="n">
        <v>0.26</v>
      </c>
      <c r="J116" s="9" t="n">
        <v>0.19</v>
      </c>
      <c r="K116" s="9" t="n">
        <v>0.93</v>
      </c>
      <c r="L116" s="58" t="n">
        <f aca="false">TRIMMEAN(B116:K116,2/COUNT(B116:K116))</f>
        <v>0.616</v>
      </c>
    </row>
    <row r="117" customFormat="false" ht="15.75" hidden="false" customHeight="true" outlineLevel="0" collapsed="false">
      <c r="A117" s="57" t="s">
        <v>261</v>
      </c>
      <c r="B117" s="9" t="n">
        <v>1.1</v>
      </c>
      <c r="C117" s="9"/>
      <c r="D117" s="9" t="n">
        <v>0.86</v>
      </c>
      <c r="E117" s="9" t="n">
        <v>1.18</v>
      </c>
      <c r="F117" s="9" t="n">
        <v>-1.3</v>
      </c>
      <c r="G117" s="9" t="n">
        <v>-2.71</v>
      </c>
      <c r="H117" s="9" t="n">
        <v>1.66</v>
      </c>
      <c r="I117" s="9" t="n">
        <v>-0.51</v>
      </c>
      <c r="J117" s="9" t="n">
        <v>1.95</v>
      </c>
      <c r="K117" s="9" t="n">
        <v>1.93</v>
      </c>
      <c r="L117" s="58" t="n">
        <f aca="false">TRIMMEAN(B117:K117,2/COUNT(B117:K117))</f>
        <v>0.702857142857143</v>
      </c>
    </row>
    <row r="118" customFormat="false" ht="15.75" hidden="false" customHeight="true" outlineLevel="0" collapsed="false">
      <c r="A118" s="59" t="s">
        <v>262</v>
      </c>
      <c r="B118" s="9"/>
      <c r="C118" s="9" t="n">
        <v>-5.98</v>
      </c>
      <c r="D118" s="9"/>
      <c r="E118" s="9"/>
      <c r="F118" s="9" t="n">
        <v>1.45</v>
      </c>
      <c r="G118" s="9" t="n">
        <v>1.49</v>
      </c>
      <c r="H118" s="9" t="n">
        <v>-0.17</v>
      </c>
      <c r="I118" s="9" t="n">
        <v>-0.01</v>
      </c>
      <c r="J118" s="9" t="n">
        <v>1.45</v>
      </c>
      <c r="K118" s="9" t="n">
        <v>-2.6</v>
      </c>
      <c r="L118" s="58" t="n">
        <f aca="false">TRIMMEAN(B118:K118,2/COUNT(B118:K118))</f>
        <v>0.024</v>
      </c>
    </row>
    <row r="119" customFormat="false" ht="15.75" hidden="false" customHeight="true" outlineLevel="0" collapsed="false">
      <c r="A119" s="57" t="s">
        <v>263</v>
      </c>
      <c r="B119" s="9" t="n">
        <v>0.71</v>
      </c>
      <c r="C119" s="9"/>
      <c r="D119" s="9"/>
      <c r="E119" s="9" t="n">
        <v>-1.8</v>
      </c>
      <c r="F119" s="9" t="n">
        <v>-0.11</v>
      </c>
      <c r="G119" s="9" t="n">
        <v>-2.28</v>
      </c>
      <c r="H119" s="9" t="n">
        <v>-1.17</v>
      </c>
      <c r="I119" s="9"/>
      <c r="J119" s="9"/>
      <c r="K119" s="9"/>
      <c r="L119" s="58" t="n">
        <f aca="false">TRIMMEAN(B119:K119,2/COUNT(B119:K119))</f>
        <v>-1.02666666666667</v>
      </c>
    </row>
    <row r="120" customFormat="false" ht="15.75" hidden="false" customHeight="true" outlineLevel="0" collapsed="false">
      <c r="A120" s="59" t="s">
        <v>264</v>
      </c>
      <c r="B120" s="9"/>
      <c r="C120" s="9" t="n">
        <v>-0.1</v>
      </c>
      <c r="D120" s="9" t="n">
        <v>1.61</v>
      </c>
      <c r="E120" s="9" t="n">
        <v>-0.57</v>
      </c>
      <c r="F120" s="9"/>
      <c r="G120" s="9" t="n">
        <v>1.49</v>
      </c>
      <c r="H120" s="9" t="n">
        <v>2.75</v>
      </c>
      <c r="I120" s="9" t="n">
        <v>-0.51</v>
      </c>
      <c r="J120" s="9" t="n">
        <v>0.95</v>
      </c>
      <c r="K120" s="9" t="n">
        <v>3.43</v>
      </c>
      <c r="L120" s="58" t="n">
        <f aca="false">TRIMMEAN(B120:K120,2/COUNT(B120:K120))</f>
        <v>1.03166666666667</v>
      </c>
    </row>
    <row r="121" customFormat="false" ht="15.75" hidden="false" customHeight="true" outlineLevel="0" collapsed="false">
      <c r="A121" s="57" t="s">
        <v>265</v>
      </c>
      <c r="B121" s="9" t="n">
        <v>-1.35</v>
      </c>
      <c r="C121" s="9"/>
      <c r="D121" s="9"/>
      <c r="E121" s="9" t="n">
        <v>-1</v>
      </c>
      <c r="F121" s="9" t="n">
        <v>-0.11</v>
      </c>
      <c r="G121" s="9" t="n">
        <v>1.47</v>
      </c>
      <c r="H121" s="9" t="n">
        <v>2.16</v>
      </c>
      <c r="I121" s="9" t="n">
        <v>0.01</v>
      </c>
      <c r="J121" s="9"/>
      <c r="K121" s="9"/>
      <c r="L121" s="58" t="n">
        <f aca="false">TRIMMEAN(B121:K121,2/COUNT(B121:K121))</f>
        <v>0.0925</v>
      </c>
    </row>
    <row r="122" customFormat="false" ht="15.75" hidden="false" customHeight="true" outlineLevel="0" collapsed="false">
      <c r="A122" s="59" t="s">
        <v>266</v>
      </c>
      <c r="B122" s="9" t="n">
        <v>1.96</v>
      </c>
      <c r="C122" s="9"/>
      <c r="D122" s="9" t="n">
        <v>1.36</v>
      </c>
      <c r="E122" s="9"/>
      <c r="F122" s="9"/>
      <c r="G122" s="9"/>
      <c r="H122" s="9"/>
      <c r="I122" s="9"/>
      <c r="J122" s="9"/>
      <c r="K122" s="9"/>
      <c r="L122" s="58" t="e">
        <f aca="false">TRIMMEAN(B122:K122,2/COUNT(B122:K122))</f>
        <v>#VALUE!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 t="n">
        <v>1.95</v>
      </c>
      <c r="G123" s="9"/>
      <c r="H123" s="9"/>
      <c r="I123" s="9"/>
      <c r="J123" s="9"/>
      <c r="K123" s="9"/>
      <c r="L123" s="58" t="e">
        <f aca="false">TRIMMEAN(B123:K123,2/COUNT(B123:K123))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-1.35</v>
      </c>
      <c r="C124" s="9"/>
      <c r="D124" s="9"/>
      <c r="E124" s="9" t="n">
        <v>0.45</v>
      </c>
      <c r="F124" s="9" t="n">
        <v>-3.66</v>
      </c>
      <c r="G124" s="9" t="n">
        <v>-1.21</v>
      </c>
      <c r="H124" s="9" t="n">
        <v>-1.17</v>
      </c>
      <c r="I124" s="9"/>
      <c r="J124" s="9"/>
      <c r="K124" s="9"/>
      <c r="L124" s="58" t="n">
        <f aca="false">TRIMMEAN(B124:K124,2/COUNT(B124:K124))</f>
        <v>-1.24333333333333</v>
      </c>
    </row>
    <row r="125" customFormat="false" ht="15.75" hidden="false" customHeight="true" outlineLevel="0" collapsed="false">
      <c r="A125" s="59" t="s">
        <v>269</v>
      </c>
      <c r="B125" s="9"/>
      <c r="C125" s="9" t="n">
        <v>1.16</v>
      </c>
      <c r="D125" s="9"/>
      <c r="E125" s="9"/>
      <c r="F125" s="9" t="n">
        <v>-0.84</v>
      </c>
      <c r="G125" s="9" t="n">
        <v>1.49</v>
      </c>
      <c r="H125" s="9" t="n">
        <v>-0.17</v>
      </c>
      <c r="I125" s="9" t="n">
        <v>-1.01</v>
      </c>
      <c r="J125" s="9" t="n">
        <v>-0.81</v>
      </c>
      <c r="K125" s="9" t="n">
        <v>-0.6</v>
      </c>
      <c r="L125" s="58" t="n">
        <f aca="false">TRIMMEAN(B125:K125,2/COUNT(B125:K125))</f>
        <v>-0.252</v>
      </c>
    </row>
    <row r="126" customFormat="false" ht="15.75" hidden="false" customHeight="true" outlineLevel="0" collapsed="false">
      <c r="A126" s="57" t="s">
        <v>270</v>
      </c>
      <c r="B126" s="9"/>
      <c r="C126" s="9"/>
      <c r="D126" s="9"/>
      <c r="E126" s="9" t="n">
        <v>0.95</v>
      </c>
      <c r="F126" s="9" t="n">
        <v>-1.66</v>
      </c>
      <c r="G126" s="9" t="n">
        <v>-3.21</v>
      </c>
      <c r="H126" s="9" t="n">
        <v>-3.61</v>
      </c>
      <c r="I126" s="9"/>
      <c r="J126" s="9"/>
      <c r="K126" s="9"/>
      <c r="L126" s="58" t="n">
        <f aca="false">TRIMMEAN(B126:K126,2/COUNT(B126:K126))</f>
        <v>-2.435</v>
      </c>
    </row>
    <row r="127" customFormat="false" ht="15.75" hidden="false" customHeight="true" outlineLevel="0" collapsed="false">
      <c r="A127" s="59" t="s">
        <v>271</v>
      </c>
      <c r="B127" s="9"/>
      <c r="C127" s="9" t="n">
        <v>0.35</v>
      </c>
      <c r="D127" s="9"/>
      <c r="E127" s="9"/>
      <c r="F127" s="9" t="n">
        <v>-0.84</v>
      </c>
      <c r="G127" s="9" t="n">
        <v>-0.94</v>
      </c>
      <c r="H127" s="9" t="n">
        <v>0.25</v>
      </c>
      <c r="I127" s="9" t="n">
        <v>-1.49</v>
      </c>
      <c r="J127" s="9" t="n">
        <v>-1.31</v>
      </c>
      <c r="K127" s="9" t="n">
        <v>-1.1</v>
      </c>
      <c r="L127" s="58" t="n">
        <f aca="false">TRIMMEAN(B127:K127,2/COUNT(B127:K127))</f>
        <v>-0.788</v>
      </c>
    </row>
    <row r="128" customFormat="false" ht="15.75" hidden="false" customHeight="true" outlineLevel="0" collapsed="false">
      <c r="A128" s="57" t="s">
        <v>272</v>
      </c>
      <c r="B128" s="9" t="n">
        <v>0.21</v>
      </c>
      <c r="C128" s="9"/>
      <c r="D128" s="9"/>
      <c r="E128" s="9" t="n">
        <v>-4.5</v>
      </c>
      <c r="F128" s="9" t="n">
        <v>-3.16</v>
      </c>
      <c r="G128" s="9" t="n">
        <v>-0.53</v>
      </c>
      <c r="H128" s="9" t="n">
        <v>-0.67</v>
      </c>
      <c r="I128" s="9"/>
      <c r="J128" s="9"/>
      <c r="K128" s="9"/>
      <c r="L128" s="58" t="n">
        <f aca="false">TRIMMEAN(B128:K128,2/COUNT(B128:K128))</f>
        <v>-1.45333333333333</v>
      </c>
    </row>
    <row r="129" customFormat="false" ht="15.75" hidden="false" customHeight="true" outlineLevel="0" collapsed="false">
      <c r="A129" s="57" t="s">
        <v>273</v>
      </c>
      <c r="B129" s="9"/>
      <c r="C129" s="9" t="n">
        <v>0.16</v>
      </c>
      <c r="D129" s="9" t="n">
        <v>1.11</v>
      </c>
      <c r="E129" s="9"/>
      <c r="F129" s="9" t="n">
        <v>-0.84</v>
      </c>
      <c r="G129" s="9" t="n">
        <v>2.97</v>
      </c>
      <c r="H129" s="9" t="n">
        <v>0.16</v>
      </c>
      <c r="I129" s="9" t="n">
        <v>-1.01</v>
      </c>
      <c r="J129" s="9" t="n">
        <v>-0.05</v>
      </c>
      <c r="K129" s="9" t="n">
        <v>-0.6</v>
      </c>
      <c r="L129" s="58" t="n">
        <f aca="false">TRIMMEAN(B129:K129,2/COUNT(B129:K129))</f>
        <v>-0.00999999999999997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 t="n">
        <v>-0.05</v>
      </c>
      <c r="G130" s="9" t="n">
        <v>0.74</v>
      </c>
      <c r="H130" s="9" t="n">
        <v>0</v>
      </c>
      <c r="I130" s="9"/>
      <c r="J130" s="9"/>
      <c r="K130" s="9"/>
      <c r="L130" s="58" t="n">
        <f aca="false">TRIMMEAN(B130:K130,2/COUNT(B130:K130))</f>
        <v>0</v>
      </c>
    </row>
    <row r="131" customFormat="false" ht="15.75" hidden="false" customHeight="true" outlineLevel="0" collapsed="false">
      <c r="A131" s="57" t="s">
        <v>275</v>
      </c>
      <c r="B131" s="9" t="n">
        <v>-0.65</v>
      </c>
      <c r="C131" s="9"/>
      <c r="D131" s="9" t="n">
        <v>0.86</v>
      </c>
      <c r="E131" s="9" t="n">
        <v>1.18</v>
      </c>
      <c r="F131" s="9" t="n">
        <v>-1.84</v>
      </c>
      <c r="G131" s="9" t="n">
        <v>-0.21</v>
      </c>
      <c r="H131" s="9" t="n">
        <v>-1.61</v>
      </c>
      <c r="I131" s="9" t="n">
        <v>2.26</v>
      </c>
      <c r="J131" s="9" t="n">
        <v>2.2</v>
      </c>
      <c r="K131" s="9" t="n">
        <v>0.18</v>
      </c>
      <c r="L131" s="58" t="n">
        <f aca="false">TRIMMEAN(B131:K131,2/COUNT(B131:K131))</f>
        <v>0.278571428571429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58" t="e">
        <f aca="false">TRIMMEAN(B132:K132,2/COUNT(B132:K132))</f>
        <v>#DIV/0!</v>
      </c>
    </row>
    <row r="133" customFormat="false" ht="15.75" hidden="false" customHeight="true" outlineLevel="0" collapsed="false">
      <c r="A133" s="57" t="s">
        <v>277</v>
      </c>
      <c r="B133" s="9" t="n">
        <v>2.85</v>
      </c>
      <c r="C133" s="9"/>
      <c r="D133" s="9" t="n">
        <v>-0.32</v>
      </c>
      <c r="E133" s="9" t="n">
        <v>0.68</v>
      </c>
      <c r="F133" s="9"/>
      <c r="G133" s="9" t="n">
        <v>2.47</v>
      </c>
      <c r="H133" s="9" t="n">
        <v>2.16</v>
      </c>
      <c r="I133" s="9"/>
      <c r="J133" s="9" t="n">
        <v>0.7</v>
      </c>
      <c r="K133" s="9"/>
      <c r="L133" s="58" t="n">
        <f aca="false">TRIMMEAN(B133:K133,2/COUNT(B133:K133))</f>
        <v>1.5025</v>
      </c>
    </row>
    <row r="134" customFormat="false" ht="15.75" hidden="false" customHeight="true" outlineLevel="0" collapsed="false">
      <c r="A134" s="57" t="s">
        <v>13</v>
      </c>
      <c r="B134" s="9"/>
      <c r="C134" s="9" t="n">
        <v>1.66</v>
      </c>
      <c r="D134" s="9" t="n">
        <v>3.11</v>
      </c>
      <c r="E134" s="9"/>
      <c r="F134" s="9" t="n">
        <v>0.2</v>
      </c>
      <c r="G134" s="9" t="n">
        <v>3.97</v>
      </c>
      <c r="H134" s="9" t="n">
        <v>-0.61</v>
      </c>
      <c r="I134" s="9" t="n">
        <v>1.51</v>
      </c>
      <c r="J134" s="9"/>
      <c r="K134" s="9" t="n">
        <v>2.68</v>
      </c>
      <c r="L134" s="58" t="n">
        <f aca="false">TRIMMEAN(B134:K134,2/COUNT(B134:K134))</f>
        <v>1.832</v>
      </c>
    </row>
    <row r="135" customFormat="false" ht="15.75" hidden="false" customHeight="true" outlineLevel="0" collapsed="false">
      <c r="A135" s="57" t="s">
        <v>278</v>
      </c>
      <c r="B135" s="9"/>
      <c r="C135" s="9" t="n">
        <v>-0.48</v>
      </c>
      <c r="D135" s="9" t="n">
        <v>-1.82</v>
      </c>
      <c r="E135" s="9"/>
      <c r="F135" s="9"/>
      <c r="G135" s="9" t="n">
        <v>-0.53</v>
      </c>
      <c r="H135" s="9"/>
      <c r="I135" s="9" t="n">
        <v>1.01</v>
      </c>
      <c r="J135" s="9" t="n">
        <v>2.2</v>
      </c>
      <c r="K135" s="9" t="n">
        <v>-0.57</v>
      </c>
      <c r="L135" s="58" t="n">
        <f aca="false">TRIMMEAN(B135:K135,2/COUNT(B135:K135))</f>
        <v>-0.1425</v>
      </c>
    </row>
    <row r="136" customFormat="false" ht="15.75" hidden="false" customHeight="true" outlineLevel="0" collapsed="false">
      <c r="A136" s="57" t="s">
        <v>279</v>
      </c>
      <c r="B136" s="9" t="n">
        <v>1.85</v>
      </c>
      <c r="C136" s="9"/>
      <c r="D136" s="9" t="n">
        <v>0.61</v>
      </c>
      <c r="E136" s="9" t="n">
        <v>1.43</v>
      </c>
      <c r="F136" s="9"/>
      <c r="G136" s="9" t="n">
        <v>0.47</v>
      </c>
      <c r="H136" s="9" t="n">
        <v>0.91</v>
      </c>
      <c r="I136" s="9" t="n">
        <v>1.26</v>
      </c>
      <c r="J136" s="9"/>
      <c r="K136" s="9"/>
      <c r="L136" s="58" t="n">
        <f aca="false">TRIMMEAN(B136:K136,2/COUNT(B136:K136))</f>
        <v>1.0525</v>
      </c>
    </row>
    <row r="137" customFormat="false" ht="15.75" hidden="false" customHeight="true" outlineLevel="0" collapsed="false">
      <c r="A137" s="59" t="s">
        <v>280</v>
      </c>
      <c r="B137" s="9"/>
      <c r="C137" s="9" t="n">
        <v>-4.48</v>
      </c>
      <c r="D137" s="9"/>
      <c r="E137" s="9"/>
      <c r="F137" s="9" t="n">
        <v>-2.34</v>
      </c>
      <c r="G137" s="9" t="n">
        <v>0.49</v>
      </c>
      <c r="H137" s="9"/>
      <c r="I137" s="9" t="n">
        <v>-6.93</v>
      </c>
      <c r="J137" s="9" t="n">
        <v>-2.81</v>
      </c>
      <c r="K137" s="9" t="n">
        <v>0.18</v>
      </c>
      <c r="L137" s="58" t="n">
        <f aca="false">TRIMMEAN(B137:K137,2/COUNT(B137:K137))</f>
        <v>-2.3625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 t="n">
        <v>-1.32</v>
      </c>
      <c r="E138" s="9" t="n">
        <v>-0.07</v>
      </c>
      <c r="F138" s="9"/>
      <c r="G138" s="9" t="n">
        <v>-1.21</v>
      </c>
      <c r="H138" s="9" t="n">
        <v>-0.11</v>
      </c>
      <c r="I138" s="9" t="n">
        <v>2.01</v>
      </c>
      <c r="J138" s="9" t="n">
        <v>0.19</v>
      </c>
      <c r="K138" s="9"/>
      <c r="L138" s="58" t="n">
        <f aca="false">TRIMMEAN(B138:K138,2/COUNT(B138:K138))</f>
        <v>-0.3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58" t="e">
        <f aca="false">TRIMMEAN(B139:K139,2/COUNT(B139:K139))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1.19</v>
      </c>
      <c r="D140" s="9" t="n">
        <v>-2.32</v>
      </c>
      <c r="E140" s="9"/>
      <c r="F140" s="9"/>
      <c r="G140" s="9" t="n">
        <v>-0.21</v>
      </c>
      <c r="H140" s="9" t="n">
        <v>1.16</v>
      </c>
      <c r="I140" s="9"/>
      <c r="J140" s="9"/>
      <c r="K140" s="9" t="n">
        <v>-0.32</v>
      </c>
      <c r="L140" s="58" t="n">
        <f aca="false">TRIMMEAN(B140:K140,2/COUNT(B140:K140))</f>
        <v>0.21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/>
      <c r="E141" s="9"/>
      <c r="F141" s="9" t="n">
        <v>2.45</v>
      </c>
      <c r="G141" s="9" t="n">
        <v>1.49</v>
      </c>
      <c r="H141" s="9"/>
      <c r="I141" s="9" t="n">
        <v>2.51</v>
      </c>
      <c r="J141" s="9" t="n">
        <v>1.45</v>
      </c>
      <c r="K141" s="9" t="n">
        <v>0.93</v>
      </c>
      <c r="L141" s="58" t="n">
        <f aca="false">TRIMMEAN(B141:K141,2/COUNT(B141:K141))</f>
        <v>1.79666666666667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 t="n">
        <v>1.61</v>
      </c>
      <c r="E142" s="9"/>
      <c r="F142" s="9" t="n">
        <v>-2.34</v>
      </c>
      <c r="G142" s="9" t="n">
        <v>1.74</v>
      </c>
      <c r="H142" s="9"/>
      <c r="I142" s="9" t="n">
        <v>4.26</v>
      </c>
      <c r="J142" s="9" t="n">
        <v>1.2</v>
      </c>
      <c r="K142" s="9" t="n">
        <v>0.93</v>
      </c>
      <c r="L142" s="58" t="n">
        <f aca="false">TRIMMEAN(B142:K142,2/COUNT(B142:K142))</f>
        <v>1.37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 t="n">
        <v>-1.8</v>
      </c>
      <c r="F143" s="9" t="n">
        <v>-1.66</v>
      </c>
      <c r="G143" s="9" t="n">
        <v>-0.28</v>
      </c>
      <c r="H143" s="9"/>
      <c r="I143" s="9"/>
      <c r="J143" s="9"/>
      <c r="K143" s="9"/>
      <c r="L143" s="58" t="n">
        <f aca="false">TRIMMEAN(B143:K143,2/COUNT(B143:K143))</f>
        <v>-1.66</v>
      </c>
    </row>
    <row r="144" customFormat="false" ht="15.75" hidden="false" customHeight="true" outlineLevel="0" collapsed="false">
      <c r="A144" s="59" t="s">
        <v>287</v>
      </c>
      <c r="B144" s="9" t="n">
        <v>1.85</v>
      </c>
      <c r="C144" s="9"/>
      <c r="D144" s="9"/>
      <c r="E144" s="9"/>
      <c r="F144" s="9" t="n">
        <v>1.45</v>
      </c>
      <c r="G144" s="9"/>
      <c r="H144" s="9"/>
      <c r="I144" s="9" t="n">
        <v>-3.51</v>
      </c>
      <c r="J144" s="9" t="n">
        <v>0.2</v>
      </c>
      <c r="K144" s="9" t="n">
        <v>-1.6</v>
      </c>
      <c r="L144" s="58" t="n">
        <f aca="false">TRIMMEAN(B144:K144,2/COUNT(B144:K144))</f>
        <v>0.0166666666666666</v>
      </c>
    </row>
    <row r="145" customFormat="false" ht="15.75" hidden="false" customHeight="true" outlineLevel="0" collapsed="false">
      <c r="A145" s="57" t="s">
        <v>288</v>
      </c>
      <c r="B145" s="9" t="n">
        <v>-2.04</v>
      </c>
      <c r="C145" s="9"/>
      <c r="D145" s="9"/>
      <c r="E145" s="9" t="n">
        <v>0.95</v>
      </c>
      <c r="F145" s="9" t="n">
        <v>0.39</v>
      </c>
      <c r="G145" s="9" t="n">
        <v>-4.21</v>
      </c>
      <c r="H145" s="9" t="n">
        <v>-1.11</v>
      </c>
      <c r="I145" s="9"/>
      <c r="J145" s="9"/>
      <c r="K145" s="9"/>
      <c r="L145" s="58" t="n">
        <f aca="false">TRIMMEAN(B145:K145,2/COUNT(B145:K145))</f>
        <v>-0.92</v>
      </c>
    </row>
    <row r="146" customFormat="false" ht="15.75" hidden="false" customHeight="true" outlineLevel="0" collapsed="false">
      <c r="A146" s="57" t="s">
        <v>289</v>
      </c>
      <c r="B146" s="9" t="n">
        <v>-3.35</v>
      </c>
      <c r="C146" s="9"/>
      <c r="D146" s="9"/>
      <c r="E146" s="9" t="n">
        <v>1.95</v>
      </c>
      <c r="F146" s="9" t="n">
        <v>-2.66</v>
      </c>
      <c r="G146" s="9" t="n">
        <v>-0.21</v>
      </c>
      <c r="H146" s="9" t="n">
        <v>-0.11</v>
      </c>
      <c r="I146" s="9"/>
      <c r="J146" s="9"/>
      <c r="K146" s="9"/>
      <c r="L146" s="58" t="n">
        <f aca="false">TRIMMEAN(B146:K146,2/COUNT(B146:K146))</f>
        <v>-0.993333333333333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 t="n">
        <v>-1.84</v>
      </c>
      <c r="G147" s="9" t="n">
        <v>-2.44</v>
      </c>
      <c r="H147" s="9"/>
      <c r="I147" s="9"/>
      <c r="J147" s="9"/>
      <c r="K147" s="9"/>
      <c r="L147" s="58" t="e">
        <f aca="false">TRIMMEAN(B147:K147,2/COUNT(B147:K147))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58" t="e">
        <f aca="false">TRIMMEAN(B148:K148,2/COUNT(B148:K148))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-2.98</v>
      </c>
      <c r="D149" s="9"/>
      <c r="E149" s="9"/>
      <c r="F149" s="9" t="n">
        <v>-5.34</v>
      </c>
      <c r="G149" s="9" t="n">
        <v>-0.76</v>
      </c>
      <c r="H149" s="9" t="n">
        <v>-5.67</v>
      </c>
      <c r="I149" s="9" t="n">
        <v>-1.51</v>
      </c>
      <c r="J149" s="9" t="n">
        <v>-3.31</v>
      </c>
      <c r="K149" s="9" t="n">
        <v>-2.6</v>
      </c>
      <c r="L149" s="58" t="n">
        <f aca="false">TRIMMEAN(B149:K149,2/COUNT(B149:K149))</f>
        <v>-3.148</v>
      </c>
    </row>
    <row r="150" customFormat="false" ht="15.75" hidden="false" customHeight="true" outlineLevel="0" collapsed="false">
      <c r="A150" s="57" t="s">
        <v>293</v>
      </c>
      <c r="B150" s="9" t="n">
        <v>-1.35</v>
      </c>
      <c r="C150" s="9"/>
      <c r="D150" s="9"/>
      <c r="E150" s="9" t="n">
        <v>-0.8</v>
      </c>
      <c r="F150" s="9" t="n">
        <v>-3.16</v>
      </c>
      <c r="G150" s="9" t="n">
        <v>-1.71</v>
      </c>
      <c r="H150" s="9"/>
      <c r="I150" s="9"/>
      <c r="J150" s="9"/>
      <c r="K150" s="9"/>
      <c r="L150" s="58" t="n">
        <f aca="false">TRIMMEAN(B150:K150,2/COUNT(B150:K150))</f>
        <v>-1.53</v>
      </c>
    </row>
    <row r="151" customFormat="false" ht="15.75" hidden="false" customHeight="true" outlineLevel="0" collapsed="false">
      <c r="A151" s="57" t="s">
        <v>294</v>
      </c>
      <c r="B151" s="9"/>
      <c r="C151" s="9"/>
      <c r="D151" s="9"/>
      <c r="E151" s="9" t="n">
        <v>-2.05</v>
      </c>
      <c r="F151" s="9" t="n">
        <v>-2.16</v>
      </c>
      <c r="G151" s="9" t="n">
        <v>-2.21</v>
      </c>
      <c r="H151" s="9" t="n">
        <v>-0.67</v>
      </c>
      <c r="I151" s="9"/>
      <c r="J151" s="9"/>
      <c r="K151" s="9"/>
      <c r="L151" s="58" t="n">
        <f aca="false">TRIMMEAN(B151:K151,2/COUNT(B151:K151))</f>
        <v>-2.105</v>
      </c>
    </row>
    <row r="152" customFormat="false" ht="15.75" hidden="false" customHeight="true" outlineLevel="0" collapsed="false">
      <c r="A152" s="59" t="s">
        <v>295</v>
      </c>
      <c r="B152" s="9"/>
      <c r="C152" s="9" t="n">
        <v>-1.48</v>
      </c>
      <c r="D152" s="9"/>
      <c r="E152" s="9"/>
      <c r="F152" s="9" t="n">
        <v>-1.34</v>
      </c>
      <c r="G152" s="9" t="n">
        <v>-2.44</v>
      </c>
      <c r="H152" s="9" t="n">
        <v>-0.5</v>
      </c>
      <c r="I152" s="9" t="n">
        <v>1.26</v>
      </c>
      <c r="J152" s="9" t="n">
        <v>0.7</v>
      </c>
      <c r="K152" s="9" t="n">
        <v>-2.1</v>
      </c>
      <c r="L152" s="58" t="n">
        <f aca="false">TRIMMEAN(B152:K152,2/COUNT(B152:K152))</f>
        <v>-0.944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/>
      <c r="E153" s="9" t="n">
        <v>-2</v>
      </c>
      <c r="F153" s="9" t="n">
        <v>-1.66</v>
      </c>
      <c r="G153" s="9" t="n">
        <v>-1.71</v>
      </c>
      <c r="H153" s="9"/>
      <c r="I153" s="9"/>
      <c r="J153" s="9"/>
      <c r="K153" s="9"/>
      <c r="L153" s="58" t="n">
        <f aca="false">TRIMMEAN(B153:K153,2/COUNT(B153:K153))</f>
        <v>-1.71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58" t="e">
        <f aca="false">TRIMMEAN(B154:K154,2/COUNT(B154:K154))</f>
        <v>#DIV/0!</v>
      </c>
    </row>
    <row r="155" customFormat="false" ht="15.75" hidden="false" customHeight="true" outlineLevel="0" collapsed="false">
      <c r="A155" s="57" t="s">
        <v>298</v>
      </c>
      <c r="B155" s="9" t="n">
        <v>-1.48</v>
      </c>
      <c r="C155" s="9"/>
      <c r="D155" s="9" t="n">
        <v>-0.82</v>
      </c>
      <c r="E155" s="9" t="n">
        <v>-0.57</v>
      </c>
      <c r="F155" s="9"/>
      <c r="G155" s="9" t="n">
        <v>3.47</v>
      </c>
      <c r="H155" s="9" t="n">
        <v>0.16</v>
      </c>
      <c r="I155" s="9"/>
      <c r="J155" s="9"/>
      <c r="K155" s="9"/>
      <c r="L155" s="58" t="n">
        <f aca="false">TRIMMEAN(B155:K155,2/COUNT(B155:K155))</f>
        <v>-0.41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58" t="e">
        <f aca="false">TRIMMEAN(B156:K156,2/COUNT(B156:K156))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-0.59</v>
      </c>
      <c r="D157" s="9"/>
      <c r="E157" s="9"/>
      <c r="F157" s="9" t="n">
        <v>-1.34</v>
      </c>
      <c r="G157" s="9" t="n">
        <v>-1.71</v>
      </c>
      <c r="H157" s="9" t="n">
        <v>-1.61</v>
      </c>
      <c r="I157" s="9" t="n">
        <v>-0.74</v>
      </c>
      <c r="J157" s="9" t="n">
        <v>-0.81</v>
      </c>
      <c r="K157" s="9" t="n">
        <v>-3.6</v>
      </c>
      <c r="L157" s="58" t="n">
        <f aca="false">TRIMMEAN(B157:K157,2/COUNT(B157:K157))</f>
        <v>-1.242</v>
      </c>
    </row>
    <row r="158" customFormat="false" ht="15.75" hidden="false" customHeight="true" outlineLevel="0" collapsed="false">
      <c r="A158" s="57" t="s">
        <v>301</v>
      </c>
      <c r="B158" s="9" t="n">
        <v>-1.29</v>
      </c>
      <c r="C158" s="9"/>
      <c r="D158" s="9"/>
      <c r="E158" s="9" t="n">
        <v>-2</v>
      </c>
      <c r="F158" s="9"/>
      <c r="G158" s="9" t="n">
        <v>0.47</v>
      </c>
      <c r="H158" s="9"/>
      <c r="I158" s="9"/>
      <c r="J158" s="9"/>
      <c r="K158" s="9"/>
      <c r="L158" s="58" t="n">
        <f aca="false">TRIMMEAN(B158:K158,2/COUNT(B158:K158))</f>
        <v>-1.29</v>
      </c>
    </row>
    <row r="159" customFormat="false" ht="15.75" hidden="false" customHeight="true" outlineLevel="0" collapsed="false">
      <c r="A159" s="57" t="s">
        <v>302</v>
      </c>
      <c r="B159" s="9" t="n">
        <v>2.71</v>
      </c>
      <c r="C159" s="9"/>
      <c r="D159" s="9"/>
      <c r="E159" s="9" t="n">
        <v>1.45</v>
      </c>
      <c r="F159" s="9" t="n">
        <v>0.89</v>
      </c>
      <c r="G159" s="9" t="n">
        <v>0.72</v>
      </c>
      <c r="H159" s="9"/>
      <c r="I159" s="9"/>
      <c r="J159" s="9"/>
      <c r="K159" s="9"/>
      <c r="L159" s="58" t="n">
        <f aca="false">TRIMMEAN(B159:K159,2/COUNT(B159:K159))</f>
        <v>1.17</v>
      </c>
    </row>
    <row r="160" customFormat="false" ht="15.75" hidden="false" customHeight="true" outlineLevel="0" collapsed="false">
      <c r="A160" s="59" t="s">
        <v>303</v>
      </c>
      <c r="B160" s="9"/>
      <c r="C160" s="9" t="n">
        <v>-0.48</v>
      </c>
      <c r="D160" s="9"/>
      <c r="E160" s="9"/>
      <c r="F160" s="9" t="n">
        <v>1.2</v>
      </c>
      <c r="G160" s="9" t="n">
        <v>0.24</v>
      </c>
      <c r="H160" s="9"/>
      <c r="I160" s="9" t="n">
        <v>-1.51</v>
      </c>
      <c r="J160" s="9" t="n">
        <v>1.2</v>
      </c>
      <c r="K160" s="9" t="n">
        <v>-5.1</v>
      </c>
      <c r="L160" s="58" t="n">
        <f aca="false">TRIMMEAN(B160:K160,2/COUNT(B160:K160))</f>
        <v>-0.1375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-2.84</v>
      </c>
      <c r="G161" s="9" t="n">
        <v>0.24</v>
      </c>
      <c r="H161" s="9" t="n">
        <v>1.75</v>
      </c>
      <c r="I161" s="9" t="n">
        <v>-0.51</v>
      </c>
      <c r="J161" s="9"/>
      <c r="K161" s="9" t="n">
        <v>-6.6</v>
      </c>
      <c r="L161" s="58" t="n">
        <f aca="false">TRIMMEAN(B161:K161,2/COUNT(B161:K161))</f>
        <v>-1.03666666666667</v>
      </c>
    </row>
    <row r="162" customFormat="false" ht="15.75" hidden="false" customHeight="true" outlineLevel="0" collapsed="false">
      <c r="A162" s="59" t="s">
        <v>305</v>
      </c>
      <c r="B162" s="9"/>
      <c r="C162" s="9" t="n">
        <v>-2.98</v>
      </c>
      <c r="D162" s="9"/>
      <c r="E162" s="9"/>
      <c r="F162" s="9" t="n">
        <v>-1.84</v>
      </c>
      <c r="G162" s="9" t="n">
        <v>-0.51</v>
      </c>
      <c r="H162" s="9" t="n">
        <v>0.5</v>
      </c>
      <c r="I162" s="9" t="n">
        <v>-1.51</v>
      </c>
      <c r="J162" s="9" t="n">
        <v>0.95</v>
      </c>
      <c r="K162" s="9" t="n">
        <v>-0.82</v>
      </c>
      <c r="L162" s="58" t="n">
        <f aca="false">TRIMMEAN(B162:K162,2/COUNT(B162:K162))</f>
        <v>-0.836</v>
      </c>
    </row>
    <row r="163" customFormat="false" ht="15.75" hidden="false" customHeight="true" outlineLevel="0" collapsed="false">
      <c r="A163" s="57" t="s">
        <v>306</v>
      </c>
      <c r="B163" s="9" t="n">
        <v>1.85</v>
      </c>
      <c r="C163" s="9" t="n">
        <v>1.16</v>
      </c>
      <c r="D163" s="9" t="n">
        <v>-0.32</v>
      </c>
      <c r="E163" s="9" t="n">
        <v>1.68</v>
      </c>
      <c r="F163" s="9"/>
      <c r="G163" s="9" t="n">
        <v>-0.21</v>
      </c>
      <c r="H163" s="9" t="n">
        <v>1.16</v>
      </c>
      <c r="I163" s="9"/>
      <c r="J163" s="9"/>
      <c r="K163" s="9"/>
      <c r="L163" s="58" t="n">
        <f aca="false">TRIMMEAN(B163:K163,2/COUNT(B163:K163))</f>
        <v>0.9475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/>
      <c r="E164" s="9" t="n">
        <v>-1.5</v>
      </c>
      <c r="F164" s="9" t="n">
        <v>-1.16</v>
      </c>
      <c r="G164" s="9" t="n">
        <v>1.72</v>
      </c>
      <c r="H164" s="9"/>
      <c r="I164" s="9"/>
      <c r="J164" s="9"/>
      <c r="K164" s="9"/>
      <c r="L164" s="58" t="n">
        <f aca="false">TRIMMEAN(B164:K164,2/COUNT(B164:K164))</f>
        <v>-1.16</v>
      </c>
    </row>
    <row r="165" customFormat="false" ht="15.75" hidden="false" customHeight="true" outlineLevel="0" collapsed="false">
      <c r="A165" s="57" t="s">
        <v>308</v>
      </c>
      <c r="B165" s="9" t="n">
        <v>-0.98</v>
      </c>
      <c r="C165" s="9" t="n">
        <v>1.66</v>
      </c>
      <c r="D165" s="9" t="n">
        <v>1.11</v>
      </c>
      <c r="E165" s="9" t="n">
        <v>2.43</v>
      </c>
      <c r="F165" s="9"/>
      <c r="G165" s="9" t="n">
        <v>2.97</v>
      </c>
      <c r="H165" s="9" t="n">
        <v>1.16</v>
      </c>
      <c r="I165" s="9"/>
      <c r="J165" s="9"/>
      <c r="K165" s="9"/>
      <c r="L165" s="58" t="n">
        <f aca="false">TRIMMEAN(B165:K165,2/COUNT(B165:K165))</f>
        <v>1.59</v>
      </c>
    </row>
    <row r="166" customFormat="false" ht="15.75" hidden="false" customHeight="true" outlineLevel="0" collapsed="false">
      <c r="A166" s="59" t="s">
        <v>309</v>
      </c>
      <c r="B166" s="9"/>
      <c r="C166" s="9" t="n">
        <v>-4.98</v>
      </c>
      <c r="D166" s="9"/>
      <c r="E166" s="9"/>
      <c r="F166" s="9" t="n">
        <v>-0.3</v>
      </c>
      <c r="G166" s="9" t="n">
        <v>-1.94</v>
      </c>
      <c r="H166" s="9" t="n">
        <v>0.75</v>
      </c>
      <c r="I166" s="9" t="n">
        <v>-4.51</v>
      </c>
      <c r="J166" s="9" t="n">
        <v>-0.8</v>
      </c>
      <c r="K166" s="9" t="n">
        <v>-1.07</v>
      </c>
      <c r="L166" s="58" t="n">
        <f aca="false">TRIMMEAN(B166:K166,2/COUNT(B166:K166))</f>
        <v>-1.724</v>
      </c>
    </row>
    <row r="167" customFormat="false" ht="15.75" hidden="false" customHeight="true" outlineLevel="0" collapsed="false">
      <c r="A167" s="57" t="s">
        <v>310</v>
      </c>
      <c r="B167" s="9" t="n">
        <v>0.21</v>
      </c>
      <c r="C167" s="9"/>
      <c r="D167" s="9"/>
      <c r="E167" s="9" t="n">
        <v>-1</v>
      </c>
      <c r="F167" s="9" t="n">
        <v>-2.36</v>
      </c>
      <c r="G167" s="9" t="n">
        <v>-0.71</v>
      </c>
      <c r="H167" s="9"/>
      <c r="I167" s="9"/>
      <c r="J167" s="9"/>
      <c r="K167" s="9"/>
      <c r="L167" s="58" t="n">
        <f aca="false">TRIMMEAN(B167:K167,2/COUNT(B167:K167))</f>
        <v>-0.855</v>
      </c>
    </row>
    <row r="168" customFormat="false" ht="15.75" hidden="false" customHeight="true" outlineLevel="0" collapsed="false">
      <c r="A168" s="57" t="s">
        <v>311</v>
      </c>
      <c r="B168" s="9" t="n">
        <v>-1.35</v>
      </c>
      <c r="C168" s="9"/>
      <c r="D168" s="9"/>
      <c r="E168" s="9" t="n">
        <v>-1</v>
      </c>
      <c r="F168" s="9"/>
      <c r="G168" s="9" t="n">
        <v>-1.21</v>
      </c>
      <c r="H168" s="9"/>
      <c r="I168" s="9"/>
      <c r="J168" s="9"/>
      <c r="K168" s="9"/>
      <c r="L168" s="58" t="n">
        <f aca="false">TRIMMEAN(B168:K168,2/COUNT(B168:K168))</f>
        <v>-1.21</v>
      </c>
    </row>
    <row r="169" customFormat="false" ht="15.75" hidden="false" customHeight="true" outlineLevel="0" collapsed="false">
      <c r="A169" s="59" t="s">
        <v>312</v>
      </c>
      <c r="B169" s="9"/>
      <c r="C169" s="9" t="n">
        <v>-1.48</v>
      </c>
      <c r="D169" s="9"/>
      <c r="E169" s="9"/>
      <c r="F169" s="9" t="n">
        <v>-1.84</v>
      </c>
      <c r="G169" s="9" t="n">
        <v>1.24</v>
      </c>
      <c r="H169" s="9" t="n">
        <v>-0.5</v>
      </c>
      <c r="I169" s="9" t="n">
        <v>-1.51</v>
      </c>
      <c r="J169" s="9"/>
      <c r="K169" s="9"/>
      <c r="L169" s="58" t="n">
        <f aca="false">TRIMMEAN(B169:K169,2/COUNT(B169:K169))</f>
        <v>-1.16333333333333</v>
      </c>
    </row>
    <row r="170" customFormat="false" ht="15.75" hidden="false" customHeight="true" outlineLevel="0" collapsed="false">
      <c r="A170" s="59" t="s">
        <v>313</v>
      </c>
      <c r="B170" s="9" t="n">
        <v>-0.15</v>
      </c>
      <c r="C170" s="9"/>
      <c r="D170" s="9" t="n">
        <v>-0.64</v>
      </c>
      <c r="E170" s="9" t="n">
        <v>1.93</v>
      </c>
      <c r="F170" s="9"/>
      <c r="G170" s="9"/>
      <c r="H170" s="9" t="n">
        <v>1.66</v>
      </c>
      <c r="I170" s="9" t="n">
        <v>3.01</v>
      </c>
      <c r="J170" s="9" t="n">
        <v>2.45</v>
      </c>
      <c r="K170" s="9" t="n">
        <v>2.43</v>
      </c>
      <c r="L170" s="58" t="n">
        <f aca="false">TRIMMEAN(B170:K170,2/COUNT(B170:K170))</f>
        <v>1.664</v>
      </c>
    </row>
    <row r="171" customFormat="false" ht="15.75" hidden="false" customHeight="true" outlineLevel="0" collapsed="false">
      <c r="A171" s="59" t="s">
        <v>314</v>
      </c>
      <c r="B171" s="9" t="n">
        <v>0.85</v>
      </c>
      <c r="C171" s="9" t="n">
        <v>-0.59</v>
      </c>
      <c r="D171" s="9"/>
      <c r="E171" s="9" t="n">
        <v>1.93</v>
      </c>
      <c r="F171" s="9" t="n">
        <v>-1.84</v>
      </c>
      <c r="G171" s="9" t="n">
        <v>0.49</v>
      </c>
      <c r="H171" s="9"/>
      <c r="I171" s="9" t="n">
        <v>3.01</v>
      </c>
      <c r="J171" s="9" t="n">
        <v>-1.81</v>
      </c>
      <c r="K171" s="9" t="n">
        <v>0.93</v>
      </c>
      <c r="L171" s="58" t="n">
        <f aca="false">TRIMMEAN(B171:K171,2/COUNT(B171:K171))</f>
        <v>0.3</v>
      </c>
    </row>
    <row r="172" customFormat="false" ht="15.75" hidden="false" customHeight="true" outlineLevel="0" collapsed="false">
      <c r="A172" s="57" t="s">
        <v>315</v>
      </c>
      <c r="B172" s="9" t="n">
        <v>-0.48</v>
      </c>
      <c r="C172" s="9"/>
      <c r="D172" s="9" t="n">
        <v>-3.32</v>
      </c>
      <c r="E172" s="9" t="n">
        <v>1.18</v>
      </c>
      <c r="F172" s="9"/>
      <c r="G172" s="9" t="n">
        <v>0.29</v>
      </c>
      <c r="H172" s="9" t="n">
        <v>-0.11</v>
      </c>
      <c r="I172" s="9"/>
      <c r="J172" s="9" t="n">
        <v>0.2</v>
      </c>
      <c r="K172" s="9" t="n">
        <v>0.93</v>
      </c>
      <c r="L172" s="58" t="n">
        <f aca="false">TRIMMEAN(B172:K172,2/COUNT(B172:K172))</f>
        <v>0.166</v>
      </c>
    </row>
    <row r="173" customFormat="false" ht="15.75" hidden="false" customHeight="true" outlineLevel="0" collapsed="false">
      <c r="A173" s="57" t="s">
        <v>316</v>
      </c>
      <c r="B173" s="9"/>
      <c r="C173" s="9" t="n">
        <v>0.16</v>
      </c>
      <c r="D173" s="9" t="n">
        <v>1.36</v>
      </c>
      <c r="E173" s="9"/>
      <c r="F173" s="9" t="n">
        <v>-0.05</v>
      </c>
      <c r="G173" s="9" t="n">
        <v>-0.21</v>
      </c>
      <c r="H173" s="9" t="n">
        <v>2</v>
      </c>
      <c r="I173" s="9" t="n">
        <v>-0.01</v>
      </c>
      <c r="J173" s="9" t="n">
        <v>-2.81</v>
      </c>
      <c r="K173" s="9" t="n">
        <v>-1.1</v>
      </c>
      <c r="L173" s="58" t="n">
        <f aca="false">TRIMMEAN(B173:K173,2/COUNT(B173:K173))</f>
        <v>0.025</v>
      </c>
    </row>
    <row r="174" customFormat="false" ht="15.75" hidden="false" customHeight="true" outlineLevel="0" collapsed="false">
      <c r="A174" s="57" t="s">
        <v>317</v>
      </c>
      <c r="B174" s="9" t="n">
        <v>0.17</v>
      </c>
      <c r="C174" s="9"/>
      <c r="D174" s="9"/>
      <c r="E174" s="9" t="n">
        <v>0.45</v>
      </c>
      <c r="F174" s="9"/>
      <c r="G174" s="9" t="n">
        <v>0.97</v>
      </c>
      <c r="H174" s="9" t="n">
        <v>-0.11</v>
      </c>
      <c r="I174" s="9"/>
      <c r="J174" s="9"/>
      <c r="K174" s="9"/>
      <c r="L174" s="58" t="n">
        <f aca="false">TRIMMEAN(B174:K174,2/COUNT(B174:K174))</f>
        <v>0.31</v>
      </c>
    </row>
    <row r="175" customFormat="false" ht="15.75" hidden="false" customHeight="true" outlineLevel="0" collapsed="false">
      <c r="A175" s="57" t="s">
        <v>318</v>
      </c>
      <c r="B175" s="9" t="n">
        <v>2.6</v>
      </c>
      <c r="C175" s="9"/>
      <c r="D175" s="9" t="n">
        <v>1.36</v>
      </c>
      <c r="E175" s="9"/>
      <c r="F175" s="9"/>
      <c r="G175" s="9" t="n">
        <v>2.72</v>
      </c>
      <c r="H175" s="9" t="n">
        <v>0.91</v>
      </c>
      <c r="I175" s="9"/>
      <c r="J175" s="9"/>
      <c r="K175" s="9"/>
      <c r="L175" s="58" t="n">
        <f aca="false">TRIMMEAN(B175:K175,2/COUNT(B175:K175))</f>
        <v>1.98</v>
      </c>
    </row>
    <row r="176" customFormat="false" ht="15.75" hidden="false" customHeight="true" outlineLevel="0" collapsed="false">
      <c r="A176" s="59" t="s">
        <v>319</v>
      </c>
      <c r="B176" s="9" t="n">
        <v>2.85</v>
      </c>
      <c r="C176" s="9"/>
      <c r="D176" s="9" t="n">
        <v>1.36</v>
      </c>
      <c r="E176" s="9" t="n">
        <v>-0.07</v>
      </c>
      <c r="F176" s="9"/>
      <c r="G176" s="9"/>
      <c r="H176" s="9" t="n">
        <v>-0.61</v>
      </c>
      <c r="I176" s="9" t="n">
        <v>0.76</v>
      </c>
      <c r="J176" s="9"/>
      <c r="K176" s="9" t="n">
        <v>1.18</v>
      </c>
      <c r="L176" s="58" t="n">
        <f aca="false">TRIMMEAN(B176:K176,2/COUNT(B176:K176))</f>
        <v>0.8075</v>
      </c>
    </row>
    <row r="177" customFormat="false" ht="15.75" hidden="false" customHeight="true" outlineLevel="0" collapsed="false">
      <c r="A177" s="57" t="s">
        <v>320</v>
      </c>
      <c r="B177" s="9" t="n">
        <v>-0.4</v>
      </c>
      <c r="C177" s="9" t="n">
        <v>-1.98</v>
      </c>
      <c r="D177" s="9"/>
      <c r="E177" s="9" t="n">
        <v>0.68</v>
      </c>
      <c r="F177" s="9" t="n">
        <v>2.2</v>
      </c>
      <c r="G177" s="9" t="n">
        <v>0.97</v>
      </c>
      <c r="H177" s="9"/>
      <c r="I177" s="9" t="n">
        <v>-0.01</v>
      </c>
      <c r="J177" s="9" t="n">
        <v>1.45</v>
      </c>
      <c r="K177" s="9" t="n">
        <v>-0.1</v>
      </c>
      <c r="L177" s="58" t="n">
        <f aca="false">TRIMMEAN(B177:K177,2/COUNT(B177:K177))</f>
        <v>0.431666666666667</v>
      </c>
    </row>
    <row r="178" customFormat="false" ht="15.75" hidden="false" customHeight="true" outlineLevel="0" collapsed="false">
      <c r="A178" s="57" t="s">
        <v>321</v>
      </c>
      <c r="B178" s="9" t="n">
        <v>-2.83</v>
      </c>
      <c r="C178" s="9"/>
      <c r="D178" s="9"/>
      <c r="E178" s="9"/>
      <c r="F178" s="9" t="n">
        <v>-1.36</v>
      </c>
      <c r="G178" s="9" t="n">
        <v>-0.21</v>
      </c>
      <c r="H178" s="9"/>
      <c r="I178" s="9"/>
      <c r="J178" s="9"/>
      <c r="K178" s="9"/>
      <c r="L178" s="58" t="n">
        <f aca="false">TRIMMEAN(B178:K178,2/COUNT(B178:K178))</f>
        <v>-1.36</v>
      </c>
    </row>
    <row r="179" customFormat="false" ht="15.75" hidden="false" customHeight="true" outlineLevel="0" collapsed="false">
      <c r="A179" s="57" t="s">
        <v>322</v>
      </c>
      <c r="B179" s="9" t="n">
        <v>0.46</v>
      </c>
      <c r="C179" s="9"/>
      <c r="D179" s="9"/>
      <c r="E179" s="9" t="n">
        <v>0.2</v>
      </c>
      <c r="F179" s="9" t="n">
        <v>-0.66</v>
      </c>
      <c r="G179" s="9" t="n">
        <v>-0.28</v>
      </c>
      <c r="H179" s="9"/>
      <c r="I179" s="9"/>
      <c r="J179" s="9"/>
      <c r="K179" s="9"/>
      <c r="L179" s="58" t="n">
        <f aca="false">TRIMMEAN(B179:K179,2/COUNT(B179:K179))</f>
        <v>-0.04</v>
      </c>
    </row>
    <row r="180" customFormat="false" ht="15.75" hidden="false" customHeight="true" outlineLevel="0" collapsed="false">
      <c r="A180" s="59" t="s">
        <v>323</v>
      </c>
      <c r="B180" s="9"/>
      <c r="C180" s="9" t="n">
        <v>1.16</v>
      </c>
      <c r="D180" s="9" t="n">
        <v>2.86</v>
      </c>
      <c r="E180" s="9" t="n">
        <v>1.68</v>
      </c>
      <c r="F180" s="9" t="n">
        <v>-0.05</v>
      </c>
      <c r="G180" s="9"/>
      <c r="H180" s="9" t="n">
        <v>-0.61</v>
      </c>
      <c r="I180" s="9" t="n">
        <v>0.26</v>
      </c>
      <c r="J180" s="9"/>
      <c r="K180" s="9" t="n">
        <v>0.68</v>
      </c>
      <c r="L180" s="58" t="n">
        <f aca="false">TRIMMEAN(B180:K180,2/COUNT(B180:K180))</f>
        <v>0.746</v>
      </c>
    </row>
    <row r="181" customFormat="false" ht="15.75" hidden="false" customHeight="true" outlineLevel="0" collapsed="false">
      <c r="A181" s="57" t="s">
        <v>324</v>
      </c>
      <c r="B181" s="9" t="n">
        <v>0.21</v>
      </c>
      <c r="C181" s="9"/>
      <c r="D181" s="9"/>
      <c r="E181" s="9" t="n">
        <v>-3.5</v>
      </c>
      <c r="F181" s="9"/>
      <c r="G181" s="9" t="n">
        <v>1.72</v>
      </c>
      <c r="H181" s="9" t="n">
        <v>0.66</v>
      </c>
      <c r="I181" s="9"/>
      <c r="J181" s="9"/>
      <c r="K181" s="9"/>
      <c r="L181" s="58" t="n">
        <f aca="false">TRIMMEAN(B181:K181,2/COUNT(B181:K181))</f>
        <v>0.435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-2.82</v>
      </c>
      <c r="E182" s="9"/>
      <c r="F182" s="9"/>
      <c r="G182" s="9"/>
      <c r="H182" s="9"/>
      <c r="I182" s="9"/>
      <c r="J182" s="9"/>
      <c r="K182" s="9"/>
      <c r="L182" s="58" t="e">
        <f aca="false">TRIMMEAN(B182:K182,2/COUNT(B182:K182))</f>
        <v>#VALUE!</v>
      </c>
    </row>
    <row r="183" customFormat="false" ht="15.75" hidden="false" customHeight="true" outlineLevel="0" collapsed="false">
      <c r="A183" s="57" t="s">
        <v>326</v>
      </c>
      <c r="B183" s="9"/>
      <c r="C183" s="9" t="n">
        <v>0.66</v>
      </c>
      <c r="D183" s="9"/>
      <c r="E183" s="9"/>
      <c r="F183" s="9" t="n">
        <v>-1.34</v>
      </c>
      <c r="G183" s="9" t="n">
        <v>-3.71</v>
      </c>
      <c r="H183" s="9"/>
      <c r="I183" s="9" t="n">
        <v>-0.51</v>
      </c>
      <c r="J183" s="9"/>
      <c r="K183" s="9"/>
      <c r="L183" s="58" t="n">
        <f aca="false">TRIMMEAN(B183:K183,2/COUNT(B183:K183))</f>
        <v>-0.925</v>
      </c>
    </row>
    <row r="184" customFormat="false" ht="15.75" hidden="false" customHeight="true" outlineLevel="0" collapsed="false">
      <c r="A184" s="59" t="s">
        <v>327</v>
      </c>
      <c r="B184" s="9"/>
      <c r="C184" s="9" t="n">
        <v>1.16</v>
      </c>
      <c r="D184" s="9" t="n">
        <v>2.11</v>
      </c>
      <c r="E184" s="9" t="n">
        <v>3.43</v>
      </c>
      <c r="F184" s="9"/>
      <c r="G184" s="9"/>
      <c r="H184" s="9" t="n">
        <v>1.41</v>
      </c>
      <c r="I184" s="9"/>
      <c r="J184" s="9"/>
      <c r="K184" s="9"/>
      <c r="L184" s="58" t="n">
        <f aca="false">TRIMMEAN(B184:K184,2/COUNT(B184:K184))</f>
        <v>1.76</v>
      </c>
    </row>
    <row r="185" customFormat="false" ht="15.75" hidden="false" customHeight="true" outlineLevel="0" collapsed="false">
      <c r="A185" s="59" t="s">
        <v>328</v>
      </c>
      <c r="B185" s="9"/>
      <c r="C185" s="9" t="n">
        <v>1.41</v>
      </c>
      <c r="D185" s="9" t="n">
        <v>-0.64</v>
      </c>
      <c r="E185" s="9"/>
      <c r="F185" s="9" t="n">
        <v>0.95</v>
      </c>
      <c r="G185" s="9" t="n">
        <v>1.74</v>
      </c>
      <c r="H185" s="9"/>
      <c r="I185" s="9" t="n">
        <v>-0.01</v>
      </c>
      <c r="J185" s="9" t="n">
        <v>-0.8</v>
      </c>
      <c r="K185" s="9" t="n">
        <v>-1.6</v>
      </c>
      <c r="L185" s="58" t="n">
        <f aca="false">TRIMMEAN(B185:K185,2/COUNT(B185:K185))</f>
        <v>0.182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58" t="e">
        <f aca="false">TRIMMEAN(B186:K186,2/COUNT(B186:K186))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-0.85</v>
      </c>
      <c r="C187" s="9"/>
      <c r="D187" s="9"/>
      <c r="E187" s="9" t="n">
        <v>-2</v>
      </c>
      <c r="F187" s="9" t="n">
        <v>-1.61</v>
      </c>
      <c r="G187" s="9" t="n">
        <v>-1.21</v>
      </c>
      <c r="H187" s="9"/>
      <c r="I187" s="9"/>
      <c r="J187" s="9"/>
      <c r="K187" s="9"/>
      <c r="L187" s="58" t="n">
        <f aca="false">TRIMMEAN(B187:K187,2/COUNT(B187:K187))</f>
        <v>-1.41</v>
      </c>
    </row>
    <row r="188" customFormat="false" ht="15.75" hidden="false" customHeight="true" outlineLevel="0" collapsed="false">
      <c r="A188" s="57" t="s">
        <v>331</v>
      </c>
      <c r="B188" s="9"/>
      <c r="C188" s="9" t="n">
        <v>1.41</v>
      </c>
      <c r="D188" s="9"/>
      <c r="E188" s="9"/>
      <c r="F188" s="9" t="n">
        <v>0.2</v>
      </c>
      <c r="G188" s="9" t="n">
        <v>2.97</v>
      </c>
      <c r="H188" s="9" t="n">
        <v>-0.61</v>
      </c>
      <c r="I188" s="9" t="n">
        <v>-0.01</v>
      </c>
      <c r="J188" s="9" t="n">
        <v>1.7</v>
      </c>
      <c r="K188" s="9"/>
      <c r="L188" s="58" t="n">
        <f aca="false">TRIMMEAN(B188:K188,2/COUNT(B188:K188))</f>
        <v>0.825</v>
      </c>
    </row>
    <row r="189" customFormat="false" ht="15.75" hidden="false" customHeight="true" outlineLevel="0" collapsed="false">
      <c r="A189" s="57" t="s">
        <v>332</v>
      </c>
      <c r="B189" s="9"/>
      <c r="C189" s="9" t="n">
        <v>0.91</v>
      </c>
      <c r="D189" s="9"/>
      <c r="E189" s="9"/>
      <c r="F189" s="9" t="n">
        <v>-1.11</v>
      </c>
      <c r="G189" s="9" t="n">
        <v>0.72</v>
      </c>
      <c r="H189" s="9" t="n">
        <v>1.91</v>
      </c>
      <c r="I189" s="9" t="n">
        <v>1.51</v>
      </c>
      <c r="J189" s="9" t="n">
        <v>-0.81</v>
      </c>
      <c r="K189" s="9" t="n">
        <v>-1.6</v>
      </c>
      <c r="L189" s="58" t="n">
        <f aca="false">TRIMMEAN(B189:K189,2/COUNT(B189:K189))</f>
        <v>0.244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58" t="e">
        <f aca="false">TRIMMEAN(B190:K190,2/COUNT(B190:K190))</f>
        <v>#DIV/0!</v>
      </c>
    </row>
    <row r="191" customFormat="false" ht="15.75" hidden="false" customHeight="true" outlineLevel="0" collapsed="false">
      <c r="A191" s="59" t="s">
        <v>334</v>
      </c>
      <c r="B191" s="9" t="n">
        <v>-0.04</v>
      </c>
      <c r="C191" s="9"/>
      <c r="D191" s="9" t="n">
        <v>2.61</v>
      </c>
      <c r="E191" s="9"/>
      <c r="F191" s="9"/>
      <c r="G191" s="9"/>
      <c r="H191" s="9" t="n">
        <v>-1.11</v>
      </c>
      <c r="I191" s="9"/>
      <c r="J191" s="9"/>
      <c r="K191" s="9"/>
      <c r="L191" s="58" t="n">
        <f aca="false">TRIMMEAN(B191:K191,2/COUNT(B191:K191))</f>
        <v>-0.04</v>
      </c>
    </row>
    <row r="192" customFormat="false" ht="15.75" hidden="false" customHeight="true" outlineLevel="0" collapsed="false">
      <c r="A192" s="57" t="s">
        <v>335</v>
      </c>
      <c r="B192" s="9" t="n">
        <v>3.1</v>
      </c>
      <c r="C192" s="9" t="n">
        <v>-3.48</v>
      </c>
      <c r="D192" s="9" t="n">
        <v>-0.32</v>
      </c>
      <c r="E192" s="9" t="n">
        <v>-0.07</v>
      </c>
      <c r="F192" s="9"/>
      <c r="G192" s="9" t="n">
        <v>-2.21</v>
      </c>
      <c r="H192" s="9" t="n">
        <v>1.41</v>
      </c>
      <c r="I192" s="9"/>
      <c r="J192" s="9"/>
      <c r="K192" s="9" t="n">
        <v>2.43</v>
      </c>
      <c r="L192" s="58" t="n">
        <f aca="false">TRIMMEAN(B192:K192,2/COUNT(B192:K192))</f>
        <v>0.248</v>
      </c>
    </row>
    <row r="193" customFormat="false" ht="15.75" hidden="false" customHeight="true" outlineLevel="0" collapsed="false">
      <c r="A193" s="57" t="s">
        <v>336</v>
      </c>
      <c r="B193" s="9" t="n">
        <v>0.71</v>
      </c>
      <c r="C193" s="9"/>
      <c r="D193" s="9" t="n">
        <v>0.86</v>
      </c>
      <c r="E193" s="9" t="n">
        <v>-0.3</v>
      </c>
      <c r="F193" s="9" t="n">
        <v>0.14</v>
      </c>
      <c r="G193" s="9" t="n">
        <v>-0.21</v>
      </c>
      <c r="H193" s="9" t="n">
        <v>-0.5</v>
      </c>
      <c r="I193" s="9"/>
      <c r="J193" s="9"/>
      <c r="K193" s="9"/>
      <c r="L193" s="58" t="n">
        <f aca="false">TRIMMEAN(B193:K193,2/COUNT(B193:K193))</f>
        <v>0.085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58" t="e">
        <f aca="false">TRIMMEAN(B194:K194,2/COUNT(B194:K194))</f>
        <v>#DIV/0!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 t="n">
        <v>-0.11</v>
      </c>
      <c r="G195" s="9" t="n">
        <v>0.72</v>
      </c>
      <c r="H195" s="9" t="n">
        <v>0.41</v>
      </c>
      <c r="I195" s="9"/>
      <c r="J195" s="9"/>
      <c r="K195" s="9"/>
      <c r="L195" s="58" t="n">
        <f aca="false">TRIMMEAN(B195:K195,2/COUNT(B195:K195))</f>
        <v>0.41</v>
      </c>
    </row>
    <row r="196" customFormat="false" ht="15.75" hidden="false" customHeight="true" outlineLevel="0" collapsed="false">
      <c r="A196" s="57" t="s">
        <v>339</v>
      </c>
      <c r="B196" s="9" t="n">
        <v>-0.48</v>
      </c>
      <c r="C196" s="9"/>
      <c r="D196" s="9" t="n">
        <v>0.18</v>
      </c>
      <c r="E196" s="9" t="n">
        <v>1.18</v>
      </c>
      <c r="F196" s="9" t="n">
        <v>-2.34</v>
      </c>
      <c r="G196" s="9" t="n">
        <v>-0.53</v>
      </c>
      <c r="H196" s="9" t="n">
        <v>-0.11</v>
      </c>
      <c r="I196" s="9"/>
      <c r="J196" s="9" t="n">
        <v>-3.81</v>
      </c>
      <c r="K196" s="9" t="n">
        <v>2.43</v>
      </c>
      <c r="L196" s="58" t="n">
        <f aca="false">TRIMMEAN(B196:K196,2/COUNT(B196:K196))</f>
        <v>-0.35</v>
      </c>
    </row>
    <row r="197" customFormat="false" ht="15.75" hidden="false" customHeight="true" outlineLevel="0" collapsed="false">
      <c r="A197" s="59" t="s">
        <v>340</v>
      </c>
      <c r="B197" s="9"/>
      <c r="C197" s="9" t="n">
        <v>-2.98</v>
      </c>
      <c r="D197" s="9"/>
      <c r="E197" s="9"/>
      <c r="F197" s="9" t="n">
        <v>0.95</v>
      </c>
      <c r="G197" s="9" t="n">
        <v>-0.26</v>
      </c>
      <c r="H197" s="9" t="n">
        <v>-0.5</v>
      </c>
      <c r="I197" s="9" t="n">
        <v>0.51</v>
      </c>
      <c r="J197" s="9" t="n">
        <v>-3.31</v>
      </c>
      <c r="K197" s="9" t="n">
        <v>-0.32</v>
      </c>
      <c r="L197" s="58" t="n">
        <f aca="false">TRIMMEAN(B197:K197,2/COUNT(B197:K197))</f>
        <v>-0.71</v>
      </c>
    </row>
    <row r="198" customFormat="false" ht="15.75" hidden="false" customHeight="true" outlineLevel="0" collapsed="false">
      <c r="A198" s="57" t="s">
        <v>341</v>
      </c>
      <c r="B198" s="9"/>
      <c r="C198" s="9" t="n">
        <v>-0.98</v>
      </c>
      <c r="D198" s="9"/>
      <c r="E198" s="9"/>
      <c r="F198" s="9" t="n">
        <v>-3.84</v>
      </c>
      <c r="G198" s="9" t="n">
        <v>-0.21</v>
      </c>
      <c r="H198" s="9"/>
      <c r="I198" s="9" t="n">
        <v>-2.01</v>
      </c>
      <c r="J198" s="9" t="n">
        <v>0.95</v>
      </c>
      <c r="K198" s="9" t="n">
        <v>-0.07</v>
      </c>
      <c r="L198" s="58" t="n">
        <f aca="false">TRIMMEAN(B198:K198,2/COUNT(B198:K198))</f>
        <v>-0.8175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 t="n">
        <v>-0.82</v>
      </c>
      <c r="E199" s="9"/>
      <c r="F199" s="9"/>
      <c r="G199" s="9"/>
      <c r="H199" s="9"/>
      <c r="I199" s="9"/>
      <c r="J199" s="9"/>
      <c r="K199" s="9"/>
      <c r="L199" s="58" t="e">
        <f aca="false">TRIMMEAN(B199:K199,2/COUNT(B199:K199))</f>
        <v>#VALUE!</v>
      </c>
    </row>
    <row r="200" customFormat="false" ht="15.75" hidden="false" customHeight="true" outlineLevel="0" collapsed="false">
      <c r="A200" s="59" t="s">
        <v>343</v>
      </c>
      <c r="B200" s="9" t="n">
        <v>0.21</v>
      </c>
      <c r="C200" s="9"/>
      <c r="D200" s="9" t="n">
        <v>-0.32</v>
      </c>
      <c r="E200" s="9"/>
      <c r="F200" s="9"/>
      <c r="G200" s="9"/>
      <c r="H200" s="9"/>
      <c r="I200" s="9"/>
      <c r="J200" s="9"/>
      <c r="K200" s="9"/>
      <c r="L200" s="58" t="e">
        <f aca="false">TRIMMEAN(B200:K200,2/COUNT(B200:K200))</f>
        <v>#VALUE!</v>
      </c>
    </row>
    <row r="201" customFormat="false" ht="15.75" hidden="false" customHeight="true" outlineLevel="0" collapsed="false">
      <c r="A201" s="57" t="s">
        <v>344</v>
      </c>
      <c r="B201" s="9" t="n">
        <v>-1.85</v>
      </c>
      <c r="C201" s="9"/>
      <c r="D201" s="9"/>
      <c r="E201" s="9" t="n">
        <v>-2.5</v>
      </c>
      <c r="F201" s="9" t="n">
        <v>-2.66</v>
      </c>
      <c r="G201" s="9" t="n">
        <v>-3.21</v>
      </c>
      <c r="H201" s="9"/>
      <c r="I201" s="9"/>
      <c r="J201" s="9"/>
      <c r="K201" s="9"/>
      <c r="L201" s="58" t="n">
        <f aca="false">TRIMMEAN(B201:K201,2/COUNT(B201:K201))</f>
        <v>-2.58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/>
      <c r="H202" s="9" t="n">
        <v>-4.17</v>
      </c>
      <c r="I202" s="9"/>
      <c r="J202" s="9"/>
      <c r="K202" s="9"/>
      <c r="L202" s="58" t="e">
        <f aca="false">TRIMMEAN(B202:K202,2/COUNT(B202:K202))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-1.98</v>
      </c>
      <c r="D203" s="9" t="n">
        <v>2.36</v>
      </c>
      <c r="E203" s="9"/>
      <c r="F203" s="9"/>
      <c r="G203" s="9" t="n">
        <v>-3.21</v>
      </c>
      <c r="H203" s="9" t="n">
        <v>1.16</v>
      </c>
      <c r="I203" s="9" t="n">
        <v>1.26</v>
      </c>
      <c r="J203" s="9" t="n">
        <v>-0.31</v>
      </c>
      <c r="K203" s="9" t="n">
        <v>0.68</v>
      </c>
      <c r="L203" s="58" t="n">
        <f aca="false">TRIMMEAN(B203:K203,2/COUNT(B203:K203))</f>
        <v>0.162</v>
      </c>
    </row>
    <row r="204" customFormat="false" ht="15.75" hidden="false" customHeight="true" outlineLevel="0" collapsed="false">
      <c r="A204" s="59" t="s">
        <v>347</v>
      </c>
      <c r="B204" s="9"/>
      <c r="C204" s="9" t="n">
        <v>-2.61</v>
      </c>
      <c r="D204" s="9"/>
      <c r="E204" s="9"/>
      <c r="F204" s="9" t="n">
        <v>-5.34</v>
      </c>
      <c r="G204" s="9" t="n">
        <v>-0.44</v>
      </c>
      <c r="H204" s="9" t="n">
        <v>-1.5</v>
      </c>
      <c r="I204" s="9" t="n">
        <v>-2.51</v>
      </c>
      <c r="J204" s="9"/>
      <c r="K204" s="9"/>
      <c r="L204" s="58" t="n">
        <f aca="false">TRIMMEAN(B204:K204,2/COUNT(B204:K204))</f>
        <v>-2.20666666666667</v>
      </c>
    </row>
    <row r="205" customFormat="false" ht="15.75" hidden="false" customHeight="true" outlineLevel="0" collapsed="false">
      <c r="A205" s="57" t="s">
        <v>348</v>
      </c>
      <c r="B205" s="9"/>
      <c r="C205" s="9" t="n">
        <v>1.41</v>
      </c>
      <c r="D205" s="9"/>
      <c r="E205" s="9"/>
      <c r="F205" s="9" t="n">
        <v>-1.84</v>
      </c>
      <c r="G205" s="9" t="n">
        <v>-3.21</v>
      </c>
      <c r="H205" s="9"/>
      <c r="I205" s="9" t="n">
        <v>-0.51</v>
      </c>
      <c r="J205" s="9" t="n">
        <v>-0.81</v>
      </c>
      <c r="K205" s="9" t="n">
        <v>-1.1</v>
      </c>
      <c r="L205" s="58" t="n">
        <f aca="false">TRIMMEAN(B205:K205,2/COUNT(B205:K205))</f>
        <v>-1.065</v>
      </c>
    </row>
    <row r="206" customFormat="false" ht="15.75" hidden="false" customHeight="true" outlineLevel="0" collapsed="false">
      <c r="A206" s="59" t="s">
        <v>349</v>
      </c>
      <c r="B206" s="9" t="n">
        <v>-0.15</v>
      </c>
      <c r="C206" s="9" t="n">
        <v>1.16</v>
      </c>
      <c r="D206" s="9"/>
      <c r="E206" s="9" t="n">
        <v>-0.32</v>
      </c>
      <c r="F206" s="9" t="n">
        <v>-2.34</v>
      </c>
      <c r="G206" s="9" t="n">
        <v>2.74</v>
      </c>
      <c r="H206" s="9" t="n">
        <v>-1.67</v>
      </c>
      <c r="I206" s="9" t="n">
        <v>-2.01</v>
      </c>
      <c r="J206" s="9" t="n">
        <v>-1.81</v>
      </c>
      <c r="K206" s="9" t="n">
        <v>0.68</v>
      </c>
      <c r="L206" s="58" t="n">
        <f aca="false">TRIMMEAN(B206:K206,2/COUNT(B206:K206))</f>
        <v>-0.588571428571429</v>
      </c>
    </row>
    <row r="207" customFormat="false" ht="15.75" hidden="false" customHeight="true" outlineLevel="0" collapsed="false">
      <c r="A207" s="57" t="s">
        <v>350</v>
      </c>
      <c r="B207" s="9" t="n">
        <v>0</v>
      </c>
      <c r="C207" s="9"/>
      <c r="D207" s="9"/>
      <c r="E207" s="9"/>
      <c r="F207" s="9" t="n">
        <v>1.14</v>
      </c>
      <c r="G207" s="9" t="n">
        <v>0.29</v>
      </c>
      <c r="H207" s="9" t="n">
        <v>1.41</v>
      </c>
      <c r="I207" s="9"/>
      <c r="J207" s="9" t="n">
        <v>0.45</v>
      </c>
      <c r="K207" s="9" t="n">
        <v>0.68</v>
      </c>
      <c r="L207" s="58" t="n">
        <f aca="false">TRIMMEAN(B207:K207,2/COUNT(B207:K207))</f>
        <v>0.64</v>
      </c>
    </row>
    <row r="208" customFormat="false" ht="15.75" hidden="false" customHeight="true" outlineLevel="0" collapsed="false">
      <c r="A208" s="57" t="s">
        <v>351</v>
      </c>
      <c r="B208" s="9" t="n">
        <v>0.67</v>
      </c>
      <c r="C208" s="9"/>
      <c r="D208" s="9"/>
      <c r="E208" s="9"/>
      <c r="F208" s="9" t="n">
        <v>1.14</v>
      </c>
      <c r="G208" s="9" t="n">
        <v>2.47</v>
      </c>
      <c r="H208" s="9" t="n">
        <v>1.16</v>
      </c>
      <c r="I208" s="9"/>
      <c r="J208" s="9"/>
      <c r="K208" s="9"/>
      <c r="L208" s="58" t="n">
        <f aca="false">TRIMMEAN(B208:K208,2/COUNT(B208:K208))</f>
        <v>1.15</v>
      </c>
    </row>
    <row r="209" customFormat="false" ht="15.75" hidden="false" customHeight="true" outlineLevel="0" collapsed="false">
      <c r="A209" s="59" t="s">
        <v>352</v>
      </c>
      <c r="B209" s="9"/>
      <c r="C209" s="9" t="n">
        <v>-1.09</v>
      </c>
      <c r="D209" s="9"/>
      <c r="E209" s="9"/>
      <c r="F209" s="9" t="n">
        <v>-1.34</v>
      </c>
      <c r="G209" s="9" t="n">
        <v>0.24</v>
      </c>
      <c r="H209" s="9" t="n">
        <v>1.25</v>
      </c>
      <c r="I209" s="9" t="n">
        <v>-2.01</v>
      </c>
      <c r="J209" s="9"/>
      <c r="K209" s="9"/>
      <c r="L209" s="58" t="n">
        <f aca="false">TRIMMEAN(B209:K209,2/COUNT(B209:K209))</f>
        <v>-0.73</v>
      </c>
    </row>
    <row r="210" customFormat="false" ht="15.75" hidden="false" customHeight="true" outlineLevel="0" collapsed="false">
      <c r="A210" s="59" t="s">
        <v>353</v>
      </c>
      <c r="B210" s="9"/>
      <c r="C210" s="9" t="n">
        <v>1.66</v>
      </c>
      <c r="D210" s="9" t="n">
        <v>-1.82</v>
      </c>
      <c r="E210" s="9"/>
      <c r="F210" s="9" t="n">
        <v>1.45</v>
      </c>
      <c r="G210" s="9" t="n">
        <v>1.49</v>
      </c>
      <c r="H210" s="9"/>
      <c r="I210" s="9" t="n">
        <v>3.01</v>
      </c>
      <c r="J210" s="9" t="n">
        <v>-1.31</v>
      </c>
      <c r="K210" s="9" t="n">
        <v>1.43</v>
      </c>
      <c r="L210" s="58" t="n">
        <f aca="false">TRIMMEAN(B210:K210,2/COUNT(B210:K210))</f>
        <v>0.944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 t="n">
        <v>-0.44</v>
      </c>
      <c r="H211" s="9"/>
      <c r="I211" s="9"/>
      <c r="J211" s="9"/>
      <c r="K211" s="9"/>
      <c r="L211" s="58" t="e">
        <f aca="false">TRIMMEAN(B211:K211,2/COUNT(B211:K211))</f>
        <v>#VALUE!</v>
      </c>
    </row>
    <row r="212" customFormat="false" ht="15.75" hidden="false" customHeight="true" outlineLevel="0" collapsed="false">
      <c r="A212" s="59" t="s">
        <v>355</v>
      </c>
      <c r="B212" s="9" t="n">
        <v>4.6</v>
      </c>
      <c r="C212" s="9"/>
      <c r="D212" s="9" t="n">
        <v>2.86</v>
      </c>
      <c r="E212" s="9" t="n">
        <v>-1.82</v>
      </c>
      <c r="F212" s="9" t="n">
        <v>-0.05</v>
      </c>
      <c r="G212" s="9"/>
      <c r="H212" s="9" t="n">
        <v>-0.11</v>
      </c>
      <c r="I212" s="9"/>
      <c r="J212" s="9"/>
      <c r="K212" s="9" t="n">
        <v>-0.6</v>
      </c>
      <c r="L212" s="58" t="n">
        <f aca="false">TRIMMEAN(B212:K212,2/COUNT(B212:K212))</f>
        <v>0.525</v>
      </c>
    </row>
    <row r="213" customFormat="false" ht="15.75" hidden="false" customHeight="true" outlineLevel="0" collapsed="false">
      <c r="A213" s="57" t="s">
        <v>356</v>
      </c>
      <c r="B213" s="9"/>
      <c r="C213" s="9" t="n">
        <v>2.16</v>
      </c>
      <c r="D213" s="9"/>
      <c r="E213" s="9"/>
      <c r="F213" s="9" t="n">
        <v>-1.84</v>
      </c>
      <c r="G213" s="9" t="n">
        <v>-0.21</v>
      </c>
      <c r="H213" s="9" t="n">
        <v>0.16</v>
      </c>
      <c r="I213" s="9" t="n">
        <v>-1.01</v>
      </c>
      <c r="J213" s="9" t="n">
        <v>-2.31</v>
      </c>
      <c r="K213" s="9" t="n">
        <v>-5.1</v>
      </c>
      <c r="L213" s="58" t="n">
        <f aca="false">TRIMMEAN(B213:K213,2/COUNT(B213:K213))</f>
        <v>-1.042</v>
      </c>
    </row>
    <row r="214" customFormat="false" ht="15.75" hidden="false" customHeight="true" outlineLevel="0" collapsed="false">
      <c r="A214" s="59" t="s">
        <v>357</v>
      </c>
      <c r="B214" s="9"/>
      <c r="C214" s="9" t="n">
        <v>-0.48</v>
      </c>
      <c r="D214" s="9"/>
      <c r="E214" s="9"/>
      <c r="F214" s="9" t="n">
        <v>-7.62</v>
      </c>
      <c r="G214" s="9"/>
      <c r="H214" s="9" t="n">
        <v>2</v>
      </c>
      <c r="I214" s="9" t="n">
        <v>2.26</v>
      </c>
      <c r="J214" s="9" t="n">
        <v>-2.81</v>
      </c>
      <c r="K214" s="9" t="n">
        <v>-2.1</v>
      </c>
      <c r="L214" s="58" t="n">
        <f aca="false">TRIMMEAN(B214:K214,2/COUNT(B214:K214))</f>
        <v>-0.8475</v>
      </c>
    </row>
    <row r="215" customFormat="false" ht="15.75" hidden="false" customHeight="true" outlineLevel="0" collapsed="false">
      <c r="A215" s="57" t="s">
        <v>358</v>
      </c>
      <c r="B215" s="9" t="n">
        <v>-4.35</v>
      </c>
      <c r="C215" s="9"/>
      <c r="D215" s="9"/>
      <c r="E215" s="9" t="n">
        <v>-2.05</v>
      </c>
      <c r="F215" s="9" t="n">
        <v>-2.16</v>
      </c>
      <c r="G215" s="9" t="n">
        <v>-3.71</v>
      </c>
      <c r="H215" s="9"/>
      <c r="I215" s="9"/>
      <c r="J215" s="9"/>
      <c r="K215" s="9"/>
      <c r="L215" s="58" t="n">
        <f aca="false">TRIMMEAN(B215:K215,2/COUNT(B215:K215))</f>
        <v>-2.935</v>
      </c>
    </row>
    <row r="216" customFormat="false" ht="15.75" hidden="false" customHeight="true" outlineLevel="0" collapsed="false">
      <c r="A216" s="57" t="s">
        <v>359</v>
      </c>
      <c r="B216" s="9" t="n">
        <v>1.92</v>
      </c>
      <c r="C216" s="9"/>
      <c r="D216" s="9" t="n">
        <v>-1.82</v>
      </c>
      <c r="E216" s="9" t="n">
        <v>-0.55</v>
      </c>
      <c r="F216" s="9"/>
      <c r="G216" s="9" t="n">
        <v>0.29</v>
      </c>
      <c r="H216" s="9" t="n">
        <v>-4.61</v>
      </c>
      <c r="I216" s="9"/>
      <c r="J216" s="9"/>
      <c r="K216" s="9"/>
      <c r="L216" s="58" t="n">
        <f aca="false">TRIMMEAN(B216:K216,2/COUNT(B216:K216))</f>
        <v>-0.693333333333333</v>
      </c>
    </row>
    <row r="217" customFormat="false" ht="15.75" hidden="false" customHeight="true" outlineLevel="0" collapsed="false">
      <c r="A217" s="57" t="s">
        <v>360</v>
      </c>
      <c r="B217" s="9"/>
      <c r="C217" s="9" t="n">
        <v>-1.98</v>
      </c>
      <c r="D217" s="9" t="n">
        <v>-0.64</v>
      </c>
      <c r="E217" s="9"/>
      <c r="F217" s="9" t="n">
        <v>-0.05</v>
      </c>
      <c r="G217" s="9" t="n">
        <v>-0.03</v>
      </c>
      <c r="H217" s="9"/>
      <c r="I217" s="9" t="n">
        <v>-1.51</v>
      </c>
      <c r="J217" s="9" t="n">
        <v>0.19</v>
      </c>
      <c r="K217" s="9" t="n">
        <v>0.18</v>
      </c>
      <c r="L217" s="58" t="n">
        <f aca="false">TRIMMEAN(B217:K217,2/COUNT(B217:K217))</f>
        <v>-0.41</v>
      </c>
    </row>
    <row r="218" customFormat="false" ht="15.75" hidden="false" customHeight="true" outlineLevel="0" collapsed="false">
      <c r="A218" s="57" t="s">
        <v>361</v>
      </c>
      <c r="B218" s="9" t="n">
        <v>2.96</v>
      </c>
      <c r="C218" s="9"/>
      <c r="D218" s="9" t="n">
        <v>-0.32</v>
      </c>
      <c r="E218" s="9"/>
      <c r="F218" s="9"/>
      <c r="G218" s="9" t="n">
        <v>0.72</v>
      </c>
      <c r="H218" s="9" t="n">
        <v>0.66</v>
      </c>
      <c r="I218" s="9"/>
      <c r="J218" s="9"/>
      <c r="K218" s="9"/>
      <c r="L218" s="58" t="n">
        <f aca="false">TRIMMEAN(B218:K218,2/COUNT(B218:K218))</f>
        <v>0.69</v>
      </c>
    </row>
    <row r="219" customFormat="false" ht="15.75" hidden="false" customHeight="true" outlineLevel="0" collapsed="false">
      <c r="A219" s="57" t="s">
        <v>362</v>
      </c>
      <c r="B219" s="9" t="n">
        <v>2.1</v>
      </c>
      <c r="C219" s="9" t="n">
        <v>-0.48</v>
      </c>
      <c r="D219" s="9" t="n">
        <v>2.36</v>
      </c>
      <c r="E219" s="9" t="n">
        <v>1.18</v>
      </c>
      <c r="F219" s="9"/>
      <c r="G219" s="9" t="n">
        <v>-0.71</v>
      </c>
      <c r="H219" s="9" t="n">
        <v>-0.11</v>
      </c>
      <c r="I219" s="9"/>
      <c r="J219" s="9"/>
      <c r="K219" s="9" t="n">
        <v>0.93</v>
      </c>
      <c r="L219" s="58" t="n">
        <f aca="false">TRIMMEAN(B219:K219,2/COUNT(B219:K219))</f>
        <v>0.724</v>
      </c>
    </row>
    <row r="220" customFormat="false" ht="15.75" hidden="false" customHeight="true" outlineLevel="0" collapsed="false">
      <c r="A220" s="59" t="s">
        <v>363</v>
      </c>
      <c r="B220" s="9"/>
      <c r="C220" s="9" t="n">
        <v>-2.48</v>
      </c>
      <c r="D220" s="9"/>
      <c r="E220" s="9"/>
      <c r="F220" s="9" t="n">
        <v>-3.84</v>
      </c>
      <c r="G220" s="9" t="n">
        <v>0.99</v>
      </c>
      <c r="H220" s="9" t="n">
        <v>0</v>
      </c>
      <c r="I220" s="9" t="n">
        <v>-1.01</v>
      </c>
      <c r="J220" s="9" t="n">
        <v>-3.31</v>
      </c>
      <c r="K220" s="9" t="n">
        <v>0.68</v>
      </c>
      <c r="L220" s="58" t="n">
        <f aca="false">TRIMMEAN(B220:K220,2/COUNT(B220:K220))</f>
        <v>-1.224</v>
      </c>
    </row>
    <row r="221" customFormat="false" ht="15.75" hidden="false" customHeight="true" outlineLevel="0" collapsed="false">
      <c r="A221" s="57" t="s">
        <v>364</v>
      </c>
      <c r="B221" s="9" t="n">
        <v>0.96</v>
      </c>
      <c r="C221" s="9"/>
      <c r="D221" s="9"/>
      <c r="E221" s="9" t="n">
        <v>-1.05</v>
      </c>
      <c r="F221" s="9" t="n">
        <v>-2.66</v>
      </c>
      <c r="G221" s="9" t="n">
        <v>-3.21</v>
      </c>
      <c r="H221" s="9" t="n">
        <v>-0.17</v>
      </c>
      <c r="I221" s="9"/>
      <c r="J221" s="9"/>
      <c r="K221" s="9"/>
      <c r="L221" s="58" t="n">
        <f aca="false">TRIMMEAN(B221:K221,2/COUNT(B221:K221))</f>
        <v>-1.29333333333333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 t="n">
        <v>0.25</v>
      </c>
      <c r="I222" s="9"/>
      <c r="J222" s="9"/>
      <c r="K222" s="9"/>
      <c r="L222" s="58" t="e">
        <f aca="false">TRIMMEAN(B222:K222,2/COUNT(B222:K222))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0.18</v>
      </c>
      <c r="E223" s="9" t="n">
        <v>-0.3</v>
      </c>
      <c r="F223" s="9" t="n">
        <v>-1.66</v>
      </c>
      <c r="G223" s="9" t="n">
        <v>1.97</v>
      </c>
      <c r="H223" s="9" t="n">
        <v>0.66</v>
      </c>
      <c r="I223" s="9"/>
      <c r="J223" s="9"/>
      <c r="K223" s="9"/>
      <c r="L223" s="58" t="n">
        <f aca="false">TRIMMEAN(B223:K223,2/COUNT(B223:K223))</f>
        <v>0.18</v>
      </c>
    </row>
    <row r="224" customFormat="false" ht="15.75" hidden="false" customHeight="true" outlineLevel="0" collapsed="false">
      <c r="A224" s="57" t="s">
        <v>367</v>
      </c>
      <c r="B224" s="9" t="n">
        <v>3.6</v>
      </c>
      <c r="C224" s="9" t="n">
        <v>-0.59</v>
      </c>
      <c r="D224" s="9" t="n">
        <v>-0.32</v>
      </c>
      <c r="E224" s="9" t="n">
        <v>1.68</v>
      </c>
      <c r="F224" s="9"/>
      <c r="G224" s="9" t="n">
        <v>-1.71</v>
      </c>
      <c r="H224" s="9" t="n">
        <v>1.41</v>
      </c>
      <c r="I224" s="9"/>
      <c r="J224" s="9"/>
      <c r="K224" s="9"/>
      <c r="L224" s="58" t="n">
        <f aca="false">TRIMMEAN(B224:K224,2/COUNT(B224:K224))</f>
        <v>0.545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58" t="e">
        <f aca="false">TRIMMEAN(B225:K225,2/COUNT(B225:K225))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-0.98</v>
      </c>
      <c r="D226" s="9"/>
      <c r="E226" s="9"/>
      <c r="F226" s="9" t="n">
        <v>-0.8</v>
      </c>
      <c r="G226" s="9" t="n">
        <v>-1.28</v>
      </c>
      <c r="H226" s="9" t="n">
        <v>0.5</v>
      </c>
      <c r="I226" s="9" t="n">
        <v>-2.01</v>
      </c>
      <c r="J226" s="9" t="n">
        <v>2.95</v>
      </c>
      <c r="K226" s="9" t="n">
        <v>-3.6</v>
      </c>
      <c r="L226" s="58" t="n">
        <f aca="false">TRIMMEAN(B226:K226,2/COUNT(B226:K226))</f>
        <v>-0.914</v>
      </c>
    </row>
    <row r="227" customFormat="false" ht="15.75" hidden="false" customHeight="true" outlineLevel="0" collapsed="false">
      <c r="A227" s="59" t="s">
        <v>370</v>
      </c>
      <c r="B227" s="9" t="n">
        <v>-0.65</v>
      </c>
      <c r="C227" s="9"/>
      <c r="D227" s="9" t="n">
        <v>-1.39</v>
      </c>
      <c r="E227" s="9"/>
      <c r="F227" s="9" t="n">
        <v>-1.39</v>
      </c>
      <c r="G227" s="9"/>
      <c r="H227" s="9"/>
      <c r="I227" s="9" t="n">
        <v>-3.01</v>
      </c>
      <c r="J227" s="9" t="n">
        <v>-7.8</v>
      </c>
      <c r="K227" s="9" t="n">
        <v>-1.1</v>
      </c>
      <c r="L227" s="58" t="n">
        <f aca="false">TRIMMEAN(B227:K227,2/COUNT(B227:K227))</f>
        <v>-1.7225</v>
      </c>
    </row>
    <row r="228" customFormat="false" ht="15.75" hidden="false" customHeight="true" outlineLevel="0" collapsed="false">
      <c r="A228" s="57" t="s">
        <v>371</v>
      </c>
      <c r="B228" s="9" t="n">
        <v>-1.35</v>
      </c>
      <c r="C228" s="9"/>
      <c r="D228" s="9"/>
      <c r="E228" s="9" t="n">
        <v>1.45</v>
      </c>
      <c r="F228" s="9" t="n">
        <v>-2.66</v>
      </c>
      <c r="G228" s="9" t="n">
        <v>-2.71</v>
      </c>
      <c r="H228" s="9"/>
      <c r="I228" s="9"/>
      <c r="J228" s="9"/>
      <c r="K228" s="9"/>
      <c r="L228" s="58" t="n">
        <f aca="false">TRIMMEAN(B228:K228,2/COUNT(B228:K228))</f>
        <v>-2.005</v>
      </c>
    </row>
    <row r="229" customFormat="false" ht="15.75" hidden="false" customHeight="true" outlineLevel="0" collapsed="false">
      <c r="A229" s="59" t="s">
        <v>372</v>
      </c>
      <c r="B229" s="9" t="n">
        <v>2.6</v>
      </c>
      <c r="C229" s="9" t="n">
        <v>-1.98</v>
      </c>
      <c r="D229" s="9" t="n">
        <v>2.36</v>
      </c>
      <c r="E229" s="9" t="n">
        <v>1.43</v>
      </c>
      <c r="F229" s="9"/>
      <c r="G229" s="9"/>
      <c r="H229" s="9" t="n">
        <v>-0.61</v>
      </c>
      <c r="I229" s="9"/>
      <c r="J229" s="9"/>
      <c r="K229" s="9"/>
      <c r="L229" s="58" t="n">
        <f aca="false">TRIMMEAN(B229:K229,2/COUNT(B229:K229))</f>
        <v>1.06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 t="n">
        <v>1.74</v>
      </c>
      <c r="H230" s="9" t="n">
        <v>2.25</v>
      </c>
      <c r="I230" s="9"/>
      <c r="J230" s="9"/>
      <c r="K230" s="9"/>
      <c r="L230" s="58" t="e">
        <f aca="false">TRIMMEAN(B230:K230,2/COUNT(B230:K230))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 t="n">
        <v>-1.59</v>
      </c>
      <c r="D231" s="9" t="n">
        <v>-1.82</v>
      </c>
      <c r="E231" s="9"/>
      <c r="F231" s="9" t="n">
        <v>-1.84</v>
      </c>
      <c r="G231" s="9" t="n">
        <v>2.22</v>
      </c>
      <c r="H231" s="9" t="n">
        <v>0</v>
      </c>
      <c r="I231" s="9" t="n">
        <v>1.01</v>
      </c>
      <c r="J231" s="9" t="n">
        <v>1.45</v>
      </c>
      <c r="K231" s="9" t="n">
        <v>1.68</v>
      </c>
      <c r="L231" s="58" t="n">
        <f aca="false">TRIMMEAN(B231:K231,2/COUNT(B231:K231))</f>
        <v>0.121666666666667</v>
      </c>
    </row>
    <row r="232" customFormat="false" ht="15.75" hidden="false" customHeight="true" outlineLevel="0" collapsed="false">
      <c r="A232" s="57" t="s">
        <v>375</v>
      </c>
      <c r="B232" s="9" t="n">
        <v>-0.79</v>
      </c>
      <c r="C232" s="9"/>
      <c r="D232" s="9"/>
      <c r="E232" s="9" t="n">
        <v>-1.05</v>
      </c>
      <c r="F232" s="9"/>
      <c r="G232" s="9" t="n">
        <v>0.29</v>
      </c>
      <c r="H232" s="9" t="n">
        <v>-0.11</v>
      </c>
      <c r="I232" s="9"/>
      <c r="J232" s="9"/>
      <c r="K232" s="9"/>
      <c r="L232" s="58" t="n">
        <f aca="false">TRIMMEAN(B232:K232,2/COUNT(B232:K232))</f>
        <v>-0.45</v>
      </c>
    </row>
    <row r="233" customFormat="false" ht="15.75" hidden="false" customHeight="true" outlineLevel="0" collapsed="false">
      <c r="A233" s="59" t="s">
        <v>376</v>
      </c>
      <c r="B233" s="9"/>
      <c r="C233" s="9" t="n">
        <v>-1.48</v>
      </c>
      <c r="D233" s="9" t="n">
        <v>-1.32</v>
      </c>
      <c r="E233" s="9"/>
      <c r="F233" s="9" t="n">
        <v>-1.84</v>
      </c>
      <c r="G233" s="9" t="n">
        <v>-4.94</v>
      </c>
      <c r="H233" s="9" t="n">
        <v>-0.67</v>
      </c>
      <c r="I233" s="9" t="n">
        <v>-0.01</v>
      </c>
      <c r="J233" s="9" t="n">
        <v>-2.3</v>
      </c>
      <c r="K233" s="9" t="n">
        <v>-0.6</v>
      </c>
      <c r="L233" s="58" t="n">
        <f aca="false">TRIMMEAN(B233:K233,2/COUNT(B233:K233))</f>
        <v>-1.36833333333333</v>
      </c>
    </row>
    <row r="234" customFormat="false" ht="15.75" hidden="false" customHeight="true" outlineLevel="0" collapsed="false">
      <c r="A234" s="59" t="s">
        <v>377</v>
      </c>
      <c r="B234" s="9"/>
      <c r="C234" s="9" t="n">
        <v>0.41</v>
      </c>
      <c r="D234" s="9"/>
      <c r="E234" s="9"/>
      <c r="F234" s="9"/>
      <c r="G234" s="9"/>
      <c r="H234" s="9"/>
      <c r="I234" s="9"/>
      <c r="J234" s="9"/>
      <c r="K234" s="9"/>
      <c r="L234" s="58" t="e">
        <f aca="false">TRIMMEAN(B234:K234,2/COUNT(B234:K234))</f>
        <v>#VALUE!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-0.82</v>
      </c>
      <c r="E235" s="9"/>
      <c r="F235" s="9"/>
      <c r="G235" s="9" t="n">
        <v>-0.53</v>
      </c>
      <c r="H235" s="9" t="n">
        <v>-2.11</v>
      </c>
      <c r="I235" s="9"/>
      <c r="J235" s="9" t="n">
        <v>0.45</v>
      </c>
      <c r="K235" s="9" t="n">
        <v>-0.07</v>
      </c>
      <c r="L235" s="58" t="n">
        <f aca="false">TRIMMEAN(B235:K235,2/COUNT(B235:K235))</f>
        <v>-0.473333333333333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58" t="e">
        <f aca="false">TRIMMEAN(B236:K236,2/COUNT(B236:K236))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 t="n">
        <v>-2.55</v>
      </c>
      <c r="G237" s="9" t="n">
        <v>-0.44</v>
      </c>
      <c r="H237" s="9" t="n">
        <v>3</v>
      </c>
      <c r="I237" s="9" t="n">
        <v>-0.01</v>
      </c>
      <c r="J237" s="9" t="n">
        <v>0.45</v>
      </c>
      <c r="K237" s="9" t="n">
        <v>-1.1</v>
      </c>
      <c r="L237" s="58" t="n">
        <f aca="false">TRIMMEAN(B237:K237,2/COUNT(B237:K237))</f>
        <v>-0.275</v>
      </c>
    </row>
    <row r="238" customFormat="false" ht="15.75" hidden="false" customHeight="true" outlineLevel="0" collapsed="false">
      <c r="A238" s="57" t="s">
        <v>381</v>
      </c>
      <c r="B238" s="9" t="n">
        <v>1.21</v>
      </c>
      <c r="C238" s="9"/>
      <c r="D238" s="9" t="n">
        <v>-2.32</v>
      </c>
      <c r="E238" s="9"/>
      <c r="F238" s="9" t="n">
        <v>-1.61</v>
      </c>
      <c r="G238" s="9" t="n">
        <v>0.29</v>
      </c>
      <c r="H238" s="9" t="n">
        <v>-0.11</v>
      </c>
      <c r="I238" s="9"/>
      <c r="J238" s="9"/>
      <c r="K238" s="9"/>
      <c r="L238" s="58" t="n">
        <f aca="false">TRIMMEAN(B238:K238,2/COUNT(B238:K238))</f>
        <v>-0.476666666666667</v>
      </c>
    </row>
    <row r="239" customFormat="false" ht="15.75" hidden="false" customHeight="true" outlineLevel="0" collapsed="false">
      <c r="A239" s="57" t="s">
        <v>382</v>
      </c>
      <c r="B239" s="9" t="n">
        <v>1.35</v>
      </c>
      <c r="C239" s="9"/>
      <c r="D239" s="9" t="n">
        <v>2.36</v>
      </c>
      <c r="E239" s="9" t="n">
        <v>0.18</v>
      </c>
      <c r="F239" s="9"/>
      <c r="G239" s="9" t="n">
        <v>-1.71</v>
      </c>
      <c r="H239" s="9" t="n">
        <v>1.41</v>
      </c>
      <c r="I239" s="9"/>
      <c r="J239" s="9" t="n">
        <v>3.2</v>
      </c>
      <c r="K239" s="9"/>
      <c r="L239" s="58" t="n">
        <f aca="false">TRIMMEAN(B239:K239,2/COUNT(B239:K239))</f>
        <v>1.325</v>
      </c>
    </row>
    <row r="240" customFormat="false" ht="15.75" hidden="false" customHeight="true" outlineLevel="0" collapsed="false">
      <c r="A240" s="57" t="s">
        <v>383</v>
      </c>
      <c r="B240" s="9" t="n">
        <v>2.6</v>
      </c>
      <c r="C240" s="9"/>
      <c r="D240" s="9" t="n">
        <v>2.86</v>
      </c>
      <c r="E240" s="9" t="n">
        <v>3.68</v>
      </c>
      <c r="F240" s="9"/>
      <c r="G240" s="9" t="n">
        <v>-0.21</v>
      </c>
      <c r="H240" s="9" t="n">
        <v>2.41</v>
      </c>
      <c r="I240" s="9" t="n">
        <v>3.51</v>
      </c>
      <c r="J240" s="9"/>
      <c r="K240" s="9"/>
      <c r="L240" s="58" t="n">
        <f aca="false">TRIMMEAN(B240:K240,2/COUNT(B240:K240))</f>
        <v>2.845</v>
      </c>
    </row>
    <row r="241" customFormat="false" ht="15.75" hidden="false" customHeight="true" outlineLevel="0" collapsed="false">
      <c r="A241" s="59" t="s">
        <v>384</v>
      </c>
      <c r="B241" s="9"/>
      <c r="C241" s="9" t="n">
        <v>-1.48</v>
      </c>
      <c r="D241" s="9"/>
      <c r="E241" s="9"/>
      <c r="F241" s="9" t="n">
        <v>-2.84</v>
      </c>
      <c r="G241" s="9" t="n">
        <v>-0.44</v>
      </c>
      <c r="H241" s="9"/>
      <c r="I241" s="9" t="n">
        <v>-0.01</v>
      </c>
      <c r="J241" s="9" t="n">
        <v>0.2</v>
      </c>
      <c r="K241" s="9" t="n">
        <v>-3.39</v>
      </c>
      <c r="L241" s="58" t="n">
        <f aca="false">TRIMMEAN(B241:K241,2/COUNT(B241:K241))</f>
        <v>-1.1925</v>
      </c>
    </row>
    <row r="242" customFormat="false" ht="15.75" hidden="false" customHeight="true" outlineLevel="0" collapsed="false">
      <c r="A242" s="57" t="s">
        <v>385</v>
      </c>
      <c r="B242" s="9"/>
      <c r="C242" s="9" t="n">
        <v>-0.48</v>
      </c>
      <c r="D242" s="9" t="n">
        <v>-4.32</v>
      </c>
      <c r="E242" s="9"/>
      <c r="F242" s="9"/>
      <c r="G242" s="9" t="n">
        <v>1.47</v>
      </c>
      <c r="H242" s="9"/>
      <c r="I242" s="9" t="n">
        <v>0.26</v>
      </c>
      <c r="J242" s="9" t="n">
        <v>-2.31</v>
      </c>
      <c r="K242" s="9" t="n">
        <v>-0.57</v>
      </c>
      <c r="L242" s="58" t="n">
        <f aca="false">TRIMMEAN(B242:K242,2/COUNT(B242:K242))</f>
        <v>-0.775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58" t="e">
        <f aca="false">TRIMMEAN(B243:K243,2/COUNT(B243:K243))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/>
      <c r="D244" s="9"/>
      <c r="E244" s="9" t="n">
        <v>-1.5</v>
      </c>
      <c r="F244" s="9" t="n">
        <v>0.64</v>
      </c>
      <c r="G244" s="9" t="n">
        <v>-6.71</v>
      </c>
      <c r="H244" s="9" t="n">
        <v>0.75</v>
      </c>
      <c r="I244" s="9"/>
      <c r="J244" s="9"/>
      <c r="K244" s="9"/>
      <c r="L244" s="58" t="n">
        <f aca="false">TRIMMEAN(B244:K244,2/COUNT(B244:K244))</f>
        <v>-0.43</v>
      </c>
    </row>
    <row r="245" customFormat="false" ht="15.75" hidden="false" customHeight="true" outlineLevel="0" collapsed="false">
      <c r="A245" s="57" t="s">
        <v>388</v>
      </c>
      <c r="B245" s="9" t="n">
        <v>2.6</v>
      </c>
      <c r="C245" s="9"/>
      <c r="D245" s="9" t="n">
        <v>-1.32</v>
      </c>
      <c r="E245" s="9" t="n">
        <v>-0.82</v>
      </c>
      <c r="F245" s="9"/>
      <c r="G245" s="9" t="n">
        <v>-0.78</v>
      </c>
      <c r="H245" s="9" t="n">
        <v>1.91</v>
      </c>
      <c r="I245" s="9"/>
      <c r="J245" s="9"/>
      <c r="K245" s="9"/>
      <c r="L245" s="58" t="n">
        <f aca="false">TRIMMEAN(B245:K245,2/COUNT(B245:K245))</f>
        <v>0.103333333333333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58" t="e">
        <f aca="false">TRIMMEAN(B246:K246,2/COUNT(B246:K246))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0.16</v>
      </c>
      <c r="D247" s="9" t="n">
        <v>-0.64</v>
      </c>
      <c r="E247" s="9"/>
      <c r="F247" s="9" t="n">
        <v>-0.84</v>
      </c>
      <c r="G247" s="9"/>
      <c r="H247" s="9"/>
      <c r="I247" s="9"/>
      <c r="J247" s="9"/>
      <c r="K247" s="9"/>
      <c r="L247" s="58" t="n">
        <f aca="false">TRIMMEAN(B247:K247,2/COUNT(B247:K247))</f>
        <v>-0.64</v>
      </c>
    </row>
    <row r="248" customFormat="false" ht="15.75" hidden="false" customHeight="true" outlineLevel="0" collapsed="false">
      <c r="A248" s="57" t="s">
        <v>391</v>
      </c>
      <c r="B248" s="9" t="n">
        <v>0.21</v>
      </c>
      <c r="C248" s="9"/>
      <c r="D248" s="9"/>
      <c r="E248" s="9" t="n">
        <v>-4.5</v>
      </c>
      <c r="F248" s="9" t="n">
        <v>-0.66</v>
      </c>
      <c r="G248" s="9" t="n">
        <v>-4.21</v>
      </c>
      <c r="H248" s="9"/>
      <c r="I248" s="9"/>
      <c r="J248" s="9"/>
      <c r="K248" s="9"/>
      <c r="L248" s="58" t="n">
        <f aca="false">TRIMMEAN(B248:K248,2/COUNT(B248:K248))</f>
        <v>-2.435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58" t="e">
        <f aca="false">TRIMMEAN(B249:K249,2/COUNT(B249:K249))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-0.09</v>
      </c>
      <c r="D250" s="9" t="n">
        <v>-1.32</v>
      </c>
      <c r="E250" s="9"/>
      <c r="F250" s="9" t="n">
        <v>-2.84</v>
      </c>
      <c r="G250" s="9" t="n">
        <v>2.49</v>
      </c>
      <c r="H250" s="9" t="n">
        <v>-0.17</v>
      </c>
      <c r="I250" s="9" t="n">
        <v>-0.01</v>
      </c>
      <c r="J250" s="9" t="n">
        <v>0.19</v>
      </c>
      <c r="K250" s="9" t="n">
        <v>-1.1</v>
      </c>
      <c r="L250" s="58" t="n">
        <f aca="false">TRIMMEAN(B250:K250,2/COUNT(B250:K250))</f>
        <v>-0.416666666666667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/>
      <c r="E251" s="9"/>
      <c r="F251" s="9" t="n">
        <v>-0.84</v>
      </c>
      <c r="G251" s="9"/>
      <c r="H251" s="9"/>
      <c r="I251" s="9"/>
      <c r="J251" s="9" t="n">
        <v>-1.81</v>
      </c>
      <c r="K251" s="9" t="n">
        <v>0.68</v>
      </c>
      <c r="L251" s="58" t="n">
        <f aca="false">TRIMMEAN(B251:K251,2/COUNT(B251:K251))</f>
        <v>-0.84</v>
      </c>
    </row>
    <row r="252" customFormat="false" ht="15.75" hidden="false" customHeight="true" outlineLevel="0" collapsed="false">
      <c r="A252" s="59" t="s">
        <v>395</v>
      </c>
      <c r="B252" s="9"/>
      <c r="C252" s="9" t="n">
        <v>1.41</v>
      </c>
      <c r="D252" s="9"/>
      <c r="E252" s="9"/>
      <c r="F252" s="9" t="n">
        <v>0.7</v>
      </c>
      <c r="G252" s="9" t="n">
        <v>-2.44</v>
      </c>
      <c r="H252" s="9" t="n">
        <v>1</v>
      </c>
      <c r="I252" s="9" t="n">
        <v>-2.51</v>
      </c>
      <c r="J252" s="9"/>
      <c r="K252" s="9" t="n">
        <v>1.43</v>
      </c>
      <c r="L252" s="58" t="n">
        <f aca="false">TRIMMEAN(B252:K252,2/COUNT(B252:K252))</f>
        <v>0.1675</v>
      </c>
    </row>
    <row r="253" customFormat="false" ht="15.75" hidden="false" customHeight="true" outlineLevel="0" collapsed="false">
      <c r="A253" s="57" t="s">
        <v>396</v>
      </c>
      <c r="B253" s="9" t="n">
        <v>-4.98</v>
      </c>
      <c r="C253" s="9"/>
      <c r="D253" s="9" t="n">
        <v>-1.82</v>
      </c>
      <c r="E253" s="9" t="n">
        <v>0.43</v>
      </c>
      <c r="F253" s="9"/>
      <c r="G253" s="9" t="n">
        <v>-0.21</v>
      </c>
      <c r="H253" s="9" t="n">
        <v>0.41</v>
      </c>
      <c r="I253" s="9"/>
      <c r="J253" s="9"/>
      <c r="K253" s="9" t="n">
        <v>2.43</v>
      </c>
      <c r="L253" s="58" t="n">
        <f aca="false">TRIMMEAN(B253:K253,2/COUNT(B253:K253))</f>
        <v>-0.2975</v>
      </c>
    </row>
    <row r="254" customFormat="false" ht="15.75" hidden="false" customHeight="true" outlineLevel="0" collapsed="false">
      <c r="A254" s="59" t="s">
        <v>397</v>
      </c>
      <c r="B254" s="9" t="n">
        <v>1.96</v>
      </c>
      <c r="C254" s="9"/>
      <c r="D254" s="9" t="n">
        <v>-0.32</v>
      </c>
      <c r="E254" s="9"/>
      <c r="F254" s="9"/>
      <c r="G254" s="9"/>
      <c r="H254" s="9"/>
      <c r="I254" s="9"/>
      <c r="J254" s="9"/>
      <c r="K254" s="9"/>
      <c r="L254" s="58" t="e">
        <f aca="false">TRIMMEAN(B254:K254,2/COUNT(B254:K254))</f>
        <v>#VALUE!</v>
      </c>
    </row>
    <row r="255" customFormat="false" ht="15.75" hidden="false" customHeight="true" outlineLevel="0" collapsed="false">
      <c r="A255" s="57" t="s">
        <v>398</v>
      </c>
      <c r="B255" s="9"/>
      <c r="C255" s="9" t="n">
        <v>-1.98</v>
      </c>
      <c r="D255" s="9"/>
      <c r="E255" s="9"/>
      <c r="F255" s="9"/>
      <c r="G255" s="9" t="n">
        <v>1.47</v>
      </c>
      <c r="H255" s="9" t="n">
        <v>1.41</v>
      </c>
      <c r="I255" s="9" t="n">
        <v>0.51</v>
      </c>
      <c r="J255" s="9" t="n">
        <v>1.2</v>
      </c>
      <c r="K255" s="9" t="n">
        <v>1.93</v>
      </c>
      <c r="L255" s="58" t="n">
        <f aca="false">TRIMMEAN(B255:K255,2/COUNT(B255:K255))</f>
        <v>1.1475</v>
      </c>
    </row>
    <row r="256" customFormat="false" ht="15.75" hidden="false" customHeight="true" outlineLevel="0" collapsed="false">
      <c r="A256" s="57" t="s">
        <v>399</v>
      </c>
      <c r="B256" s="9"/>
      <c r="C256" s="9" t="n">
        <v>-1.48</v>
      </c>
      <c r="D256" s="9"/>
      <c r="E256" s="9"/>
      <c r="F256" s="9" t="n">
        <v>-0.3</v>
      </c>
      <c r="G256" s="9" t="n">
        <v>-3.21</v>
      </c>
      <c r="H256" s="9"/>
      <c r="I256" s="9" t="n">
        <v>1.26</v>
      </c>
      <c r="J256" s="9" t="n">
        <v>-6.81</v>
      </c>
      <c r="K256" s="9" t="n">
        <v>-0.32</v>
      </c>
      <c r="L256" s="58" t="n">
        <f aca="false">TRIMMEAN(B256:K256,2/COUNT(B256:K256))</f>
        <v>-1.3275</v>
      </c>
    </row>
    <row r="257" customFormat="false" ht="15.75" hidden="false" customHeight="true" outlineLevel="0" collapsed="false">
      <c r="A257" s="57" t="s">
        <v>400</v>
      </c>
      <c r="B257" s="9" t="n">
        <v>0.6</v>
      </c>
      <c r="C257" s="9"/>
      <c r="D257" s="9"/>
      <c r="E257" s="9" t="n">
        <v>0.93</v>
      </c>
      <c r="F257" s="9"/>
      <c r="G257" s="9" t="n">
        <v>-2.71</v>
      </c>
      <c r="H257" s="9" t="n">
        <v>0.25</v>
      </c>
      <c r="I257" s="9" t="n">
        <v>-5.01</v>
      </c>
      <c r="J257" s="9" t="n">
        <v>1.2</v>
      </c>
      <c r="K257" s="9" t="n">
        <v>-0.07</v>
      </c>
      <c r="L257" s="58" t="n">
        <f aca="false">TRIMMEAN(B257:K257,2/COUNT(B257:K257))</f>
        <v>-0.2</v>
      </c>
    </row>
    <row r="258" customFormat="false" ht="15.75" hidden="false" customHeight="true" outlineLevel="0" collapsed="false">
      <c r="A258" s="57" t="s">
        <v>401</v>
      </c>
      <c r="B258" s="9" t="n">
        <v>2.6</v>
      </c>
      <c r="C258" s="9"/>
      <c r="D258" s="9" t="n">
        <v>-1.32</v>
      </c>
      <c r="E258" s="9" t="n">
        <v>2.68</v>
      </c>
      <c r="F258" s="9"/>
      <c r="G258" s="9" t="n">
        <v>0.47</v>
      </c>
      <c r="H258" s="9" t="n">
        <v>0.91</v>
      </c>
      <c r="I258" s="9"/>
      <c r="J258" s="9" t="n">
        <v>0.2</v>
      </c>
      <c r="K258" s="9"/>
      <c r="L258" s="58" t="n">
        <f aca="false">TRIMMEAN(B258:K258,2/COUNT(B258:K258))</f>
        <v>1.045</v>
      </c>
    </row>
    <row r="259" customFormat="false" ht="15.75" hidden="false" customHeight="true" outlineLevel="0" collapsed="false">
      <c r="A259" s="59" t="s">
        <v>402</v>
      </c>
      <c r="B259" s="9" t="n">
        <v>-0.48</v>
      </c>
      <c r="C259" s="9"/>
      <c r="D259" s="9" t="n">
        <v>0.36</v>
      </c>
      <c r="E259" s="9" t="n">
        <v>-1.57</v>
      </c>
      <c r="F259" s="9" t="n">
        <v>-0.3</v>
      </c>
      <c r="G259" s="9"/>
      <c r="H259" s="9" t="n">
        <v>-4.11</v>
      </c>
      <c r="I259" s="9"/>
      <c r="J259" s="9" t="n">
        <v>1.2</v>
      </c>
      <c r="K259" s="9" t="n">
        <v>1.68</v>
      </c>
      <c r="L259" s="58" t="n">
        <f aca="false">TRIMMEAN(B259:K259,2/COUNT(B259:K259))</f>
        <v>-0.158</v>
      </c>
    </row>
    <row r="260" customFormat="false" ht="15.75" hidden="false" customHeight="true" outlineLevel="0" collapsed="false">
      <c r="A260" s="59" t="s">
        <v>403</v>
      </c>
      <c r="B260" s="9"/>
      <c r="C260" s="9" t="n">
        <v>2.41</v>
      </c>
      <c r="D260" s="9" t="n">
        <v>-0.82</v>
      </c>
      <c r="E260" s="9"/>
      <c r="F260" s="9" t="n">
        <v>-0.84</v>
      </c>
      <c r="G260" s="9" t="n">
        <v>-4.82</v>
      </c>
      <c r="H260" s="9" t="n">
        <v>-3.17</v>
      </c>
      <c r="I260" s="9" t="n">
        <v>0.01</v>
      </c>
      <c r="J260" s="9" t="n">
        <v>-0.31</v>
      </c>
      <c r="K260" s="9" t="n">
        <v>-2.6</v>
      </c>
      <c r="L260" s="58" t="n">
        <f aca="false">TRIMMEAN(B260:K260,2/COUNT(B260:K260))</f>
        <v>-1.28833333333333</v>
      </c>
    </row>
    <row r="261" customFormat="false" ht="15.75" hidden="false" customHeight="true" outlineLevel="0" collapsed="false">
      <c r="A261" s="57" t="s">
        <v>404</v>
      </c>
      <c r="B261" s="9" t="n">
        <v>1.21</v>
      </c>
      <c r="C261" s="9"/>
      <c r="D261" s="9"/>
      <c r="E261" s="9"/>
      <c r="F261" s="9"/>
      <c r="G261" s="9" t="n">
        <v>-4.21</v>
      </c>
      <c r="H261" s="9"/>
      <c r="I261" s="9"/>
      <c r="J261" s="9"/>
      <c r="K261" s="9"/>
      <c r="L261" s="58" t="e">
        <f aca="false">TRIMMEAN(B261:K261,2/COUNT(B261:K261))</f>
        <v>#VALUE!</v>
      </c>
    </row>
    <row r="262" customFormat="false" ht="15.75" hidden="false" customHeight="true" outlineLevel="0" collapsed="false">
      <c r="A262" s="57" t="s">
        <v>405</v>
      </c>
      <c r="B262" s="9" t="n">
        <v>-2.98</v>
      </c>
      <c r="C262" s="9"/>
      <c r="D262" s="9" t="n">
        <v>2.61</v>
      </c>
      <c r="E262" s="9" t="n">
        <v>-0.57</v>
      </c>
      <c r="F262" s="9"/>
      <c r="G262" s="9" t="n">
        <v>-1.71</v>
      </c>
      <c r="H262" s="9" t="n">
        <v>-0.11</v>
      </c>
      <c r="I262" s="9" t="n">
        <v>-0.99</v>
      </c>
      <c r="J262" s="9" t="n">
        <v>-0.81</v>
      </c>
      <c r="K262" s="9" t="n">
        <v>-1.1</v>
      </c>
      <c r="L262" s="58" t="n">
        <f aca="false">TRIMMEAN(B262:K262,2/COUNT(B262:K262))</f>
        <v>-0.881666666666667</v>
      </c>
    </row>
    <row r="263" customFormat="false" ht="15.75" hidden="false" customHeight="true" outlineLevel="0" collapsed="false">
      <c r="A263" s="57" t="s">
        <v>406</v>
      </c>
      <c r="B263" s="9" t="n">
        <v>0.1</v>
      </c>
      <c r="C263" s="9"/>
      <c r="D263" s="9" t="n">
        <v>-0.82</v>
      </c>
      <c r="E263" s="9" t="n">
        <v>-4.07</v>
      </c>
      <c r="F263" s="9"/>
      <c r="G263" s="9" t="n">
        <v>0.29</v>
      </c>
      <c r="H263" s="9" t="n">
        <v>-0.34</v>
      </c>
      <c r="I263" s="9"/>
      <c r="J263" s="9"/>
      <c r="K263" s="9" t="n">
        <v>-2.6</v>
      </c>
      <c r="L263" s="58" t="n">
        <f aca="false">TRIMMEAN(B263:K263,2/COUNT(B263:K263))</f>
        <v>-0.915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/>
      <c r="E264" s="9"/>
      <c r="F264" s="9" t="n">
        <v>-0.84</v>
      </c>
      <c r="G264" s="9" t="n">
        <v>0.49</v>
      </c>
      <c r="H264" s="9"/>
      <c r="I264" s="9" t="n">
        <v>1.26</v>
      </c>
      <c r="J264" s="9" t="n">
        <v>-2.31</v>
      </c>
      <c r="K264" s="9" t="n">
        <v>0.68</v>
      </c>
      <c r="L264" s="58" t="n">
        <f aca="false">TRIMMEAN(B264:K264,2/COUNT(B264:K264))</f>
        <v>0.11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 t="n">
        <v>-1.8</v>
      </c>
      <c r="F265" s="9" t="n">
        <v>-6.16</v>
      </c>
      <c r="G265" s="9" t="n">
        <v>-1.21</v>
      </c>
      <c r="H265" s="9"/>
      <c r="I265" s="9"/>
      <c r="J265" s="9"/>
      <c r="K265" s="9"/>
      <c r="L265" s="58" t="n">
        <f aca="false">TRIMMEAN(B265:K265,2/COUNT(B265:K265))</f>
        <v>-1.8</v>
      </c>
    </row>
    <row r="266" customFormat="false" ht="15.75" hidden="false" customHeight="true" outlineLevel="0" collapsed="false">
      <c r="A266" s="59" t="s">
        <v>409</v>
      </c>
      <c r="B266" s="9"/>
      <c r="C266" s="9" t="n">
        <v>2.41</v>
      </c>
      <c r="D266" s="9" t="n">
        <v>0.18</v>
      </c>
      <c r="E266" s="9" t="n">
        <v>1.18</v>
      </c>
      <c r="F266" s="9" t="n">
        <v>2.2</v>
      </c>
      <c r="G266" s="9"/>
      <c r="H266" s="9" t="n">
        <v>1.16</v>
      </c>
      <c r="I266" s="9" t="n">
        <v>-1.51</v>
      </c>
      <c r="J266" s="9" t="n">
        <v>0.2</v>
      </c>
      <c r="K266" s="9" t="n">
        <v>1.43</v>
      </c>
      <c r="L266" s="58" t="n">
        <f aca="false">TRIMMEAN(B266:K266,2/COUNT(B266:K266))</f>
        <v>1.05833333333333</v>
      </c>
    </row>
    <row r="267" customFormat="false" ht="15.75" hidden="false" customHeight="true" outlineLevel="0" collapsed="false">
      <c r="A267" s="57" t="s">
        <v>410</v>
      </c>
      <c r="B267" s="9" t="n">
        <v>-3.35</v>
      </c>
      <c r="C267" s="9"/>
      <c r="D267" s="9"/>
      <c r="E267" s="9" t="n">
        <v>0.45</v>
      </c>
      <c r="F267" s="9" t="n">
        <v>-0.36</v>
      </c>
      <c r="G267" s="9" t="n">
        <v>0.97</v>
      </c>
      <c r="H267" s="9" t="n">
        <v>-0.59</v>
      </c>
      <c r="I267" s="9"/>
      <c r="J267" s="9"/>
      <c r="K267" s="9"/>
      <c r="L267" s="58" t="n">
        <f aca="false">TRIMMEAN(B267:K267,2/COUNT(B267:K267))</f>
        <v>-0.166666666666667</v>
      </c>
    </row>
    <row r="268" customFormat="false" ht="15.75" hidden="false" customHeight="true" outlineLevel="0" collapsed="false">
      <c r="A268" s="59" t="s">
        <v>411</v>
      </c>
      <c r="B268" s="9"/>
      <c r="C268" s="9" t="n">
        <v>-0.59</v>
      </c>
      <c r="D268" s="9"/>
      <c r="E268" s="9"/>
      <c r="F268" s="9" t="n">
        <v>-0.84</v>
      </c>
      <c r="G268" s="9" t="n">
        <v>-1.01</v>
      </c>
      <c r="H268" s="9" t="n">
        <v>-3.67</v>
      </c>
      <c r="I268" s="9" t="n">
        <v>-1.01</v>
      </c>
      <c r="J268" s="9" t="n">
        <v>-1.05</v>
      </c>
      <c r="K268" s="9" t="n">
        <v>-2.6</v>
      </c>
      <c r="L268" s="58" t="n">
        <f aca="false">TRIMMEAN(B268:K268,2/COUNT(B268:K268))</f>
        <v>-1.302</v>
      </c>
    </row>
    <row r="269" customFormat="false" ht="15.75" hidden="false" customHeight="true" outlineLevel="0" collapsed="false">
      <c r="A269" s="57" t="s">
        <v>412</v>
      </c>
      <c r="B269" s="9"/>
      <c r="C269" s="9" t="n">
        <v>2.41</v>
      </c>
      <c r="D269" s="9"/>
      <c r="E269" s="9"/>
      <c r="F269" s="9"/>
      <c r="G269" s="9" t="n">
        <v>-0.03</v>
      </c>
      <c r="H269" s="9" t="n">
        <v>-1.59</v>
      </c>
      <c r="I269" s="9" t="n">
        <v>0.26</v>
      </c>
      <c r="J269" s="9" t="n">
        <v>-1.31</v>
      </c>
      <c r="K269" s="9" t="n">
        <v>-3.6</v>
      </c>
      <c r="L269" s="58" t="n">
        <f aca="false">TRIMMEAN(B269:K269,2/COUNT(B269:K269))</f>
        <v>-0.6675</v>
      </c>
    </row>
    <row r="270" customFormat="false" ht="15.75" hidden="false" customHeight="true" outlineLevel="0" collapsed="false">
      <c r="A270" s="57" t="s">
        <v>413</v>
      </c>
      <c r="B270" s="9" t="n">
        <v>-2.54</v>
      </c>
      <c r="C270" s="9"/>
      <c r="D270" s="9"/>
      <c r="E270" s="9" t="n">
        <v>-1</v>
      </c>
      <c r="F270" s="9" t="n">
        <v>-4.16</v>
      </c>
      <c r="G270" s="9" t="n">
        <v>-2.71</v>
      </c>
      <c r="H270" s="9"/>
      <c r="I270" s="9"/>
      <c r="J270" s="9"/>
      <c r="K270" s="9"/>
      <c r="L270" s="58" t="n">
        <f aca="false">TRIMMEAN(B270:K270,2/COUNT(B270:K270))</f>
        <v>-2.625</v>
      </c>
    </row>
    <row r="271" customFormat="false" ht="15.75" hidden="false" customHeight="true" outlineLevel="0" collapsed="false">
      <c r="A271" s="57" t="s">
        <v>414</v>
      </c>
      <c r="B271" s="9" t="n">
        <v>-0.15</v>
      </c>
      <c r="C271" s="9" t="n">
        <v>-0.84</v>
      </c>
      <c r="D271" s="9" t="n">
        <v>0.18</v>
      </c>
      <c r="E271" s="9" t="n">
        <v>1.43</v>
      </c>
      <c r="F271" s="9"/>
      <c r="G271" s="9" t="n">
        <v>1.22</v>
      </c>
      <c r="H271" s="9" t="n">
        <v>0.16</v>
      </c>
      <c r="I271" s="9"/>
      <c r="J271" s="9" t="n">
        <v>-0.3</v>
      </c>
      <c r="K271" s="9" t="n">
        <v>-0.57</v>
      </c>
      <c r="L271" s="58" t="n">
        <f aca="false">TRIMMEAN(B271:K271,2/COUNT(B271:K271))</f>
        <v>0.09</v>
      </c>
    </row>
    <row r="272" customFormat="false" ht="15.75" hidden="false" customHeight="true" outlineLevel="0" collapsed="false">
      <c r="A272" s="57" t="s">
        <v>415</v>
      </c>
      <c r="B272" s="9" t="n">
        <v>1.1</v>
      </c>
      <c r="C272" s="9" t="n">
        <v>0.41</v>
      </c>
      <c r="D272" s="9" t="n">
        <v>2.36</v>
      </c>
      <c r="E272" s="9" t="n">
        <v>0.18</v>
      </c>
      <c r="F272" s="9"/>
      <c r="G272" s="9" t="n">
        <v>-0.78</v>
      </c>
      <c r="H272" s="9" t="n">
        <v>0.41</v>
      </c>
      <c r="I272" s="9"/>
      <c r="J272" s="9"/>
      <c r="K272" s="9" t="n">
        <v>0.43</v>
      </c>
      <c r="L272" s="58" t="n">
        <f aca="false">TRIMMEAN(B272:K272,2/COUNT(B272:K272))</f>
        <v>0.506</v>
      </c>
    </row>
    <row r="273" customFormat="false" ht="15.75" hidden="false" customHeight="true" outlineLevel="0" collapsed="false">
      <c r="A273" s="57" t="s">
        <v>416</v>
      </c>
      <c r="B273" s="9" t="n">
        <v>2.1</v>
      </c>
      <c r="C273" s="9"/>
      <c r="D273" s="9" t="n">
        <v>2.11</v>
      </c>
      <c r="E273" s="9" t="n">
        <v>1.93</v>
      </c>
      <c r="F273" s="9"/>
      <c r="G273" s="9" t="n">
        <v>0.22</v>
      </c>
      <c r="H273" s="9" t="n">
        <v>-0.09</v>
      </c>
      <c r="I273" s="9"/>
      <c r="J273" s="9"/>
      <c r="K273" s="9" t="n">
        <v>1.93</v>
      </c>
      <c r="L273" s="58" t="n">
        <f aca="false">TRIMMEAN(B273:K273,2/COUNT(B273:K273))</f>
        <v>1.545</v>
      </c>
    </row>
    <row r="274" customFormat="false" ht="15.75" hidden="false" customHeight="true" outlineLevel="0" collapsed="false">
      <c r="A274" s="59" t="s">
        <v>417</v>
      </c>
      <c r="B274" s="9"/>
      <c r="C274" s="9" t="n">
        <v>0.41</v>
      </c>
      <c r="D274" s="9" t="n">
        <v>-2.32</v>
      </c>
      <c r="E274" s="9"/>
      <c r="F274" s="9" t="n">
        <v>0.95</v>
      </c>
      <c r="G274" s="9" t="n">
        <v>0.06</v>
      </c>
      <c r="H274" s="9"/>
      <c r="I274" s="9" t="n">
        <v>2.76</v>
      </c>
      <c r="J274" s="9" t="n">
        <v>2.2</v>
      </c>
      <c r="K274" s="9" t="n">
        <v>1.93</v>
      </c>
      <c r="L274" s="58" t="n">
        <f aca="false">TRIMMEAN(B274:K274,2/COUNT(B274:K274))</f>
        <v>1.11</v>
      </c>
    </row>
    <row r="275" customFormat="false" ht="15.75" hidden="false" customHeight="true" outlineLevel="0" collapsed="false">
      <c r="A275" s="57" t="s">
        <v>418</v>
      </c>
      <c r="B275" s="9"/>
      <c r="C275" s="9" t="n">
        <v>-0.09</v>
      </c>
      <c r="D275" s="9"/>
      <c r="E275" s="9"/>
      <c r="F275" s="9" t="n">
        <v>-0.84</v>
      </c>
      <c r="G275" s="9" t="n">
        <v>2.72</v>
      </c>
      <c r="H275" s="9" t="n">
        <v>0.91</v>
      </c>
      <c r="I275" s="9"/>
      <c r="J275" s="9" t="n">
        <v>3.7</v>
      </c>
      <c r="K275" s="9"/>
      <c r="L275" s="58" t="n">
        <f aca="false">TRIMMEAN(B275:K275,2/COUNT(B275:K275))</f>
        <v>1.18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58" t="e">
        <f aca="false">TRIMMEAN(B276:K276,2/COUNT(B276:K276))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 t="n">
        <v>-1.34</v>
      </c>
      <c r="G277" s="9" t="n">
        <v>-6.44</v>
      </c>
      <c r="H277" s="9"/>
      <c r="I277" s="9"/>
      <c r="J277" s="9" t="n">
        <v>-3.81</v>
      </c>
      <c r="K277" s="9"/>
      <c r="L277" s="58" t="n">
        <f aca="false">TRIMMEAN(B277:K277,2/COUNT(B277:K277))</f>
        <v>-3.81</v>
      </c>
    </row>
    <row r="278" customFormat="false" ht="15.75" hidden="false" customHeight="true" outlineLevel="0" collapsed="false">
      <c r="A278" s="59" t="s">
        <v>421</v>
      </c>
      <c r="B278" s="9"/>
      <c r="C278" s="9" t="n">
        <v>0.66</v>
      </c>
      <c r="D278" s="9" t="n">
        <v>-1.32</v>
      </c>
      <c r="E278" s="9"/>
      <c r="F278" s="9" t="n">
        <v>-2.84</v>
      </c>
      <c r="G278" s="9" t="n">
        <v>0.99</v>
      </c>
      <c r="H278" s="9" t="n">
        <v>-0.5</v>
      </c>
      <c r="I278" s="9" t="n">
        <v>-2.51</v>
      </c>
      <c r="J278" s="9" t="n">
        <v>-6.81</v>
      </c>
      <c r="K278" s="9" t="n">
        <v>-1.1</v>
      </c>
      <c r="L278" s="58" t="n">
        <f aca="false">TRIMMEAN(B278:K278,2/COUNT(B278:K278))</f>
        <v>-1.26833333333333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 t="n">
        <v>-0.11</v>
      </c>
      <c r="I279" s="9"/>
      <c r="J279" s="9"/>
      <c r="K279" s="9"/>
      <c r="L279" s="58" t="e">
        <f aca="false">TRIMMEAN(B279:K279,2/COUNT(B279:K279))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-2.35</v>
      </c>
      <c r="C280" s="9"/>
      <c r="D280" s="9"/>
      <c r="E280" s="9" t="n">
        <v>-1.3</v>
      </c>
      <c r="F280" s="9" t="n">
        <v>-2.11</v>
      </c>
      <c r="G280" s="9" t="n">
        <v>0.47</v>
      </c>
      <c r="H280" s="9"/>
      <c r="I280" s="9"/>
      <c r="J280" s="9"/>
      <c r="K280" s="9"/>
      <c r="L280" s="58" t="n">
        <f aca="false">TRIMMEAN(B280:K280,2/COUNT(B280:K280))</f>
        <v>-1.705</v>
      </c>
    </row>
    <row r="281" customFormat="false" ht="15.75" hidden="false" customHeight="true" outlineLevel="0" collapsed="false">
      <c r="A281" s="57" t="s">
        <v>424</v>
      </c>
      <c r="B281" s="9"/>
      <c r="C281" s="9" t="n">
        <v>1.41</v>
      </c>
      <c r="D281" s="9"/>
      <c r="E281" s="9"/>
      <c r="F281" s="9" t="n">
        <v>0.95</v>
      </c>
      <c r="G281" s="9" t="n">
        <v>-0.21</v>
      </c>
      <c r="H281" s="9"/>
      <c r="I281" s="9" t="n">
        <v>-1.01</v>
      </c>
      <c r="J281" s="9" t="n">
        <v>0.19</v>
      </c>
      <c r="K281" s="9" t="n">
        <v>-0.32</v>
      </c>
      <c r="L281" s="58" t="n">
        <f aca="false">TRIMMEAN(B281:K281,2/COUNT(B281:K281))</f>
        <v>0.1525</v>
      </c>
    </row>
    <row r="282" customFormat="false" ht="15.75" hidden="false" customHeight="true" outlineLevel="0" collapsed="false">
      <c r="A282" s="59" t="s">
        <v>425</v>
      </c>
      <c r="B282" s="9"/>
      <c r="C282" s="9" t="n">
        <v>-4.98</v>
      </c>
      <c r="D282" s="9"/>
      <c r="E282" s="9"/>
      <c r="F282" s="9" t="n">
        <v>-2.84</v>
      </c>
      <c r="G282" s="9" t="n">
        <v>-0.44</v>
      </c>
      <c r="H282" s="9" t="n">
        <v>1</v>
      </c>
      <c r="I282" s="9" t="n">
        <v>0.51</v>
      </c>
      <c r="J282" s="9" t="n">
        <v>-1.31</v>
      </c>
      <c r="K282" s="9" t="n">
        <v>-2.1</v>
      </c>
      <c r="L282" s="58" t="n">
        <f aca="false">TRIMMEAN(B282:K282,2/COUNT(B282:K282))</f>
        <v>-1.236</v>
      </c>
    </row>
    <row r="283" customFormat="false" ht="15.75" hidden="false" customHeight="true" outlineLevel="0" collapsed="false">
      <c r="A283" s="57" t="s">
        <v>426</v>
      </c>
      <c r="B283" s="9" t="n">
        <v>-1.85</v>
      </c>
      <c r="C283" s="9"/>
      <c r="D283" s="9"/>
      <c r="E283" s="9" t="n">
        <v>-4</v>
      </c>
      <c r="F283" s="9" t="n">
        <v>-3.16</v>
      </c>
      <c r="G283" s="9" t="n">
        <v>-0.71</v>
      </c>
      <c r="H283" s="9" t="n">
        <v>1.25</v>
      </c>
      <c r="I283" s="9"/>
      <c r="J283" s="9"/>
      <c r="K283" s="9"/>
      <c r="L283" s="58" t="n">
        <f aca="false">TRIMMEAN(B283:K283,2/COUNT(B283:K283))</f>
        <v>-1.90666666666667</v>
      </c>
    </row>
    <row r="284" customFormat="false" ht="15.75" hidden="false" customHeight="true" outlineLevel="0" collapsed="false">
      <c r="A284" s="59" t="s">
        <v>427</v>
      </c>
      <c r="B284" s="9" t="n">
        <v>-3.48</v>
      </c>
      <c r="C284" s="9" t="n">
        <v>-0.48</v>
      </c>
      <c r="D284" s="9"/>
      <c r="E284" s="9" t="n">
        <v>0.18</v>
      </c>
      <c r="F284" s="9" t="n">
        <v>0.2</v>
      </c>
      <c r="G284" s="9"/>
      <c r="H284" s="9"/>
      <c r="I284" s="9"/>
      <c r="J284" s="9"/>
      <c r="K284" s="9"/>
      <c r="L284" s="58" t="n">
        <f aca="false">TRIMMEAN(B284:K284,2/COUNT(B284:K284))</f>
        <v>-0.15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58" t="e">
        <f aca="false">TRIMMEAN(B285:K285,2/COUNT(B285:K285))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-0.98</v>
      </c>
      <c r="D286" s="9"/>
      <c r="E286" s="9"/>
      <c r="F286" s="9" t="n">
        <v>-2.34</v>
      </c>
      <c r="G286" s="9"/>
      <c r="H286" s="9"/>
      <c r="I286" s="9"/>
      <c r="J286" s="9"/>
      <c r="K286" s="9"/>
      <c r="L286" s="58" t="e">
        <f aca="false">TRIMMEAN(B286:K286,2/COUNT(B286:K286))</f>
        <v>#VALUE!</v>
      </c>
    </row>
    <row r="287" customFormat="false" ht="15.75" hidden="false" customHeight="true" outlineLevel="0" collapsed="false">
      <c r="A287" s="57" t="s">
        <v>430</v>
      </c>
      <c r="B287" s="9"/>
      <c r="C287" s="9" t="n">
        <v>-0.98</v>
      </c>
      <c r="D287" s="9"/>
      <c r="E287" s="9"/>
      <c r="F287" s="9" t="n">
        <v>0.45</v>
      </c>
      <c r="G287" s="9" t="n">
        <v>0.97</v>
      </c>
      <c r="H287" s="9"/>
      <c r="I287" s="9" t="n">
        <v>-2.01</v>
      </c>
      <c r="J287" s="9" t="n">
        <v>-0.55</v>
      </c>
      <c r="K287" s="9" t="n">
        <v>-0.1</v>
      </c>
      <c r="L287" s="58" t="n">
        <f aca="false">TRIMMEAN(B287:K287,2/COUNT(B287:K287))</f>
        <v>-0.295</v>
      </c>
    </row>
    <row r="288" customFormat="false" ht="15.75" hidden="false" customHeight="true" outlineLevel="0" collapsed="false">
      <c r="A288" s="59" t="s">
        <v>431</v>
      </c>
      <c r="B288" s="9"/>
      <c r="C288" s="9" t="n">
        <v>-1.98</v>
      </c>
      <c r="D288" s="9"/>
      <c r="E288" s="9"/>
      <c r="F288" s="9" t="n">
        <v>-0.8</v>
      </c>
      <c r="G288" s="9" t="n">
        <v>-1.01</v>
      </c>
      <c r="H288" s="9" t="n">
        <v>0.25</v>
      </c>
      <c r="I288" s="9" t="n">
        <v>0.01</v>
      </c>
      <c r="J288" s="9"/>
      <c r="K288" s="9" t="n">
        <v>-2.1</v>
      </c>
      <c r="L288" s="58" t="n">
        <f aca="false">TRIMMEAN(B288:K288,2/COUNT(B288:K288))</f>
        <v>-0.945</v>
      </c>
    </row>
    <row r="289" customFormat="false" ht="15.75" hidden="false" customHeight="true" outlineLevel="0" collapsed="false">
      <c r="A289" s="57" t="s">
        <v>432</v>
      </c>
      <c r="B289" s="9" t="n">
        <v>-1.79</v>
      </c>
      <c r="C289" s="9"/>
      <c r="D289" s="9"/>
      <c r="E289" s="9" t="n">
        <v>1.2</v>
      </c>
      <c r="F289" s="9" t="n">
        <v>0.39</v>
      </c>
      <c r="G289" s="9" t="n">
        <v>-0.03</v>
      </c>
      <c r="H289" s="9" t="n">
        <v>0.75</v>
      </c>
      <c r="I289" s="9"/>
      <c r="J289" s="9"/>
      <c r="K289" s="9"/>
      <c r="L289" s="58" t="n">
        <f aca="false">TRIMMEAN(B289:K289,2/COUNT(B289:K289))</f>
        <v>0.37</v>
      </c>
    </row>
    <row r="290" customFormat="false" ht="15.75" hidden="false" customHeight="true" outlineLevel="0" collapsed="false">
      <c r="A290" s="59" t="s">
        <v>433</v>
      </c>
      <c r="B290" s="9"/>
      <c r="C290" s="9" t="n">
        <v>-2.48</v>
      </c>
      <c r="D290" s="9"/>
      <c r="E290" s="9"/>
      <c r="F290" s="9" t="n">
        <v>-7.34</v>
      </c>
      <c r="G290" s="9" t="n">
        <v>0.49</v>
      </c>
      <c r="H290" s="9" t="n">
        <v>-3.17</v>
      </c>
      <c r="I290" s="9" t="n">
        <v>-2.51</v>
      </c>
      <c r="J290" s="9" t="n">
        <v>-1.81</v>
      </c>
      <c r="K290" s="9" t="n">
        <v>0.18</v>
      </c>
      <c r="L290" s="58" t="n">
        <f aca="false">TRIMMEAN(B290:K290,2/COUNT(B290:K290))</f>
        <v>-1.958</v>
      </c>
    </row>
    <row r="291" customFormat="false" ht="15.75" hidden="false" customHeight="true" outlineLevel="0" collapsed="false">
      <c r="A291" s="57" t="s">
        <v>434</v>
      </c>
      <c r="B291" s="9"/>
      <c r="C291" s="9" t="n">
        <v>-0.48</v>
      </c>
      <c r="D291" s="9"/>
      <c r="E291" s="9"/>
      <c r="F291" s="9" t="n">
        <v>0.7</v>
      </c>
      <c r="G291" s="9" t="n">
        <v>-1.21</v>
      </c>
      <c r="H291" s="9" t="n">
        <v>0.91</v>
      </c>
      <c r="I291" s="9"/>
      <c r="J291" s="9" t="n">
        <v>2.45</v>
      </c>
      <c r="K291" s="9" t="n">
        <v>2.43</v>
      </c>
      <c r="L291" s="58" t="n">
        <f aca="false">TRIMMEAN(B291:K291,2/COUNT(B291:K291))</f>
        <v>0.89</v>
      </c>
    </row>
    <row r="292" customFormat="false" ht="15.75" hidden="false" customHeight="true" outlineLevel="0" collapsed="false">
      <c r="A292" s="57" t="s">
        <v>435</v>
      </c>
      <c r="B292" s="9" t="n">
        <v>-0.54</v>
      </c>
      <c r="C292" s="9"/>
      <c r="D292" s="9"/>
      <c r="E292" s="9"/>
      <c r="F292" s="9" t="n">
        <v>-0.11</v>
      </c>
      <c r="G292" s="9" t="n">
        <v>-0.71</v>
      </c>
      <c r="H292" s="9" t="n">
        <v>-0.17</v>
      </c>
      <c r="I292" s="9"/>
      <c r="J292" s="9"/>
      <c r="K292" s="9"/>
      <c r="L292" s="58" t="n">
        <f aca="false">TRIMMEAN(B292:K292,2/COUNT(B292:K292))</f>
        <v>-0.355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58" t="e">
        <f aca="false">TRIMMEAN(B293:K293,2/COUNT(B293:K293))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-0.84</v>
      </c>
      <c r="D294" s="9"/>
      <c r="E294" s="9"/>
      <c r="F294" s="9" t="n">
        <v>-1.84</v>
      </c>
      <c r="G294" s="9" t="n">
        <v>-0.94</v>
      </c>
      <c r="H294" s="9" t="n">
        <v>-1.67</v>
      </c>
      <c r="I294" s="9" t="n">
        <v>0.76</v>
      </c>
      <c r="J294" s="9" t="n">
        <v>0.19</v>
      </c>
      <c r="K294" s="9" t="n">
        <v>-6.6</v>
      </c>
      <c r="L294" s="58" t="n">
        <f aca="false">TRIMMEAN(B294:K294,2/COUNT(B294:K294))</f>
        <v>-1.02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58" t="e">
        <f aca="false">TRIMMEAN(B295:K295,2/COUNT(B295:K295))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58" t="e">
        <f aca="false">TRIMMEAN(B296:K296,2/COUNT(B296:K296))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0.71</v>
      </c>
      <c r="C297" s="9"/>
      <c r="D297" s="9"/>
      <c r="E297" s="9" t="n">
        <v>-3</v>
      </c>
      <c r="F297" s="9" t="n">
        <v>2.39</v>
      </c>
      <c r="G297" s="9" t="n">
        <v>-1.71</v>
      </c>
      <c r="H297" s="9" t="n">
        <v>-0.11</v>
      </c>
      <c r="I297" s="9"/>
      <c r="J297" s="9"/>
      <c r="K297" s="9"/>
      <c r="L297" s="58" t="n">
        <f aca="false">TRIMMEAN(B297:K297,2/COUNT(B297:K297))</f>
        <v>-0.37</v>
      </c>
    </row>
    <row r="298" customFormat="false" ht="15.75" hidden="false" customHeight="true" outlineLevel="0" collapsed="false">
      <c r="A298" s="57" t="s">
        <v>441</v>
      </c>
      <c r="B298" s="9" t="n">
        <v>1.96</v>
      </c>
      <c r="C298" s="9" t="n">
        <v>-0.48</v>
      </c>
      <c r="D298" s="9"/>
      <c r="E298" s="9" t="n">
        <v>-4</v>
      </c>
      <c r="F298" s="9" t="n">
        <v>-7.84</v>
      </c>
      <c r="G298" s="9" t="n">
        <v>1.47</v>
      </c>
      <c r="H298" s="9" t="n">
        <v>-2.17</v>
      </c>
      <c r="I298" s="9"/>
      <c r="J298" s="9"/>
      <c r="K298" s="9"/>
      <c r="L298" s="58" t="n">
        <f aca="false">TRIMMEAN(B298:K298,2/COUNT(B298:K298))</f>
        <v>-1.295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 t="n">
        <v>0.45</v>
      </c>
      <c r="G299" s="9" t="n">
        <v>2.49</v>
      </c>
      <c r="H299" s="9" t="n">
        <v>1.75</v>
      </c>
      <c r="I299" s="9" t="n">
        <v>-4.51</v>
      </c>
      <c r="J299" s="9" t="n">
        <v>0.19</v>
      </c>
      <c r="K299" s="9" t="n">
        <v>-3.39</v>
      </c>
      <c r="L299" s="58" t="n">
        <f aca="false">TRIMMEAN(B299:K299,2/COUNT(B299:K299))</f>
        <v>-0.25</v>
      </c>
    </row>
    <row r="300" customFormat="false" ht="15.75" hidden="false" customHeight="true" outlineLevel="0" collapsed="false">
      <c r="A300" s="59" t="s">
        <v>443</v>
      </c>
      <c r="B300" s="9" t="n">
        <v>0.6</v>
      </c>
      <c r="C300" s="9"/>
      <c r="D300" s="9" t="n">
        <v>2.61</v>
      </c>
      <c r="E300" s="9" t="n">
        <v>-2.82</v>
      </c>
      <c r="F300" s="9"/>
      <c r="G300" s="9"/>
      <c r="H300" s="9" t="n">
        <v>-3.61</v>
      </c>
      <c r="I300" s="9" t="n">
        <v>2.26</v>
      </c>
      <c r="J300" s="9"/>
      <c r="K300" s="9"/>
      <c r="L300" s="58" t="n">
        <f aca="false">TRIMMEAN(B300:K300,2/COUNT(B300:K300))</f>
        <v>0.0133333333333333</v>
      </c>
    </row>
    <row r="301" customFormat="false" ht="15.75" hidden="false" customHeight="true" outlineLevel="0" collapsed="false">
      <c r="A301" s="57" t="s">
        <v>444</v>
      </c>
      <c r="B301" s="9" t="n">
        <v>-0.54</v>
      </c>
      <c r="C301" s="9"/>
      <c r="D301" s="9"/>
      <c r="E301" s="9" t="n">
        <v>-1.3</v>
      </c>
      <c r="F301" s="9" t="n">
        <v>1.39</v>
      </c>
      <c r="G301" s="9" t="n">
        <v>-2.21</v>
      </c>
      <c r="H301" s="9"/>
      <c r="I301" s="9"/>
      <c r="J301" s="9"/>
      <c r="K301" s="9"/>
      <c r="L301" s="58" t="n">
        <f aca="false">TRIMMEAN(B301:K301,2/COUNT(B301:K301))</f>
        <v>-0.92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 t="n">
        <v>-0.82</v>
      </c>
      <c r="E302" s="9"/>
      <c r="F302" s="9"/>
      <c r="G302" s="9"/>
      <c r="H302" s="9"/>
      <c r="I302" s="9"/>
      <c r="J302" s="9"/>
      <c r="K302" s="9"/>
      <c r="L302" s="58" t="e">
        <f aca="false">TRIMMEAN(B302:K302,2/COUNT(B302:K302))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0.41</v>
      </c>
      <c r="D303" s="9" t="n">
        <v>-1.64</v>
      </c>
      <c r="E303" s="9"/>
      <c r="F303" s="9" t="n">
        <v>-1.34</v>
      </c>
      <c r="G303" s="9" t="n">
        <v>0.74</v>
      </c>
      <c r="H303" s="9" t="n">
        <v>-0.17</v>
      </c>
      <c r="I303" s="9" t="n">
        <v>-1.01</v>
      </c>
      <c r="J303" s="9" t="n">
        <v>-0.55</v>
      </c>
      <c r="K303" s="9" t="n">
        <v>-3.6</v>
      </c>
      <c r="L303" s="58" t="n">
        <f aca="false">TRIMMEAN(B303:K303,2/COUNT(B303:K303))</f>
        <v>-0.716666666666667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58" t="e">
        <f aca="false">TRIMMEAN(B304:K304,2/COUNT(B304:K304))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0.1</v>
      </c>
      <c r="C305" s="9" t="n">
        <v>2.16</v>
      </c>
      <c r="D305" s="9" t="n">
        <v>0.18</v>
      </c>
      <c r="E305" s="9"/>
      <c r="F305" s="9" t="n">
        <v>-0.84</v>
      </c>
      <c r="G305" s="9" t="n">
        <v>-0.03</v>
      </c>
      <c r="H305" s="9"/>
      <c r="I305" s="9" t="n">
        <v>-1.51</v>
      </c>
      <c r="J305" s="9" t="n">
        <v>0.19</v>
      </c>
      <c r="K305" s="9"/>
      <c r="L305" s="58" t="n">
        <f aca="false">TRIMMEAN(B305:K305,2/COUNT(B305:K305))</f>
        <v>-0.08</v>
      </c>
    </row>
    <row r="306" customFormat="false" ht="15.75" hidden="false" customHeight="true" outlineLevel="0" collapsed="false">
      <c r="A306" s="59" t="s">
        <v>449</v>
      </c>
      <c r="B306" s="9" t="n">
        <v>-0.4</v>
      </c>
      <c r="C306" s="9"/>
      <c r="D306" s="9" t="n">
        <v>0.86</v>
      </c>
      <c r="E306" s="9" t="n">
        <v>0.43</v>
      </c>
      <c r="F306" s="9"/>
      <c r="G306" s="9"/>
      <c r="H306" s="9" t="n">
        <v>2.91</v>
      </c>
      <c r="I306" s="9"/>
      <c r="J306" s="9" t="n">
        <v>2.2</v>
      </c>
      <c r="K306" s="9" t="n">
        <v>-0.07</v>
      </c>
      <c r="L306" s="58" t="n">
        <f aca="false">TRIMMEAN(B306:K306,2/COUNT(B306:K306))</f>
        <v>0.855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 t="n">
        <v>-1.84</v>
      </c>
      <c r="G307" s="9"/>
      <c r="H307" s="9" t="n">
        <v>0.75</v>
      </c>
      <c r="I307" s="9"/>
      <c r="J307" s="9"/>
      <c r="K307" s="9"/>
      <c r="L307" s="58" t="e">
        <f aca="false">TRIMMEAN(B307:K307,2/COUNT(B307:K307))</f>
        <v>#VALUE!</v>
      </c>
    </row>
    <row r="308" customFormat="false" ht="15.75" hidden="false" customHeight="true" outlineLevel="0" collapsed="false">
      <c r="A308" s="60" t="s">
        <v>451</v>
      </c>
      <c r="B308" s="61"/>
      <c r="C308" s="61" t="n">
        <v>1.16</v>
      </c>
      <c r="D308" s="61"/>
      <c r="E308" s="61"/>
      <c r="F308" s="61" t="n">
        <v>1.45</v>
      </c>
      <c r="G308" s="61" t="n">
        <v>-2.71</v>
      </c>
      <c r="H308" s="61" t="n">
        <v>1.25</v>
      </c>
      <c r="I308" s="61" t="n">
        <v>1.76</v>
      </c>
      <c r="J308" s="61" t="n">
        <v>1.2</v>
      </c>
      <c r="K308" s="61" t="n">
        <v>2.93</v>
      </c>
      <c r="L308" s="58" t="n">
        <f aca="false">TRIMMEAN(B308:K308,2/COUNT(B308:K308))</f>
        <v>1.364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58" t="e">
        <f aca="false">TRIMMEAN(B309:K309,2/COUNT(B309:K309))</f>
        <v>#DIV/0!</v>
      </c>
    </row>
  </sheetData>
  <conditionalFormatting sqref="L2:L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7" t="s">
        <v>146</v>
      </c>
      <c r="B2" s="69" t="n">
        <f aca="false">'SG OTT'!Q2</f>
        <v>0.665</v>
      </c>
      <c r="C2" s="70" t="n">
        <f aca="false">Class!Q2</f>
        <v>1.28</v>
      </c>
      <c r="D2" s="70" t="n">
        <f aca="false">'SG APP'!Q2</f>
        <v>0.783333333333333</v>
      </c>
      <c r="E2" s="70" t="n">
        <f aca="false">'SG PUTT'!Q2</f>
        <v>0.00833333333333333</v>
      </c>
      <c r="F2" s="70" t="n">
        <f aca="false">'SG ARG'!Q2</f>
        <v>0.2</v>
      </c>
      <c r="G2" s="70"/>
      <c r="H2" s="58" t="n">
        <f aca="false">'Current Form'!L2</f>
        <v>0.85</v>
      </c>
      <c r="I2" s="71"/>
      <c r="J2" s="22" t="s">
        <v>467</v>
      </c>
      <c r="K2" s="22" t="s">
        <v>468</v>
      </c>
    </row>
    <row r="3" customFormat="false" ht="15.75" hidden="false" customHeight="true" outlineLevel="0" collapsed="false">
      <c r="A3" s="57" t="s">
        <v>147</v>
      </c>
      <c r="B3" s="69" t="n">
        <f aca="false">'SG OTT'!Q3</f>
        <v>-0.29</v>
      </c>
      <c r="C3" s="70" t="n">
        <f aca="false">Class!Q3</f>
        <v>0.325</v>
      </c>
      <c r="D3" s="70" t="n">
        <f aca="false">'SG APP'!Q3</f>
        <v>-0.0416666666666667</v>
      </c>
      <c r="E3" s="70" t="n">
        <f aca="false">'SG PUTT'!Q3</f>
        <v>0.745</v>
      </c>
      <c r="F3" s="70" t="n">
        <f aca="false">'SG ARG'!Q3</f>
        <v>-0.195</v>
      </c>
      <c r="G3" s="70"/>
      <c r="H3" s="58" t="n">
        <f aca="false">'Current Form'!L3</f>
        <v>0.175</v>
      </c>
      <c r="I3" s="71"/>
      <c r="J3" s="22" t="s">
        <v>467</v>
      </c>
      <c r="K3" s="22" t="s">
        <v>468</v>
      </c>
    </row>
    <row r="4" customFormat="false" ht="15.75" hidden="false" customHeight="true" outlineLevel="0" collapsed="false">
      <c r="A4" s="57" t="s">
        <v>148</v>
      </c>
      <c r="B4" s="69" t="n">
        <f aca="false">'SG OTT'!Q4</f>
        <v>0.436666666666667</v>
      </c>
      <c r="C4" s="70" t="n">
        <f aca="false">Class!Q4</f>
        <v>0.246666666666667</v>
      </c>
      <c r="D4" s="70" t="n">
        <f aca="false">'SG APP'!Q4</f>
        <v>-0.251666666666667</v>
      </c>
      <c r="E4" s="70" t="n">
        <f aca="false">'SG PUTT'!Q4</f>
        <v>-0.756666666666667</v>
      </c>
      <c r="F4" s="70" t="n">
        <f aca="false">'SG ARG'!Q4</f>
        <v>0.105</v>
      </c>
      <c r="G4" s="70"/>
      <c r="H4" s="58" t="n">
        <f aca="false">'Current Form'!L4</f>
        <v>0.293333333333333</v>
      </c>
      <c r="I4" s="71"/>
      <c r="J4" s="22" t="s">
        <v>467</v>
      </c>
      <c r="K4" s="22" t="s">
        <v>469</v>
      </c>
    </row>
    <row r="5" customFormat="false" ht="15.75" hidden="false" customHeight="true" outlineLevel="0" collapsed="false">
      <c r="A5" s="57" t="s">
        <v>149</v>
      </c>
      <c r="B5" s="69" t="n">
        <f aca="false">'SG OTT'!Q5</f>
        <v>0.075</v>
      </c>
      <c r="C5" s="70" t="n">
        <f aca="false">Class!Q5</f>
        <v>0.34875</v>
      </c>
      <c r="D5" s="70" t="n">
        <f aca="false">'SG APP'!Q5</f>
        <v>0.3925</v>
      </c>
      <c r="E5" s="70" t="n">
        <f aca="false">'SG PUTT'!Q5</f>
        <v>0.17625</v>
      </c>
      <c r="F5" s="70" t="n">
        <f aca="false">'SG ARG'!Q5</f>
        <v>0.00625</v>
      </c>
      <c r="G5" s="70" t="n">
        <v>0.04</v>
      </c>
      <c r="H5" s="58" t="n">
        <f aca="false">'Current Form'!L5</f>
        <v>0.124</v>
      </c>
      <c r="I5" s="71" t="n">
        <v>-0.04</v>
      </c>
      <c r="J5" s="22" t="s">
        <v>137</v>
      </c>
      <c r="K5" s="22" t="s">
        <v>468</v>
      </c>
    </row>
    <row r="6" customFormat="false" ht="15.75" hidden="false" customHeight="true" outlineLevel="0" collapsed="false">
      <c r="A6" s="59" t="s">
        <v>150</v>
      </c>
      <c r="B6" s="69" t="n">
        <f aca="false">'SG OTT'!Q6</f>
        <v>-0.407777777777778</v>
      </c>
      <c r="C6" s="70" t="n">
        <f aca="false">Class!Q6</f>
        <v>0.403333333333333</v>
      </c>
      <c r="D6" s="70" t="n">
        <f aca="false">'SG APP'!Q6</f>
        <v>0.531111111111111</v>
      </c>
      <c r="E6" s="70" t="n">
        <f aca="false">'SG PUTT'!Q6</f>
        <v>0.487777777777778</v>
      </c>
      <c r="F6" s="70" t="n">
        <f aca="false">'SG ARG'!Q6</f>
        <v>0.104444444444444</v>
      </c>
      <c r="G6" s="70" t="n">
        <v>0.17</v>
      </c>
      <c r="H6" s="58" t="n">
        <f aca="false">'Current Form'!L6</f>
        <v>0.758</v>
      </c>
      <c r="I6" s="71" t="n">
        <v>0.04</v>
      </c>
      <c r="J6" s="22" t="s">
        <v>137</v>
      </c>
      <c r="K6" s="22" t="s">
        <v>468</v>
      </c>
    </row>
    <row r="7" customFormat="false" ht="15.75" hidden="false" customHeight="true" outlineLevel="0" collapsed="false">
      <c r="A7" s="59" t="s">
        <v>151</v>
      </c>
      <c r="B7" s="69" t="n">
        <f aca="false">'SG OTT'!Q7</f>
        <v>0.203333333333333</v>
      </c>
      <c r="C7" s="70" t="n">
        <f aca="false">Class!Q7</f>
        <v>0.19</v>
      </c>
      <c r="D7" s="70" t="n">
        <f aca="false">'SG APP'!Q7</f>
        <v>0.27</v>
      </c>
      <c r="E7" s="70" t="n">
        <f aca="false">'SG PUTT'!Q7</f>
        <v>-0.593333333333333</v>
      </c>
      <c r="F7" s="70" t="n">
        <f aca="false">'SG ARG'!Q7</f>
        <v>-0.151666666666667</v>
      </c>
      <c r="G7" s="70"/>
      <c r="H7" s="58" t="n">
        <f aca="false">'Current Form'!L7</f>
        <v>-1.64333333333333</v>
      </c>
      <c r="I7" s="71"/>
      <c r="J7" s="22" t="s">
        <v>137</v>
      </c>
      <c r="K7" s="22" t="s">
        <v>468</v>
      </c>
    </row>
    <row r="8" customFormat="false" ht="15.75" hidden="false" customHeight="true" outlineLevel="0" collapsed="false">
      <c r="A8" s="59" t="s">
        <v>152</v>
      </c>
      <c r="B8" s="69" t="n">
        <f aca="false">'SG OTT'!Q8</f>
        <v>-0.334285714285714</v>
      </c>
      <c r="C8" s="70" t="n">
        <f aca="false">Class!Q8</f>
        <v>0.405714285714286</v>
      </c>
      <c r="D8" s="70" t="n">
        <f aca="false">'SG APP'!Q8</f>
        <v>0.0757142857142857</v>
      </c>
      <c r="E8" s="70" t="n">
        <f aca="false">'SG PUTT'!Q8</f>
        <v>0.432857142857143</v>
      </c>
      <c r="F8" s="70" t="n">
        <f aca="false">'SG ARG'!Q8</f>
        <v>0.458571428571429</v>
      </c>
      <c r="G8" s="70"/>
      <c r="H8" s="58" t="n">
        <f aca="false">'Current Form'!L8</f>
        <v>0.23</v>
      </c>
      <c r="I8" s="71"/>
      <c r="J8" s="22" t="s">
        <v>467</v>
      </c>
      <c r="K8" s="22" t="s">
        <v>468</v>
      </c>
    </row>
    <row r="9" customFormat="false" ht="15.75" hidden="false" customHeight="true" outlineLevel="0" collapsed="false">
      <c r="A9" s="59" t="s">
        <v>153</v>
      </c>
      <c r="B9" s="69" t="n">
        <f aca="false">'SG OTT'!Q9</f>
        <v>-0.491428571428571</v>
      </c>
      <c r="C9" s="70" t="n">
        <f aca="false">Class!Q9</f>
        <v>0.372857142857143</v>
      </c>
      <c r="D9" s="70" t="n">
        <f aca="false">'SG APP'!Q9</f>
        <v>0.53</v>
      </c>
      <c r="E9" s="70" t="n">
        <f aca="false">'SG PUTT'!Q9</f>
        <v>0.241428571428571</v>
      </c>
      <c r="F9" s="70" t="n">
        <f aca="false">'SG ARG'!Q9</f>
        <v>0.0914285714285714</v>
      </c>
      <c r="G9" s="70" t="n">
        <v>0.36</v>
      </c>
      <c r="H9" s="58" t="n">
        <f aca="false">'Current Form'!L9</f>
        <v>1.375</v>
      </c>
      <c r="I9" s="71" t="n">
        <v>-0.01</v>
      </c>
      <c r="J9" s="22" t="s">
        <v>137</v>
      </c>
      <c r="K9" s="22" t="s">
        <v>468</v>
      </c>
    </row>
    <row r="10" customFormat="false" ht="15.75" hidden="false" customHeight="true" outlineLevel="0" collapsed="false">
      <c r="A10" s="59" t="s">
        <v>154</v>
      </c>
      <c r="B10" s="69" t="n">
        <f aca="false">'SG OTT'!Q10</f>
        <v>0.271</v>
      </c>
      <c r="C10" s="70" t="n">
        <f aca="false">Class!Q10</f>
        <v>0.105</v>
      </c>
      <c r="D10" s="70" t="n">
        <f aca="false">'SG APP'!Q10</f>
        <v>0.013</v>
      </c>
      <c r="E10" s="70" t="n">
        <f aca="false">'SG PUTT'!Q10</f>
        <v>-0.547</v>
      </c>
      <c r="F10" s="70" t="n">
        <f aca="false">'SG ARG'!Q10</f>
        <v>-0.618888888888889</v>
      </c>
      <c r="G10" s="70" t="n">
        <v>0.26</v>
      </c>
      <c r="H10" s="58" t="n">
        <f aca="false">'Current Form'!L10</f>
        <v>-1.508</v>
      </c>
      <c r="I10" s="71" t="n">
        <v>-0.04</v>
      </c>
      <c r="J10" s="22" t="s">
        <v>137</v>
      </c>
      <c r="K10" s="22" t="s">
        <v>468</v>
      </c>
    </row>
    <row r="11" customFormat="false" ht="15.75" hidden="false" customHeight="true" outlineLevel="0" collapsed="false">
      <c r="A11" s="57" t="s">
        <v>155</v>
      </c>
      <c r="B11" s="69" t="n">
        <f aca="false">'SG OTT'!Q11</f>
        <v>0.202</v>
      </c>
      <c r="C11" s="70" t="n">
        <f aca="false">Class!Q11</f>
        <v>0.032</v>
      </c>
      <c r="D11" s="70" t="n">
        <f aca="false">'SG APP'!Q11</f>
        <v>0.032</v>
      </c>
      <c r="E11" s="70" t="n">
        <f aca="false">'SG PUTT'!Q11</f>
        <v>-0.762</v>
      </c>
      <c r="F11" s="70" t="n">
        <f aca="false">'SG ARG'!Q11</f>
        <v>-0.264</v>
      </c>
      <c r="G11" s="70"/>
      <c r="H11" s="58" t="n">
        <f aca="false">'Current Form'!L11</f>
        <v>-1.25</v>
      </c>
      <c r="I11" s="71"/>
      <c r="J11" s="22" t="s">
        <v>467</v>
      </c>
      <c r="K11" s="22" t="s">
        <v>469</v>
      </c>
    </row>
    <row r="12" customFormat="false" ht="15.75" hidden="false" customHeight="true" outlineLevel="0" collapsed="false">
      <c r="A12" s="59" t="s">
        <v>156</v>
      </c>
      <c r="B12" s="69" t="n">
        <f aca="false">'SG OTT'!Q12</f>
        <v>0.227777777777778</v>
      </c>
      <c r="C12" s="70" t="n">
        <f aca="false">Class!Q12</f>
        <v>0.473333333333333</v>
      </c>
      <c r="D12" s="70" t="n">
        <f aca="false">'SG APP'!Q12</f>
        <v>0.614444444444445</v>
      </c>
      <c r="E12" s="70" t="n">
        <f aca="false">'SG PUTT'!Q12</f>
        <v>-0.183333333333333</v>
      </c>
      <c r="F12" s="70" t="n">
        <f aca="false">'SG ARG'!Q12</f>
        <v>0.116666666666667</v>
      </c>
      <c r="G12" s="70" t="n">
        <v>-0.08</v>
      </c>
      <c r="H12" s="58" t="n">
        <f aca="false">'Current Form'!L12</f>
        <v>1.324</v>
      </c>
      <c r="I12" s="71" t="n">
        <v>0.01</v>
      </c>
      <c r="J12" s="22" t="s">
        <v>137</v>
      </c>
      <c r="K12" s="22" t="s">
        <v>468</v>
      </c>
    </row>
    <row r="13" customFormat="false" ht="15.75" hidden="false" customHeight="true" outlineLevel="0" collapsed="false">
      <c r="A13" s="57" t="s">
        <v>157</v>
      </c>
      <c r="B13" s="69" t="n">
        <f aca="false">'SG OTT'!Q13</f>
        <v>0.746666666666667</v>
      </c>
      <c r="C13" s="70" t="n">
        <f aca="false">Class!Q13</f>
        <v>0.465555555555556</v>
      </c>
      <c r="D13" s="70" t="n">
        <f aca="false">'SG APP'!Q13</f>
        <v>0.322222222222222</v>
      </c>
      <c r="E13" s="70" t="n">
        <f aca="false">'SG PUTT'!Q13</f>
        <v>0.0277777777777778</v>
      </c>
      <c r="F13" s="70" t="n">
        <f aca="false">'SG ARG'!Q13</f>
        <v>-0.32</v>
      </c>
      <c r="G13" s="70" t="n">
        <v>-0.21</v>
      </c>
      <c r="H13" s="58" t="n">
        <f aca="false">'Current Form'!L13</f>
        <v>0.858333333333333</v>
      </c>
      <c r="I13" s="71" t="n">
        <v>-0.04</v>
      </c>
      <c r="J13" s="22" t="s">
        <v>137</v>
      </c>
      <c r="K13" s="22" t="s">
        <v>468</v>
      </c>
    </row>
    <row r="14" customFormat="false" ht="15.75" hidden="false" customHeight="true" outlineLevel="0" collapsed="false">
      <c r="A14" s="59" t="s">
        <v>158</v>
      </c>
      <c r="B14" s="69" t="n">
        <f aca="false">'SG OTT'!Q14</f>
        <v>0.18125</v>
      </c>
      <c r="C14" s="70" t="n">
        <f aca="false">Class!Q14</f>
        <v>0.38375</v>
      </c>
      <c r="D14" s="70" t="n">
        <f aca="false">'SG APP'!Q14</f>
        <v>0.17875</v>
      </c>
      <c r="E14" s="70" t="n">
        <f aca="false">'SG PUTT'!Q14</f>
        <v>0.245</v>
      </c>
      <c r="F14" s="70" t="n">
        <f aca="false">'SG ARG'!Q14</f>
        <v>0.02875</v>
      </c>
      <c r="G14" s="70"/>
      <c r="H14" s="58" t="n">
        <f aca="false">'Current Form'!L14</f>
        <v>1.104</v>
      </c>
      <c r="I14" s="71"/>
      <c r="J14" s="22" t="s">
        <v>467</v>
      </c>
      <c r="K14" s="22" t="s">
        <v>468</v>
      </c>
      <c r="R14" s="18"/>
    </row>
    <row r="15" customFormat="false" ht="15.75" hidden="false" customHeight="true" outlineLevel="0" collapsed="false">
      <c r="A15" s="59" t="s">
        <v>159</v>
      </c>
      <c r="B15" s="69" t="n">
        <f aca="false">'SG OTT'!Q15</f>
        <v>0.176666666666667</v>
      </c>
      <c r="C15" s="70" t="n">
        <f aca="false">Class!Q15</f>
        <v>0.71</v>
      </c>
      <c r="D15" s="70" t="n">
        <f aca="false">'SG APP'!Q15</f>
        <v>0.773333333333333</v>
      </c>
      <c r="E15" s="70" t="n">
        <f aca="false">'SG PUTT'!Q15</f>
        <v>0.356666666666667</v>
      </c>
      <c r="F15" s="70" t="n">
        <f aca="false">'SG ARG'!Q15</f>
        <v>0.0633333333333333</v>
      </c>
      <c r="G15" s="70" t="n">
        <v>-0.02</v>
      </c>
      <c r="H15" s="58" t="n">
        <f aca="false">'Current Form'!L15</f>
        <v>1.7</v>
      </c>
      <c r="I15" s="71" t="n">
        <v>-0.04</v>
      </c>
      <c r="J15" s="22" t="s">
        <v>137</v>
      </c>
      <c r="K15" s="22" t="s">
        <v>468</v>
      </c>
      <c r="R15" s="18"/>
    </row>
    <row r="16" customFormat="false" ht="15.75" hidden="false" customHeight="true" outlineLevel="0" collapsed="false">
      <c r="A16" s="57" t="s">
        <v>160</v>
      </c>
      <c r="B16" s="69" t="n">
        <f aca="false">'SG OTT'!Q16</f>
        <v>-0.074</v>
      </c>
      <c r="C16" s="70" t="n">
        <f aca="false">Class!Q16</f>
        <v>0.024</v>
      </c>
      <c r="D16" s="70" t="n">
        <f aca="false">'SG APP'!Q16</f>
        <v>0.852</v>
      </c>
      <c r="E16" s="70" t="n">
        <f aca="false">'SG PUTT'!Q16</f>
        <v>-0.614</v>
      </c>
      <c r="F16" s="70" t="n">
        <f aca="false">'SG ARG'!Q16</f>
        <v>-0.518</v>
      </c>
      <c r="G16" s="70"/>
      <c r="H16" s="58" t="n">
        <f aca="false">'Current Form'!L16</f>
        <v>-0.21</v>
      </c>
      <c r="I16" s="71"/>
      <c r="J16" s="22" t="s">
        <v>467</v>
      </c>
      <c r="K16" s="22" t="s">
        <v>468</v>
      </c>
      <c r="R16" s="18"/>
    </row>
    <row r="17" customFormat="false" ht="15.75" hidden="false" customHeight="true" outlineLevel="0" collapsed="false">
      <c r="A17" s="59" t="s">
        <v>161</v>
      </c>
      <c r="B17" s="69" t="e">
        <f aca="false">'SG OTT'!Q17</f>
        <v>#DIV/0!</v>
      </c>
      <c r="C17" s="70" t="e">
        <f aca="false">Class!Q17</f>
        <v>#DIV/0!</v>
      </c>
      <c r="D17" s="70" t="e">
        <f aca="false">'SG APP'!Q17</f>
        <v>#DIV/0!</v>
      </c>
      <c r="E17" s="70" t="e">
        <f aca="false">'SG PUTT'!Q17</f>
        <v>#DIV/0!</v>
      </c>
      <c r="F17" s="70" t="e">
        <f aca="false">'SG ARG'!Q17</f>
        <v>#DIV/0!</v>
      </c>
      <c r="G17" s="70"/>
      <c r="H17" s="58" t="e">
        <f aca="false">'Current Form'!L17</f>
        <v>#DIV/0!</v>
      </c>
      <c r="I17" s="71"/>
      <c r="J17" s="22" t="s">
        <v>467</v>
      </c>
      <c r="K17" s="22" t="s">
        <v>468</v>
      </c>
      <c r="R17" s="18"/>
    </row>
    <row r="18" customFormat="false" ht="15.75" hidden="false" customHeight="true" outlineLevel="0" collapsed="false">
      <c r="A18" s="59" t="s">
        <v>162</v>
      </c>
      <c r="B18" s="69" t="e">
        <f aca="false">'SG OTT'!Q18</f>
        <v>#DIV/0!</v>
      </c>
      <c r="C18" s="70" t="e">
        <f aca="false">Class!Q18</f>
        <v>#DIV/0!</v>
      </c>
      <c r="D18" s="70" t="e">
        <f aca="false">'SG APP'!Q18</f>
        <v>#DIV/0!</v>
      </c>
      <c r="E18" s="70" t="e">
        <f aca="false">'SG PUTT'!Q18</f>
        <v>#DIV/0!</v>
      </c>
      <c r="F18" s="70" t="e">
        <f aca="false">'SG ARG'!Q18</f>
        <v>#DIV/0!</v>
      </c>
      <c r="G18" s="70"/>
      <c r="H18" s="58" t="e">
        <f aca="false">'Current Form'!L18</f>
        <v>#DIV/0!</v>
      </c>
      <c r="I18" s="71"/>
      <c r="J18" s="22" t="s">
        <v>467</v>
      </c>
      <c r="K18" s="22" t="s">
        <v>468</v>
      </c>
      <c r="R18" s="18"/>
    </row>
    <row r="19" customFormat="false" ht="15.75" hidden="false" customHeight="true" outlineLevel="0" collapsed="false">
      <c r="A19" s="59" t="s">
        <v>163</v>
      </c>
      <c r="B19" s="69" t="n">
        <f aca="false">'SG OTT'!Q19</f>
        <v>0.5</v>
      </c>
      <c r="C19" s="70" t="n">
        <f aca="false">Class!Q19</f>
        <v>2.94666666666667</v>
      </c>
      <c r="D19" s="70" t="n">
        <f aca="false">'SG APP'!Q19</f>
        <v>0.965</v>
      </c>
      <c r="E19" s="70" t="n">
        <f aca="false">'SG PUTT'!Q19</f>
        <v>0.701666666666667</v>
      </c>
      <c r="F19" s="70" t="n">
        <f aca="false">'SG ARG'!Q19</f>
        <v>0.221666666666667</v>
      </c>
      <c r="G19" s="70"/>
      <c r="H19" s="58" t="n">
        <f aca="false">'Current Form'!L19</f>
        <v>2.81666666666667</v>
      </c>
      <c r="I19" s="71"/>
      <c r="J19" s="22" t="s">
        <v>467</v>
      </c>
      <c r="K19" s="22" t="s">
        <v>468</v>
      </c>
    </row>
    <row r="20" customFormat="false" ht="15.75" hidden="false" customHeight="true" outlineLevel="0" collapsed="false">
      <c r="A20" s="57" t="s">
        <v>164</v>
      </c>
      <c r="B20" s="69" t="n">
        <f aca="false">'SG OTT'!Q20</f>
        <v>-0.444</v>
      </c>
      <c r="C20" s="70" t="n">
        <f aca="false">Class!Q20</f>
        <v>0.005</v>
      </c>
      <c r="D20" s="70" t="n">
        <f aca="false">'SG APP'!Q20</f>
        <v>-0.037</v>
      </c>
      <c r="E20" s="70" t="n">
        <f aca="false">'SG PUTT'!Q20</f>
        <v>-0.502</v>
      </c>
      <c r="F20" s="70" t="n">
        <f aca="false">'SG ARG'!Q20</f>
        <v>-0.073</v>
      </c>
      <c r="G20" s="70" t="n">
        <v>0.36</v>
      </c>
      <c r="H20" s="58" t="n">
        <f aca="false">'Current Form'!L20</f>
        <v>-0.785</v>
      </c>
      <c r="I20" s="71" t="n">
        <v>-0.01</v>
      </c>
      <c r="J20" s="22" t="s">
        <v>137</v>
      </c>
      <c r="K20" s="22" t="s">
        <v>468</v>
      </c>
    </row>
    <row r="21" customFormat="false" ht="15.75" hidden="false" customHeight="true" outlineLevel="0" collapsed="false">
      <c r="A21" s="59" t="s">
        <v>165</v>
      </c>
      <c r="B21" s="69" t="n">
        <f aca="false">'SG OTT'!Q21</f>
        <v>-0.297142857142857</v>
      </c>
      <c r="C21" s="70" t="n">
        <f aca="false">Class!Q21</f>
        <v>0.0614285714285714</v>
      </c>
      <c r="D21" s="70" t="n">
        <f aca="false">'SG APP'!Q21</f>
        <v>0.31125</v>
      </c>
      <c r="E21" s="70" t="n">
        <f aca="false">'SG PUTT'!Q21</f>
        <v>-0.661428571428571</v>
      </c>
      <c r="F21" s="70" t="n">
        <f aca="false">'SG ARG'!Q21</f>
        <v>-0.115714285714286</v>
      </c>
      <c r="G21" s="70" t="n">
        <v>-0.11</v>
      </c>
      <c r="H21" s="58" t="n">
        <f aca="false">'Current Form'!L21</f>
        <v>-0.772</v>
      </c>
      <c r="I21" s="71" t="n">
        <v>0</v>
      </c>
      <c r="J21" s="22" t="s">
        <v>137</v>
      </c>
      <c r="K21" s="22" t="s">
        <v>468</v>
      </c>
    </row>
    <row r="22" customFormat="false" ht="15.75" hidden="false" customHeight="true" outlineLevel="0" collapsed="false">
      <c r="A22" s="57" t="s">
        <v>166</v>
      </c>
      <c r="B22" s="69" t="n">
        <f aca="false">'SG OTT'!Q22</f>
        <v>0.115</v>
      </c>
      <c r="C22" s="70" t="n">
        <f aca="false">Class!Q22</f>
        <v>0.135</v>
      </c>
      <c r="D22" s="70" t="n">
        <f aca="false">'SG APP'!Q22</f>
        <v>0.0475</v>
      </c>
      <c r="E22" s="70" t="n">
        <f aca="false">'SG PUTT'!Q22</f>
        <v>-0.42</v>
      </c>
      <c r="F22" s="70" t="n">
        <f aca="false">'SG ARG'!Q22</f>
        <v>-0.21</v>
      </c>
      <c r="G22" s="70"/>
      <c r="H22" s="58" t="n">
        <f aca="false">'Current Form'!L22</f>
        <v>-0.305</v>
      </c>
      <c r="I22" s="71"/>
      <c r="J22" s="22" t="s">
        <v>467</v>
      </c>
      <c r="K22" s="22" t="s">
        <v>469</v>
      </c>
    </row>
    <row r="23" customFormat="false" ht="15.75" hidden="false" customHeight="true" outlineLevel="0" collapsed="false">
      <c r="A23" s="57" t="s">
        <v>167</v>
      </c>
      <c r="B23" s="69" t="n">
        <f aca="false">'SG OTT'!Q23</f>
        <v>0.298333333333333</v>
      </c>
      <c r="C23" s="70" t="n">
        <f aca="false">Class!Q23</f>
        <v>0.855</v>
      </c>
      <c r="D23" s="70" t="n">
        <f aca="false">'SG APP'!Q23</f>
        <v>0.64</v>
      </c>
      <c r="E23" s="70" t="n">
        <f aca="false">'SG PUTT'!Q23</f>
        <v>0.343333333333333</v>
      </c>
      <c r="F23" s="70" t="n">
        <f aca="false">'SG ARG'!Q23</f>
        <v>0.125</v>
      </c>
      <c r="G23" s="70"/>
      <c r="H23" s="58" t="n">
        <f aca="false">'Current Form'!L23</f>
        <v>1.395</v>
      </c>
      <c r="I23" s="71"/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168</v>
      </c>
      <c r="B24" s="69" t="e">
        <f aca="false">'SG OTT'!Q24</f>
        <v>#DIV/0!</v>
      </c>
      <c r="C24" s="70" t="e">
        <f aca="false">Class!Q24</f>
        <v>#DIV/0!</v>
      </c>
      <c r="D24" s="70" t="e">
        <f aca="false">'SG APP'!Q24</f>
        <v>#DIV/0!</v>
      </c>
      <c r="E24" s="70" t="e">
        <f aca="false">'SG PUTT'!Q24</f>
        <v>#DIV/0!</v>
      </c>
      <c r="F24" s="70" t="e">
        <f aca="false">'SG ARG'!Q24</f>
        <v>#DIV/0!</v>
      </c>
      <c r="G24" s="70"/>
      <c r="H24" s="58" t="e">
        <f aca="false">'Current Form'!L24</f>
        <v>#DIV/0!</v>
      </c>
      <c r="I24" s="71"/>
      <c r="J24" s="22" t="s">
        <v>467</v>
      </c>
      <c r="K24" s="22" t="s">
        <v>468</v>
      </c>
    </row>
    <row r="25" customFormat="false" ht="15.75" hidden="false" customHeight="true" outlineLevel="0" collapsed="false">
      <c r="A25" s="57" t="s">
        <v>169</v>
      </c>
      <c r="B25" s="69" t="n">
        <f aca="false">'SG OTT'!Q25</f>
        <v>0.121428571428571</v>
      </c>
      <c r="C25" s="70" t="n">
        <f aca="false">Class!Q25</f>
        <v>0.174285714285714</v>
      </c>
      <c r="D25" s="70" t="n">
        <f aca="false">'SG APP'!Q25</f>
        <v>-0.0414285714285714</v>
      </c>
      <c r="E25" s="70" t="n">
        <f aca="false">'SG PUTT'!Q25</f>
        <v>0.0385714285714286</v>
      </c>
      <c r="F25" s="70" t="n">
        <f aca="false">'SG ARG'!Q25</f>
        <v>0.26</v>
      </c>
      <c r="G25" s="70" t="n">
        <v>-0.04</v>
      </c>
      <c r="H25" s="58" t="n">
        <f aca="false">'Current Form'!L25</f>
        <v>0.436666666666667</v>
      </c>
      <c r="I25" s="71" t="n">
        <v>0.01</v>
      </c>
      <c r="J25" s="22" t="s">
        <v>137</v>
      </c>
      <c r="K25" s="22" t="s">
        <v>468</v>
      </c>
    </row>
    <row r="26" customFormat="false" ht="15.75" hidden="false" customHeight="true" outlineLevel="0" collapsed="false">
      <c r="A26" s="57" t="s">
        <v>170</v>
      </c>
      <c r="B26" s="69" t="n">
        <f aca="false">'SG OTT'!Q26</f>
        <v>0.3825</v>
      </c>
      <c r="C26" s="70" t="n">
        <f aca="false">Class!Q26</f>
        <v>0.55</v>
      </c>
      <c r="D26" s="70" t="n">
        <f aca="false">'SG APP'!Q26</f>
        <v>0.3175</v>
      </c>
      <c r="E26" s="70" t="n">
        <f aca="false">'SG PUTT'!Q26</f>
        <v>-0.20375</v>
      </c>
      <c r="F26" s="70" t="n">
        <f aca="false">'SG ARG'!Q26</f>
        <v>0.37</v>
      </c>
      <c r="G26" s="70" t="n">
        <v>0.02</v>
      </c>
      <c r="H26" s="58" t="n">
        <f aca="false">'Current Form'!L26</f>
        <v>1.146</v>
      </c>
      <c r="I26" s="71" t="n">
        <v>0.17</v>
      </c>
      <c r="J26" s="22" t="s">
        <v>137</v>
      </c>
      <c r="K26" s="22" t="s">
        <v>468</v>
      </c>
    </row>
    <row r="27" customFormat="false" ht="15.75" hidden="false" customHeight="true" outlineLevel="0" collapsed="false">
      <c r="A27" s="57" t="s">
        <v>171</v>
      </c>
      <c r="B27" s="69" t="n">
        <f aca="false">'SG OTT'!Q27</f>
        <v>0.292857142857143</v>
      </c>
      <c r="C27" s="70" t="n">
        <f aca="false">Class!Q27</f>
        <v>0.787142857142857</v>
      </c>
      <c r="D27" s="70" t="n">
        <f aca="false">'SG APP'!Q27</f>
        <v>0.557142857142857</v>
      </c>
      <c r="E27" s="70" t="n">
        <f aca="false">'SG PUTT'!Q27</f>
        <v>0.377142857142857</v>
      </c>
      <c r="F27" s="70" t="n">
        <f aca="false">'SG ARG'!Q27</f>
        <v>-0.0842857142857143</v>
      </c>
      <c r="G27" s="70"/>
      <c r="H27" s="58" t="n">
        <f aca="false">'Current Form'!L27</f>
        <v>1.19666666666667</v>
      </c>
      <c r="I27" s="71"/>
      <c r="J27" s="22" t="s">
        <v>467</v>
      </c>
      <c r="K27" s="22" t="s">
        <v>469</v>
      </c>
    </row>
    <row r="28" customFormat="false" ht="15.75" hidden="false" customHeight="true" outlineLevel="0" collapsed="false">
      <c r="A28" s="59" t="s">
        <v>172</v>
      </c>
      <c r="B28" s="69" t="n">
        <f aca="false">'SG OTT'!Q28</f>
        <v>0.183333333333333</v>
      </c>
      <c r="C28" s="70" t="n">
        <f aca="false">Class!Q28</f>
        <v>0</v>
      </c>
      <c r="D28" s="70" t="n">
        <f aca="false">'SG APP'!Q28</f>
        <v>-1.34666666666667</v>
      </c>
      <c r="E28" s="70" t="n">
        <f aca="false">'SG PUTT'!Q28</f>
        <v>-0.0766666666666667</v>
      </c>
      <c r="F28" s="70" t="n">
        <f aca="false">'SG ARG'!Q28</f>
        <v>-0.51</v>
      </c>
      <c r="G28" s="70"/>
      <c r="H28" s="58" t="n">
        <f aca="false">'Current Form'!L28</f>
        <v>-0.88</v>
      </c>
      <c r="I28" s="71"/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173</v>
      </c>
      <c r="B29" s="69" t="e">
        <f aca="false">'SG OTT'!Q29</f>
        <v>#DIV/0!</v>
      </c>
      <c r="C29" s="70" t="e">
        <f aca="false">Class!Q29</f>
        <v>#DIV/0!</v>
      </c>
      <c r="D29" s="70" t="e">
        <f aca="false">'SG APP'!Q29</f>
        <v>#DIV/0!</v>
      </c>
      <c r="E29" s="70" t="e">
        <f aca="false">'SG PUTT'!Q29</f>
        <v>#DIV/0!</v>
      </c>
      <c r="F29" s="70" t="e">
        <f aca="false">'SG ARG'!Q29</f>
        <v>#DIV/0!</v>
      </c>
      <c r="G29" s="70"/>
      <c r="H29" s="58" t="e">
        <f aca="false">'Current Form'!L29</f>
        <v>#DIV/0!</v>
      </c>
      <c r="I29" s="71"/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174</v>
      </c>
      <c r="B30" s="69" t="n">
        <f aca="false">'SG OTT'!Q30</f>
        <v>-0.66375</v>
      </c>
      <c r="C30" s="70" t="n">
        <f aca="false">Class!Q30</f>
        <v>0.2275</v>
      </c>
      <c r="D30" s="70" t="n">
        <f aca="false">'SG APP'!Q30</f>
        <v>0.3575</v>
      </c>
      <c r="E30" s="70" t="n">
        <f aca="false">'SG PUTT'!Q30</f>
        <v>0.25</v>
      </c>
      <c r="F30" s="70" t="n">
        <f aca="false">'SG ARG'!Q30</f>
        <v>-0.1375</v>
      </c>
      <c r="G30" s="70" t="n">
        <v>0.42</v>
      </c>
      <c r="H30" s="58" t="n">
        <f aca="false">'Current Form'!L30</f>
        <v>0.616</v>
      </c>
      <c r="I30" s="71" t="n">
        <v>-0.04</v>
      </c>
      <c r="J30" s="22" t="s">
        <v>137</v>
      </c>
      <c r="K30" s="22" t="s">
        <v>468</v>
      </c>
    </row>
    <row r="31" customFormat="false" ht="15.75" hidden="false" customHeight="true" outlineLevel="0" collapsed="false">
      <c r="A31" s="59" t="s">
        <v>175</v>
      </c>
      <c r="B31" s="69" t="n">
        <f aca="false">'SG OTT'!Q31</f>
        <v>-0.19125</v>
      </c>
      <c r="C31" s="70" t="n">
        <f aca="false">Class!Q31</f>
        <v>0.04</v>
      </c>
      <c r="D31" s="70" t="n">
        <f aca="false">'SG APP'!Q31</f>
        <v>0.47375</v>
      </c>
      <c r="E31" s="70" t="n">
        <f aca="false">'SG PUTT'!Q31</f>
        <v>-0.22</v>
      </c>
      <c r="F31" s="70" t="n">
        <f aca="false">'SG ARG'!Q31</f>
        <v>-0.04125</v>
      </c>
      <c r="G31" s="70" t="n">
        <v>-0.03</v>
      </c>
      <c r="H31" s="58" t="n">
        <f aca="false">'Current Form'!L31</f>
        <v>-0.262</v>
      </c>
      <c r="I31" s="71" t="n">
        <v>0.02</v>
      </c>
      <c r="J31" s="22" t="s">
        <v>137</v>
      </c>
      <c r="K31" s="22" t="s">
        <v>468</v>
      </c>
    </row>
    <row r="32" customFormat="false" ht="15.75" hidden="false" customHeight="true" outlineLevel="0" collapsed="false">
      <c r="A32" s="57" t="s">
        <v>176</v>
      </c>
      <c r="B32" s="69" t="n">
        <f aca="false">'SG OTT'!Q32</f>
        <v>0.06</v>
      </c>
      <c r="C32" s="70" t="n">
        <f aca="false">Class!Q32</f>
        <v>2.89857142857143</v>
      </c>
      <c r="D32" s="70" t="n">
        <f aca="false">'SG APP'!Q32</f>
        <v>0.217142857142857</v>
      </c>
      <c r="E32" s="70" t="n">
        <f aca="false">'SG PUTT'!Q32</f>
        <v>0.882857142857143</v>
      </c>
      <c r="F32" s="70" t="n">
        <f aca="false">'SG ARG'!Q32</f>
        <v>0.462857142857143</v>
      </c>
      <c r="G32" s="70"/>
      <c r="H32" s="58" t="n">
        <f aca="false">'Current Form'!L32</f>
        <v>2.012</v>
      </c>
      <c r="I32" s="71"/>
      <c r="J32" s="22" t="s">
        <v>467</v>
      </c>
      <c r="K32" s="22" t="s">
        <v>468</v>
      </c>
    </row>
    <row r="33" customFormat="false" ht="15.75" hidden="false" customHeight="true" outlineLevel="0" collapsed="false">
      <c r="A33" s="57" t="s">
        <v>177</v>
      </c>
      <c r="B33" s="69" t="n">
        <f aca="false">'SG OTT'!Q33</f>
        <v>-0.258888888888889</v>
      </c>
      <c r="C33" s="70" t="n">
        <f aca="false">Class!Q33</f>
        <v>0.532222222222222</v>
      </c>
      <c r="D33" s="70" t="n">
        <f aca="false">'SG APP'!Q33</f>
        <v>0.132222222222222</v>
      </c>
      <c r="E33" s="70" t="n">
        <f aca="false">'SG PUTT'!Q33</f>
        <v>0.736666666666667</v>
      </c>
      <c r="F33" s="70" t="n">
        <f aca="false">'SG ARG'!Q33</f>
        <v>0.304444444444444</v>
      </c>
      <c r="G33" s="70" t="n">
        <v>-0.11</v>
      </c>
      <c r="H33" s="58" t="n">
        <f aca="false">'Current Form'!L33</f>
        <v>0.321666666666667</v>
      </c>
      <c r="I33" s="71" t="n">
        <v>0.05</v>
      </c>
      <c r="J33" s="22" t="s">
        <v>137</v>
      </c>
      <c r="K33" s="22" t="s">
        <v>468</v>
      </c>
    </row>
    <row r="34" customFormat="false" ht="15.75" hidden="false" customHeight="true" outlineLevel="0" collapsed="false">
      <c r="A34" s="59" t="s">
        <v>178</v>
      </c>
      <c r="B34" s="69" t="e">
        <f aca="false">'SG OTT'!Q34</f>
        <v>#DIV/0!</v>
      </c>
      <c r="C34" s="70" t="e">
        <f aca="false">Class!Q34</f>
        <v>#DIV/0!</v>
      </c>
      <c r="D34" s="70" t="e">
        <f aca="false">'SG APP'!Q34</f>
        <v>#DIV/0!</v>
      </c>
      <c r="E34" s="70" t="e">
        <f aca="false">'SG PUTT'!Q34</f>
        <v>#DIV/0!</v>
      </c>
      <c r="F34" s="70" t="e">
        <f aca="false">'SG ARG'!Q34</f>
        <v>#DIV/0!</v>
      </c>
      <c r="G34" s="70"/>
      <c r="H34" s="58" t="e">
        <f aca="false">'Current Form'!L34</f>
        <v>#DIV/0!</v>
      </c>
      <c r="I34" s="71"/>
      <c r="J34" s="22" t="s">
        <v>467</v>
      </c>
      <c r="K34" s="22" t="s">
        <v>468</v>
      </c>
    </row>
    <row r="35" customFormat="false" ht="15.75" hidden="false" customHeight="true" outlineLevel="0" collapsed="false">
      <c r="A35" s="57" t="s">
        <v>179</v>
      </c>
      <c r="B35" s="69" t="n">
        <f aca="false">'SG OTT'!Q35</f>
        <v>0.2</v>
      </c>
      <c r="C35" s="70" t="n">
        <f aca="false">Class!Q35</f>
        <v>0.54</v>
      </c>
      <c r="D35" s="70" t="n">
        <f aca="false">'SG APP'!Q35</f>
        <v>0.522222222222222</v>
      </c>
      <c r="E35" s="70" t="n">
        <f aca="false">'SG PUTT'!Q35</f>
        <v>-0.0388888888888889</v>
      </c>
      <c r="F35" s="70" t="n">
        <f aca="false">'SG ARG'!Q35</f>
        <v>-0.00888888888888889</v>
      </c>
      <c r="G35" s="70"/>
      <c r="H35" s="58" t="n">
        <f aca="false">'Current Form'!L35</f>
        <v>0.745</v>
      </c>
      <c r="I35" s="71"/>
      <c r="J35" s="22" t="s">
        <v>467</v>
      </c>
      <c r="K35" s="22" t="s">
        <v>468</v>
      </c>
    </row>
    <row r="36" customFormat="false" ht="15.75" hidden="false" customHeight="true" outlineLevel="0" collapsed="false">
      <c r="A36" s="57" t="s">
        <v>180</v>
      </c>
      <c r="B36" s="69" t="n">
        <f aca="false">'SG OTT'!Q36</f>
        <v>0.214545454545455</v>
      </c>
      <c r="C36" s="70" t="n">
        <f aca="false">Class!Q36</f>
        <v>0.26</v>
      </c>
      <c r="D36" s="70" t="n">
        <f aca="false">'SG APP'!Q36</f>
        <v>-0.631818181818182</v>
      </c>
      <c r="E36" s="70" t="n">
        <f aca="false">'SG PUTT'!Q36</f>
        <v>0.141818181818182</v>
      </c>
      <c r="F36" s="70" t="n">
        <f aca="false">'SG ARG'!Q36</f>
        <v>-0.192727272727273</v>
      </c>
      <c r="G36" s="70" t="n">
        <v>-0.21</v>
      </c>
      <c r="H36" s="58" t="n">
        <f aca="false">'Current Form'!L36</f>
        <v>-1.4</v>
      </c>
      <c r="I36" s="71" t="n">
        <v>-0.03</v>
      </c>
      <c r="J36" s="22" t="s">
        <v>137</v>
      </c>
      <c r="K36" s="22" t="s">
        <v>468</v>
      </c>
    </row>
    <row r="37" customFormat="false" ht="15.75" hidden="false" customHeight="true" outlineLevel="0" collapsed="false">
      <c r="A37" s="59" t="s">
        <v>181</v>
      </c>
      <c r="B37" s="69" t="n">
        <f aca="false">'SG OTT'!Q37</f>
        <v>-0.51</v>
      </c>
      <c r="C37" s="70" t="n">
        <f aca="false">Class!Q37</f>
        <v>0</v>
      </c>
      <c r="D37" s="70" t="n">
        <f aca="false">'SG APP'!Q37</f>
        <v>0.16</v>
      </c>
      <c r="E37" s="70" t="n">
        <f aca="false">'SG PUTT'!Q37</f>
        <v>-0.06</v>
      </c>
      <c r="F37" s="70" t="n">
        <f aca="false">'SG ARG'!Q37</f>
        <v>-0.07</v>
      </c>
      <c r="G37" s="70"/>
      <c r="H37" s="58" t="e">
        <f aca="false">'Current Form'!L37</f>
        <v>#VALUE!</v>
      </c>
      <c r="I37" s="71"/>
      <c r="J37" s="22" t="s">
        <v>467</v>
      </c>
      <c r="K37" s="22" t="s">
        <v>468</v>
      </c>
    </row>
    <row r="38" customFormat="false" ht="15.75" hidden="false" customHeight="true" outlineLevel="0" collapsed="false">
      <c r="A38" s="57" t="s">
        <v>182</v>
      </c>
      <c r="B38" s="69" t="n">
        <f aca="false">'SG OTT'!Q38</f>
        <v>-0.0514285714285714</v>
      </c>
      <c r="C38" s="70" t="n">
        <f aca="false">Class!Q38</f>
        <v>0.0728571428571429</v>
      </c>
      <c r="D38" s="70" t="n">
        <f aca="false">'SG APP'!Q38</f>
        <v>-0.324285714285714</v>
      </c>
      <c r="E38" s="70" t="n">
        <f aca="false">'SG PUTT'!Q38</f>
        <v>-0.375714285714286</v>
      </c>
      <c r="F38" s="70" t="n">
        <f aca="false">'SG ARG'!Q38</f>
        <v>-0.102857142857143</v>
      </c>
      <c r="G38" s="70"/>
      <c r="H38" s="58" t="n">
        <f aca="false">'Current Form'!L38</f>
        <v>-2.37333333333333</v>
      </c>
      <c r="I38" s="71"/>
      <c r="J38" s="22" t="s">
        <v>467</v>
      </c>
      <c r="K38" s="22" t="s">
        <v>469</v>
      </c>
    </row>
    <row r="39" customFormat="false" ht="15.75" hidden="false" customHeight="true" outlineLevel="0" collapsed="false">
      <c r="A39" s="59" t="s">
        <v>183</v>
      </c>
      <c r="B39" s="69" t="e">
        <f aca="false">'SG OTT'!Q39</f>
        <v>#DIV/0!</v>
      </c>
      <c r="C39" s="70" t="e">
        <f aca="false">Class!Q39</f>
        <v>#DIV/0!</v>
      </c>
      <c r="D39" s="70" t="e">
        <f aca="false">'SG APP'!Q39</f>
        <v>#DIV/0!</v>
      </c>
      <c r="E39" s="70" t="n">
        <f aca="false">'SG PUTT'!Q39</f>
        <v>-0.516</v>
      </c>
      <c r="F39" s="70" t="e">
        <f aca="false">'SG ARG'!Q39</f>
        <v>#DIV/0!</v>
      </c>
      <c r="G39" s="70"/>
      <c r="H39" s="58" t="e">
        <f aca="false">'Current Form'!L39</f>
        <v>#DIV/0!</v>
      </c>
      <c r="I39" s="71"/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184</v>
      </c>
      <c r="B40" s="69" t="n">
        <f aca="false">'SG OTT'!Q40</f>
        <v>-0.111111111111111</v>
      </c>
      <c r="C40" s="70" t="n">
        <f aca="false">Class!Q40</f>
        <v>0.138888888888889</v>
      </c>
      <c r="D40" s="70" t="n">
        <f aca="false">'SG APP'!Q40</f>
        <v>0.48</v>
      </c>
      <c r="E40" s="70" t="n">
        <f aca="false">'SG PUTT'!Q40</f>
        <v>-0.625555555555556</v>
      </c>
      <c r="F40" s="70" t="n">
        <f aca="false">'SG ARG'!Q40</f>
        <v>-0.252222222222222</v>
      </c>
      <c r="G40" s="70" t="n">
        <v>0.34</v>
      </c>
      <c r="H40" s="58" t="n">
        <f aca="false">'Current Form'!L40</f>
        <v>0.464</v>
      </c>
      <c r="I40" s="71" t="n">
        <v>0.08</v>
      </c>
      <c r="J40" s="22" t="s">
        <v>137</v>
      </c>
      <c r="K40" s="22" t="s">
        <v>468</v>
      </c>
    </row>
    <row r="41" customFormat="false" ht="15.75" hidden="false" customHeight="true" outlineLevel="0" collapsed="false">
      <c r="A41" s="57" t="s">
        <v>185</v>
      </c>
      <c r="B41" s="69" t="n">
        <f aca="false">'SG OTT'!Q41</f>
        <v>-0.523333333333333</v>
      </c>
      <c r="C41" s="70" t="n">
        <f aca="false">Class!Q41</f>
        <v>0</v>
      </c>
      <c r="D41" s="70" t="n">
        <f aca="false">'SG APP'!Q41</f>
        <v>-0.443333333333333</v>
      </c>
      <c r="E41" s="70" t="n">
        <f aca="false">'SG PUTT'!Q41</f>
        <v>-0.21</v>
      </c>
      <c r="F41" s="70" t="n">
        <f aca="false">'SG ARG'!Q41</f>
        <v>-0.408333333333333</v>
      </c>
      <c r="G41" s="70" t="n">
        <v>-0.17</v>
      </c>
      <c r="H41" s="58" t="n">
        <f aca="false">'Current Form'!L41</f>
        <v>-2.43333333333333</v>
      </c>
      <c r="I41" s="71" t="n">
        <v>0.14</v>
      </c>
      <c r="J41" s="22" t="s">
        <v>137</v>
      </c>
      <c r="K41" s="22" t="s">
        <v>468</v>
      </c>
    </row>
    <row r="42" customFormat="false" ht="15.75" hidden="false" customHeight="true" outlineLevel="0" collapsed="false">
      <c r="A42" s="59" t="s">
        <v>186</v>
      </c>
      <c r="B42" s="69" t="n">
        <f aca="false">'SG OTT'!Q42</f>
        <v>0.0883333333333333</v>
      </c>
      <c r="C42" s="70" t="n">
        <f aca="false">Class!Q42</f>
        <v>0</v>
      </c>
      <c r="D42" s="70" t="n">
        <f aca="false">'SG APP'!Q42</f>
        <v>-1.04666666666667</v>
      </c>
      <c r="E42" s="70" t="n">
        <f aca="false">'SG PUTT'!Q42</f>
        <v>-0.535</v>
      </c>
      <c r="F42" s="70" t="n">
        <f aca="false">'SG ARG'!Q42</f>
        <v>0.823333333333333</v>
      </c>
      <c r="G42" s="70" t="n">
        <v>0</v>
      </c>
      <c r="H42" s="58" t="n">
        <f aca="false">'Current Form'!L42</f>
        <v>-0.7</v>
      </c>
      <c r="I42" s="71" t="n">
        <v>-0.03</v>
      </c>
      <c r="J42" s="22" t="s">
        <v>137</v>
      </c>
      <c r="K42" s="22" t="s">
        <v>468</v>
      </c>
    </row>
    <row r="43" customFormat="false" ht="15.75" hidden="false" customHeight="true" outlineLevel="0" collapsed="false">
      <c r="A43" s="59" t="s">
        <v>187</v>
      </c>
      <c r="B43" s="69" t="n">
        <f aca="false">'SG OTT'!Q43</f>
        <v>0.6675</v>
      </c>
      <c r="C43" s="70" t="n">
        <f aca="false">Class!Q43</f>
        <v>0.9425</v>
      </c>
      <c r="D43" s="70" t="n">
        <f aca="false">'SG APP'!Q43</f>
        <v>0.1675</v>
      </c>
      <c r="E43" s="70" t="n">
        <f aca="false">'SG PUTT'!Q43</f>
        <v>0.33</v>
      </c>
      <c r="F43" s="70" t="n">
        <f aca="false">'SG ARG'!Q43</f>
        <v>0.0266666666666667</v>
      </c>
      <c r="G43" s="70"/>
      <c r="H43" s="58" t="n">
        <f aca="false">'Current Form'!L43</f>
        <v>1.21</v>
      </c>
      <c r="I43" s="71"/>
      <c r="J43" s="22" t="s">
        <v>467</v>
      </c>
      <c r="K43" s="22" t="s">
        <v>468</v>
      </c>
    </row>
    <row r="44" customFormat="false" ht="15.75" hidden="false" customHeight="true" outlineLevel="0" collapsed="false">
      <c r="A44" s="57" t="s">
        <v>188</v>
      </c>
      <c r="B44" s="69" t="n">
        <f aca="false">'SG OTT'!Q44</f>
        <v>0.488333333333333</v>
      </c>
      <c r="C44" s="70" t="n">
        <f aca="false">Class!Q44</f>
        <v>0.295</v>
      </c>
      <c r="D44" s="70" t="n">
        <f aca="false">'SG APP'!Q44</f>
        <v>-0.958333333333333</v>
      </c>
      <c r="E44" s="70" t="n">
        <f aca="false">'SG PUTT'!Q44</f>
        <v>0.223333333333333</v>
      </c>
      <c r="F44" s="70" t="n">
        <f aca="false">'SG ARG'!Q44</f>
        <v>0.161666666666667</v>
      </c>
      <c r="G44" s="70"/>
      <c r="H44" s="58" t="n">
        <f aca="false">'Current Form'!L44</f>
        <v>-0.37</v>
      </c>
      <c r="I44" s="71"/>
      <c r="J44" s="22" t="s">
        <v>467</v>
      </c>
      <c r="K44" s="22" t="s">
        <v>469</v>
      </c>
    </row>
    <row r="45" customFormat="false" ht="15.75" hidden="false" customHeight="true" outlineLevel="0" collapsed="false">
      <c r="A45" s="59" t="s">
        <v>189</v>
      </c>
      <c r="B45" s="69" t="e">
        <f aca="false">'SG OTT'!Q45</f>
        <v>#DIV/0!</v>
      </c>
      <c r="C45" s="70" t="e">
        <f aca="false">Class!Q45</f>
        <v>#DIV/0!</v>
      </c>
      <c r="D45" s="70" t="e">
        <f aca="false">'SG APP'!Q45</f>
        <v>#DIV/0!</v>
      </c>
      <c r="E45" s="70" t="e">
        <f aca="false">'SG PUTT'!Q45</f>
        <v>#DIV/0!</v>
      </c>
      <c r="F45" s="70" t="e">
        <f aca="false">'SG ARG'!Q45</f>
        <v>#DIV/0!</v>
      </c>
      <c r="G45" s="70"/>
      <c r="H45" s="58" t="e">
        <f aca="false">'Current Form'!L45</f>
        <v>#DIV/0!</v>
      </c>
      <c r="I45" s="71"/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190</v>
      </c>
      <c r="B46" s="69" t="n">
        <f aca="false">'SG OTT'!Q46</f>
        <v>-0.15</v>
      </c>
      <c r="C46" s="70" t="n">
        <f aca="false">Class!Q46</f>
        <v>0.67</v>
      </c>
      <c r="D46" s="70" t="n">
        <f aca="false">'SG APP'!Q46</f>
        <v>0.42</v>
      </c>
      <c r="E46" s="70" t="n">
        <f aca="false">'SG PUTT'!Q46</f>
        <v>1.47</v>
      </c>
      <c r="F46" s="70" t="e">
        <f aca="false">'SG ARG'!Q46</f>
        <v>#VALUE!</v>
      </c>
      <c r="G46" s="70"/>
      <c r="H46" s="58" t="e">
        <f aca="false">'Current Form'!L46</f>
        <v>#VALUE!</v>
      </c>
      <c r="I46" s="71"/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191</v>
      </c>
      <c r="B47" s="69" t="e">
        <f aca="false">'SG OTT'!Q47</f>
        <v>#DIV/0!</v>
      </c>
      <c r="C47" s="70" t="e">
        <f aca="false">Class!Q47</f>
        <v>#DIV/0!</v>
      </c>
      <c r="D47" s="70" t="e">
        <f aca="false">'SG APP'!Q47</f>
        <v>#DIV/0!</v>
      </c>
      <c r="E47" s="70" t="e">
        <f aca="false">'SG PUTT'!Q47</f>
        <v>#DIV/0!</v>
      </c>
      <c r="F47" s="70" t="e">
        <f aca="false">'SG ARG'!Q47</f>
        <v>#DIV/0!</v>
      </c>
      <c r="G47" s="70"/>
      <c r="H47" s="58" t="e">
        <f aca="false">'Current Form'!L47</f>
        <v>#DIV/0!</v>
      </c>
      <c r="I47" s="71"/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192</v>
      </c>
      <c r="B48" s="69" t="n">
        <f aca="false">'SG OTT'!Q48</f>
        <v>0.19125</v>
      </c>
      <c r="C48" s="70" t="n">
        <f aca="false">Class!Q48</f>
        <v>0.1375</v>
      </c>
      <c r="D48" s="70" t="n">
        <f aca="false">'SG APP'!Q48</f>
        <v>-0.36125</v>
      </c>
      <c r="E48" s="70" t="n">
        <f aca="false">'SG PUTT'!Q48</f>
        <v>0.13125</v>
      </c>
      <c r="F48" s="70" t="n">
        <f aca="false">'SG ARG'!Q48</f>
        <v>-0.1275</v>
      </c>
      <c r="G48" s="70" t="n">
        <v>-0.16</v>
      </c>
      <c r="H48" s="58" t="n">
        <f aca="false">'Current Form'!L48</f>
        <v>-0.112</v>
      </c>
      <c r="I48" s="71" t="n">
        <v>0.02</v>
      </c>
      <c r="J48" s="22" t="s">
        <v>137</v>
      </c>
      <c r="K48" s="22" t="s">
        <v>468</v>
      </c>
    </row>
    <row r="49" customFormat="false" ht="15.75" hidden="false" customHeight="true" outlineLevel="0" collapsed="false">
      <c r="A49" s="59" t="s">
        <v>193</v>
      </c>
      <c r="B49" s="69" t="e">
        <f aca="false">'SG OTT'!Q49</f>
        <v>#VALUE!</v>
      </c>
      <c r="C49" s="70" t="e">
        <f aca="false">Class!Q49</f>
        <v>#VALUE!</v>
      </c>
      <c r="D49" s="70" t="e">
        <f aca="false">'SG APP'!Q49</f>
        <v>#VALUE!</v>
      </c>
      <c r="E49" s="70" t="e">
        <f aca="false">'SG PUTT'!Q49</f>
        <v>#VALUE!</v>
      </c>
      <c r="F49" s="70" t="e">
        <f aca="false">'SG ARG'!Q49</f>
        <v>#VALUE!</v>
      </c>
      <c r="G49" s="70"/>
      <c r="H49" s="58" t="e">
        <f aca="false">'Current Form'!L49</f>
        <v>#VALUE!</v>
      </c>
      <c r="I49" s="71"/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194</v>
      </c>
      <c r="B50" s="69" t="n">
        <f aca="false">'SG OTT'!Q50</f>
        <v>-0.79375</v>
      </c>
      <c r="C50" s="70" t="n">
        <f aca="false">Class!Q50</f>
        <v>0.02</v>
      </c>
      <c r="D50" s="70" t="n">
        <f aca="false">'SG APP'!Q50</f>
        <v>-0.15125</v>
      </c>
      <c r="E50" s="70" t="n">
        <f aca="false">'SG PUTT'!Q50</f>
        <v>0.39375</v>
      </c>
      <c r="F50" s="70" t="n">
        <f aca="false">'SG ARG'!Q50</f>
        <v>0.445</v>
      </c>
      <c r="G50" s="70" t="n">
        <v>-0.28</v>
      </c>
      <c r="H50" s="58" t="n">
        <f aca="false">'Current Form'!L50</f>
        <v>-0.296</v>
      </c>
      <c r="I50" s="71" t="n">
        <v>-0.02</v>
      </c>
      <c r="J50" s="22" t="s">
        <v>137</v>
      </c>
      <c r="K50" s="22" t="s">
        <v>468</v>
      </c>
    </row>
    <row r="51" customFormat="false" ht="15.75" hidden="false" customHeight="true" outlineLevel="0" collapsed="false">
      <c r="A51" s="59" t="s">
        <v>195</v>
      </c>
      <c r="B51" s="69" t="n">
        <f aca="false">'SG OTT'!Q51</f>
        <v>0.2</v>
      </c>
      <c r="C51" s="70" t="n">
        <f aca="false">Class!Q51</f>
        <v>0.06</v>
      </c>
      <c r="D51" s="70" t="n">
        <f aca="false">'SG APP'!Q51</f>
        <v>0.345</v>
      </c>
      <c r="E51" s="70" t="n">
        <f aca="false">'SG PUTT'!Q51</f>
        <v>-0.9825</v>
      </c>
      <c r="F51" s="70" t="n">
        <f aca="false">'SG ARG'!Q51</f>
        <v>-0.1225</v>
      </c>
      <c r="G51" s="70"/>
      <c r="H51" s="58" t="n">
        <f aca="false">'Current Form'!L51</f>
        <v>0.025</v>
      </c>
      <c r="I51" s="71"/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196</v>
      </c>
      <c r="B52" s="69" t="n">
        <f aca="false">'SG OTT'!Q52</f>
        <v>-0.9625</v>
      </c>
      <c r="C52" s="70" t="n">
        <f aca="false">Class!Q52</f>
        <v>0.075</v>
      </c>
      <c r="D52" s="70" t="n">
        <f aca="false">'SG APP'!Q52</f>
        <v>-0.07625</v>
      </c>
      <c r="E52" s="70" t="n">
        <f aca="false">'SG PUTT'!Q52</f>
        <v>-0.44625</v>
      </c>
      <c r="F52" s="70" t="n">
        <f aca="false">'SG ARG'!Q52</f>
        <v>0.255</v>
      </c>
      <c r="G52" s="70" t="n">
        <v>-0.18</v>
      </c>
      <c r="H52" s="58" t="n">
        <f aca="false">'Current Form'!L52</f>
        <v>-1.622</v>
      </c>
      <c r="I52" s="71" t="n">
        <v>-0.02</v>
      </c>
      <c r="J52" s="22" t="s">
        <v>137</v>
      </c>
      <c r="K52" s="22" t="s">
        <v>468</v>
      </c>
    </row>
    <row r="53" customFormat="false" ht="15.75" hidden="false" customHeight="true" outlineLevel="0" collapsed="false">
      <c r="A53" s="57" t="s">
        <v>197</v>
      </c>
      <c r="B53" s="69" t="n">
        <f aca="false">'SG OTT'!Q53</f>
        <v>-0.0642857142857143</v>
      </c>
      <c r="C53" s="70" t="n">
        <f aca="false">Class!Q53</f>
        <v>0.0771428571428572</v>
      </c>
      <c r="D53" s="70" t="n">
        <f aca="false">'SG APP'!Q53</f>
        <v>0.111428571428571</v>
      </c>
      <c r="E53" s="70" t="n">
        <f aca="false">'SG PUTT'!Q53</f>
        <v>-1.02714285714286</v>
      </c>
      <c r="F53" s="70" t="n">
        <f aca="false">'SG ARG'!Q53</f>
        <v>0.212857142857143</v>
      </c>
      <c r="G53" s="70"/>
      <c r="H53" s="58" t="n">
        <f aca="false">'Current Form'!L53</f>
        <v>-0.24</v>
      </c>
      <c r="I53" s="71"/>
      <c r="J53" s="22" t="s">
        <v>467</v>
      </c>
      <c r="K53" s="22" t="s">
        <v>469</v>
      </c>
    </row>
    <row r="54" customFormat="false" ht="15.75" hidden="false" customHeight="true" outlineLevel="0" collapsed="false">
      <c r="A54" s="57" t="s">
        <v>198</v>
      </c>
      <c r="B54" s="69" t="n">
        <f aca="false">'SG OTT'!Q54</f>
        <v>-0.0255555555555556</v>
      </c>
      <c r="C54" s="70" t="n">
        <f aca="false">Class!Q54</f>
        <v>0.288888888888889</v>
      </c>
      <c r="D54" s="70" t="n">
        <f aca="false">'SG APP'!Q54</f>
        <v>0.183333333333333</v>
      </c>
      <c r="E54" s="70" t="n">
        <f aca="false">'SG PUTT'!Q54</f>
        <v>0.211111111111111</v>
      </c>
      <c r="F54" s="70" t="n">
        <f aca="false">'SG ARG'!Q54</f>
        <v>0.01</v>
      </c>
      <c r="G54" s="70" t="n">
        <v>0.1</v>
      </c>
      <c r="H54" s="58" t="n">
        <f aca="false">'Current Form'!L54</f>
        <v>0.404</v>
      </c>
      <c r="I54" s="71" t="n">
        <v>0.06</v>
      </c>
      <c r="J54" s="22" t="s">
        <v>137</v>
      </c>
      <c r="K54" s="22" t="s">
        <v>468</v>
      </c>
    </row>
    <row r="55" customFormat="false" ht="15.75" hidden="false" customHeight="true" outlineLevel="0" collapsed="false">
      <c r="A55" s="57" t="s">
        <v>199</v>
      </c>
      <c r="B55" s="69" t="n">
        <f aca="false">'SG OTT'!Q55</f>
        <v>-0.29375</v>
      </c>
      <c r="C55" s="70" t="n">
        <f aca="false">Class!Q55</f>
        <v>0.17</v>
      </c>
      <c r="D55" s="70" t="n">
        <f aca="false">'SG APP'!Q55</f>
        <v>0.04625</v>
      </c>
      <c r="E55" s="70" t="n">
        <f aca="false">'SG PUTT'!Q55</f>
        <v>0.495</v>
      </c>
      <c r="F55" s="70" t="n">
        <f aca="false">'SG ARG'!Q55</f>
        <v>-0.2375</v>
      </c>
      <c r="G55" s="70" t="n">
        <v>-0.01</v>
      </c>
      <c r="H55" s="58" t="n">
        <f aca="false">'Current Form'!L55</f>
        <v>0.084</v>
      </c>
      <c r="I55" s="71" t="n">
        <v>0.04</v>
      </c>
      <c r="J55" s="22" t="s">
        <v>137</v>
      </c>
      <c r="K55" s="22" t="s">
        <v>468</v>
      </c>
    </row>
    <row r="56" customFormat="false" ht="15.75" hidden="false" customHeight="true" outlineLevel="0" collapsed="false">
      <c r="A56" s="57" t="s">
        <v>200</v>
      </c>
      <c r="B56" s="69" t="n">
        <f aca="false">'SG OTT'!Q56</f>
        <v>-0.434285714285714</v>
      </c>
      <c r="C56" s="70" t="n">
        <f aca="false">Class!Q56</f>
        <v>0.174</v>
      </c>
      <c r="D56" s="70" t="n">
        <f aca="false">'SG APP'!Q56</f>
        <v>0.278571428571429</v>
      </c>
      <c r="E56" s="70" t="n">
        <f aca="false">'SG PUTT'!Q56</f>
        <v>-0.212857142857143</v>
      </c>
      <c r="F56" s="70" t="n">
        <f aca="false">'SG ARG'!Q56</f>
        <v>0.03</v>
      </c>
      <c r="G56" s="70"/>
      <c r="H56" s="58" t="n">
        <f aca="false">'Current Form'!L56</f>
        <v>0.306666666666667</v>
      </c>
      <c r="I56" s="71"/>
      <c r="J56" s="22" t="s">
        <v>467</v>
      </c>
      <c r="K56" s="22" t="s">
        <v>469</v>
      </c>
    </row>
    <row r="57" customFormat="false" ht="15.75" hidden="false" customHeight="true" outlineLevel="0" collapsed="false">
      <c r="A57" s="57" t="s">
        <v>201</v>
      </c>
      <c r="B57" s="69" t="n">
        <f aca="false">'SG OTT'!Q57</f>
        <v>0.3275</v>
      </c>
      <c r="C57" s="70" t="n">
        <f aca="false">Class!Q57</f>
        <v>0.20875</v>
      </c>
      <c r="D57" s="70" t="n">
        <f aca="false">'SG APP'!Q57</f>
        <v>-0.27625</v>
      </c>
      <c r="E57" s="70" t="n">
        <f aca="false">'SG PUTT'!Q57</f>
        <v>-0.2025</v>
      </c>
      <c r="F57" s="70" t="n">
        <f aca="false">'SG ARG'!Q57</f>
        <v>0.4575</v>
      </c>
      <c r="G57" s="70" t="n">
        <v>0.04</v>
      </c>
      <c r="H57" s="58" t="n">
        <f aca="false">'Current Form'!L57</f>
        <v>0.038</v>
      </c>
      <c r="I57" s="71" t="n">
        <v>0.24</v>
      </c>
      <c r="J57" s="22" t="s">
        <v>137</v>
      </c>
      <c r="K57" s="22" t="s">
        <v>468</v>
      </c>
    </row>
    <row r="58" customFormat="false" ht="15.75" hidden="false" customHeight="true" outlineLevel="0" collapsed="false">
      <c r="A58" s="59" t="s">
        <v>202</v>
      </c>
      <c r="B58" s="69" t="n">
        <f aca="false">'SG OTT'!Q58</f>
        <v>-0.43</v>
      </c>
      <c r="C58" s="70" t="n">
        <f aca="false">Class!Q58</f>
        <v>0.296666666666667</v>
      </c>
      <c r="D58" s="70" t="n">
        <f aca="false">'SG APP'!Q58</f>
        <v>0.0833333333333333</v>
      </c>
      <c r="E58" s="70" t="n">
        <f aca="false">'SG PUTT'!Q58</f>
        <v>0.236666666666667</v>
      </c>
      <c r="F58" s="70" t="n">
        <f aca="false">'SG ARG'!Q58</f>
        <v>0.403333333333333</v>
      </c>
      <c r="G58" s="70"/>
      <c r="H58" s="58" t="e">
        <f aca="false">'Current Form'!L58</f>
        <v>#VALUE!</v>
      </c>
      <c r="I58" s="71"/>
      <c r="J58" s="22" t="s">
        <v>467</v>
      </c>
      <c r="K58" s="22" t="s">
        <v>468</v>
      </c>
    </row>
    <row r="59" customFormat="false" ht="15.75" hidden="false" customHeight="true" outlineLevel="0" collapsed="false">
      <c r="A59" s="57" t="s">
        <v>203</v>
      </c>
      <c r="B59" s="69" t="n">
        <f aca="false">'SG OTT'!Q59</f>
        <v>0.29</v>
      </c>
      <c r="C59" s="70" t="n">
        <f aca="false">Class!Q59</f>
        <v>0.141666666666667</v>
      </c>
      <c r="D59" s="70" t="n">
        <f aca="false">'SG APP'!Q59</f>
        <v>0.336666666666667</v>
      </c>
      <c r="E59" s="70" t="n">
        <f aca="false">'SG PUTT'!Q59</f>
        <v>-0.0766666666666667</v>
      </c>
      <c r="F59" s="70" t="n">
        <f aca="false">'SG ARG'!Q59</f>
        <v>-0.0933333333333333</v>
      </c>
      <c r="G59" s="70"/>
      <c r="H59" s="58" t="n">
        <f aca="false">'Current Form'!L59</f>
        <v>0.495</v>
      </c>
      <c r="I59" s="71"/>
      <c r="J59" s="22" t="s">
        <v>467</v>
      </c>
      <c r="K59" s="22" t="s">
        <v>469</v>
      </c>
    </row>
    <row r="60" customFormat="false" ht="15.75" hidden="false" customHeight="true" outlineLevel="0" collapsed="false">
      <c r="A60" s="59" t="s">
        <v>204</v>
      </c>
      <c r="B60" s="69" t="n">
        <f aca="false">'SG OTT'!Q60</f>
        <v>0.285</v>
      </c>
      <c r="C60" s="70" t="n">
        <f aca="false">Class!Q60</f>
        <v>0.1325</v>
      </c>
      <c r="D60" s="70" t="n">
        <f aca="false">'SG APP'!Q60</f>
        <v>-0.00875</v>
      </c>
      <c r="E60" s="70" t="n">
        <f aca="false">'SG PUTT'!Q60</f>
        <v>-0.50875</v>
      </c>
      <c r="F60" s="70" t="n">
        <f aca="false">'SG ARG'!Q60</f>
        <v>0.35375</v>
      </c>
      <c r="G60" s="70" t="n">
        <v>-0.23</v>
      </c>
      <c r="H60" s="58" t="n">
        <f aca="false">'Current Form'!L60</f>
        <v>-0.216</v>
      </c>
      <c r="I60" s="71" t="n">
        <v>-0.01</v>
      </c>
      <c r="J60" s="22" t="s">
        <v>137</v>
      </c>
      <c r="K60" s="22" t="s">
        <v>468</v>
      </c>
    </row>
    <row r="61" customFormat="false" ht="15.75" hidden="false" customHeight="true" outlineLevel="0" collapsed="false">
      <c r="A61" s="59" t="s">
        <v>205</v>
      </c>
      <c r="B61" s="69" t="n">
        <f aca="false">'SG OTT'!Q61</f>
        <v>0.34625</v>
      </c>
      <c r="C61" s="70" t="n">
        <f aca="false">Class!Q61</f>
        <v>0.15125</v>
      </c>
      <c r="D61" s="70" t="n">
        <f aca="false">'SG APP'!Q61</f>
        <v>0.1125</v>
      </c>
      <c r="E61" s="70" t="n">
        <f aca="false">'SG PUTT'!Q61</f>
        <v>-0.07125</v>
      </c>
      <c r="F61" s="70" t="n">
        <f aca="false">'SG ARG'!Q61</f>
        <v>-0.09375</v>
      </c>
      <c r="G61" s="70" t="n">
        <v>-0.08</v>
      </c>
      <c r="H61" s="58" t="n">
        <f aca="false">'Current Form'!L61</f>
        <v>0.27</v>
      </c>
      <c r="I61" s="71" t="n">
        <v>0.03</v>
      </c>
      <c r="J61" s="22" t="s">
        <v>137</v>
      </c>
      <c r="K61" s="22" t="s">
        <v>468</v>
      </c>
    </row>
    <row r="62" customFormat="false" ht="15.75" hidden="false" customHeight="true" outlineLevel="0" collapsed="false">
      <c r="A62" s="59" t="s">
        <v>206</v>
      </c>
      <c r="B62" s="69" t="n">
        <f aca="false">'SG OTT'!Q62</f>
        <v>0.31875</v>
      </c>
      <c r="C62" s="70" t="n">
        <f aca="false">Class!Q62</f>
        <v>0.24625</v>
      </c>
      <c r="D62" s="70" t="n">
        <f aca="false">'SG APP'!Q62</f>
        <v>-0.6825</v>
      </c>
      <c r="E62" s="70" t="n">
        <f aca="false">'SG PUTT'!Q62</f>
        <v>-0.245</v>
      </c>
      <c r="F62" s="70" t="n">
        <f aca="false">'SG ARG'!Q62</f>
        <v>-0.10125</v>
      </c>
      <c r="G62" s="70" t="n">
        <v>-0.09</v>
      </c>
      <c r="H62" s="58" t="n">
        <f aca="false">'Current Form'!L62</f>
        <v>-1.66</v>
      </c>
      <c r="I62" s="71" t="n">
        <v>-0.02</v>
      </c>
      <c r="J62" s="22" t="s">
        <v>137</v>
      </c>
      <c r="K62" s="22" t="s">
        <v>468</v>
      </c>
    </row>
    <row r="63" customFormat="false" ht="15.75" hidden="false" customHeight="true" outlineLevel="0" collapsed="false">
      <c r="A63" s="57" t="s">
        <v>207</v>
      </c>
      <c r="B63" s="69" t="n">
        <f aca="false">'SG OTT'!Q63</f>
        <v>0.58</v>
      </c>
      <c r="C63" s="70" t="n">
        <f aca="false">Class!Q63</f>
        <v>1.07625</v>
      </c>
      <c r="D63" s="70" t="n">
        <f aca="false">'SG APP'!Q63</f>
        <v>1.02625</v>
      </c>
      <c r="E63" s="70" t="n">
        <f aca="false">'SG PUTT'!Q63</f>
        <v>-0.25</v>
      </c>
      <c r="F63" s="70" t="n">
        <f aca="false">'SG ARG'!Q63</f>
        <v>-0.01125</v>
      </c>
      <c r="G63" s="70" t="n">
        <v>0.13</v>
      </c>
      <c r="H63" s="58" t="n">
        <f aca="false">'Current Form'!L63</f>
        <v>0.984</v>
      </c>
      <c r="I63" s="71" t="n">
        <v>-0.04</v>
      </c>
      <c r="J63" s="22" t="s">
        <v>137</v>
      </c>
      <c r="K63" s="22" t="s">
        <v>468</v>
      </c>
    </row>
    <row r="64" customFormat="false" ht="15.75" hidden="false" customHeight="true" outlineLevel="0" collapsed="false">
      <c r="A64" s="57" t="s">
        <v>208</v>
      </c>
      <c r="B64" s="69" t="n">
        <f aca="false">'SG OTT'!Q64</f>
        <v>0.0933333333333333</v>
      </c>
      <c r="C64" s="70" t="n">
        <f aca="false">Class!Q64</f>
        <v>2.18333333333333</v>
      </c>
      <c r="D64" s="70" t="n">
        <f aca="false">'SG APP'!Q64</f>
        <v>0.946666666666667</v>
      </c>
      <c r="E64" s="70" t="n">
        <f aca="false">'SG PUTT'!Q64</f>
        <v>0.13</v>
      </c>
      <c r="F64" s="70" t="n">
        <f aca="false">'SG ARG'!Q64</f>
        <v>0.67</v>
      </c>
      <c r="G64" s="70"/>
      <c r="H64" s="58" t="n">
        <f aca="false">'Current Form'!L64</f>
        <v>2.085</v>
      </c>
      <c r="I64" s="71"/>
      <c r="J64" s="22" t="s">
        <v>467</v>
      </c>
      <c r="K64" s="22" t="s">
        <v>468</v>
      </c>
    </row>
    <row r="65" customFormat="false" ht="15.75" hidden="false" customHeight="true" outlineLevel="0" collapsed="false">
      <c r="A65" s="57" t="s">
        <v>209</v>
      </c>
      <c r="B65" s="69" t="n">
        <f aca="false">'SG OTT'!Q65</f>
        <v>0.631428571428572</v>
      </c>
      <c r="C65" s="70" t="n">
        <f aca="false">Class!Q65</f>
        <v>1.95857142857143</v>
      </c>
      <c r="D65" s="70" t="n">
        <f aca="false">'SG APP'!Q65</f>
        <v>0.475714285714286</v>
      </c>
      <c r="E65" s="70" t="n">
        <f aca="false">'SG PUTT'!Q65</f>
        <v>0.512857142857143</v>
      </c>
      <c r="F65" s="70" t="n">
        <f aca="false">'SG ARG'!Q65</f>
        <v>0.42</v>
      </c>
      <c r="G65" s="70"/>
      <c r="H65" s="58" t="n">
        <f aca="false">'Current Form'!L65</f>
        <v>2.1675</v>
      </c>
      <c r="I65" s="71"/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210</v>
      </c>
      <c r="B66" s="69" t="e">
        <f aca="false">'SG OTT'!Q66</f>
        <v>#DIV/0!</v>
      </c>
      <c r="C66" s="70" t="e">
        <f aca="false">Class!Q66</f>
        <v>#DIV/0!</v>
      </c>
      <c r="D66" s="70" t="e">
        <f aca="false">'SG APP'!Q66</f>
        <v>#DIV/0!</v>
      </c>
      <c r="E66" s="70" t="e">
        <f aca="false">'SG PUTT'!Q66</f>
        <v>#DIV/0!</v>
      </c>
      <c r="F66" s="70" t="e">
        <f aca="false">'SG ARG'!Q66</f>
        <v>#DIV/0!</v>
      </c>
      <c r="G66" s="70"/>
      <c r="H66" s="58" t="e">
        <f aca="false">'Current Form'!L66</f>
        <v>#DIV/0!</v>
      </c>
      <c r="I66" s="71"/>
      <c r="J66" s="22" t="s">
        <v>467</v>
      </c>
      <c r="K66" s="22" t="s">
        <v>468</v>
      </c>
    </row>
    <row r="67" customFormat="false" ht="15.75" hidden="false" customHeight="true" outlineLevel="0" collapsed="false">
      <c r="A67" s="57" t="s">
        <v>211</v>
      </c>
      <c r="B67" s="69" t="n">
        <f aca="false">'SG OTT'!Q67</f>
        <v>-0.3</v>
      </c>
      <c r="C67" s="70" t="n">
        <f aca="false">Class!Q67</f>
        <v>0.024</v>
      </c>
      <c r="D67" s="70" t="n">
        <f aca="false">'SG APP'!Q67</f>
        <v>-0.136</v>
      </c>
      <c r="E67" s="70" t="n">
        <f aca="false">'SG PUTT'!Q67</f>
        <v>-0.314</v>
      </c>
      <c r="F67" s="70" t="n">
        <f aca="false">'SG ARG'!Q67</f>
        <v>-0.198</v>
      </c>
      <c r="G67" s="70"/>
      <c r="H67" s="58" t="n">
        <f aca="false">'Current Form'!L67</f>
        <v>-0.85</v>
      </c>
      <c r="I67" s="71"/>
      <c r="J67" s="22" t="s">
        <v>467</v>
      </c>
      <c r="K67" s="22" t="s">
        <v>469</v>
      </c>
    </row>
    <row r="68" customFormat="false" ht="15.75" hidden="false" customHeight="true" outlineLevel="0" collapsed="false">
      <c r="A68" s="59" t="s">
        <v>212</v>
      </c>
      <c r="B68" s="69" t="n">
        <f aca="false">'SG OTT'!Q68</f>
        <v>0.3775</v>
      </c>
      <c r="C68" s="70" t="n">
        <f aca="false">Class!Q68</f>
        <v>0.675</v>
      </c>
      <c r="D68" s="70" t="n">
        <f aca="false">'SG APP'!Q68</f>
        <v>0.20125</v>
      </c>
      <c r="E68" s="70" t="n">
        <f aca="false">'SG PUTT'!Q68</f>
        <v>0.085</v>
      </c>
      <c r="F68" s="70" t="n">
        <f aca="false">'SG ARG'!Q68</f>
        <v>0.01875</v>
      </c>
      <c r="G68" s="70"/>
      <c r="H68" s="58" t="n">
        <f aca="false">'Current Form'!L68</f>
        <v>0.9925</v>
      </c>
      <c r="I68" s="71"/>
      <c r="J68" s="22" t="s">
        <v>467</v>
      </c>
      <c r="K68" s="22" t="s">
        <v>468</v>
      </c>
    </row>
    <row r="69" customFormat="false" ht="15.75" hidden="false" customHeight="true" outlineLevel="0" collapsed="false">
      <c r="A69" s="57" t="s">
        <v>213</v>
      </c>
      <c r="B69" s="69" t="n">
        <f aca="false">'SG OTT'!Q69</f>
        <v>0.451428571428571</v>
      </c>
      <c r="C69" s="70" t="n">
        <f aca="false">Class!Q69</f>
        <v>0.701428571428571</v>
      </c>
      <c r="D69" s="70" t="n">
        <f aca="false">'SG APP'!Q69</f>
        <v>0.507142857142857</v>
      </c>
      <c r="E69" s="70" t="n">
        <f aca="false">'SG PUTT'!Q69</f>
        <v>0.225714285714286</v>
      </c>
      <c r="F69" s="70" t="n">
        <f aca="false">'SG ARG'!Q69</f>
        <v>-0.0857142857142857</v>
      </c>
      <c r="G69" s="70"/>
      <c r="H69" s="58" t="n">
        <f aca="false">'Current Form'!L69</f>
        <v>1.585</v>
      </c>
      <c r="I69" s="71"/>
      <c r="J69" s="22" t="s">
        <v>467</v>
      </c>
      <c r="K69" s="22" t="s">
        <v>468</v>
      </c>
    </row>
    <row r="70" customFormat="false" ht="15.75" hidden="false" customHeight="true" outlineLevel="0" collapsed="false">
      <c r="A70" s="57" t="s">
        <v>214</v>
      </c>
      <c r="B70" s="69" t="n">
        <f aca="false">'SG OTT'!Q70</f>
        <v>-0.201666666666667</v>
      </c>
      <c r="C70" s="70" t="n">
        <f aca="false">Class!Q70</f>
        <v>0.00833333333333333</v>
      </c>
      <c r="D70" s="70" t="n">
        <f aca="false">'SG APP'!Q70</f>
        <v>-0.491666666666667</v>
      </c>
      <c r="E70" s="70" t="n">
        <f aca="false">'SG PUTT'!Q70</f>
        <v>-0.423333333333333</v>
      </c>
      <c r="F70" s="70" t="n">
        <f aca="false">'SG ARG'!Q70</f>
        <v>0.251666666666667</v>
      </c>
      <c r="G70" s="70"/>
      <c r="H70" s="58" t="n">
        <f aca="false">'Current Form'!L70</f>
        <v>-0.25</v>
      </c>
      <c r="I70" s="71"/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215</v>
      </c>
      <c r="B71" s="69" t="e">
        <f aca="false">'SG OTT'!Q71</f>
        <v>#DIV/0!</v>
      </c>
      <c r="C71" s="70" t="e">
        <f aca="false">Class!Q71</f>
        <v>#DIV/0!</v>
      </c>
      <c r="D71" s="70" t="e">
        <f aca="false">'SG APP'!Q71</f>
        <v>#DIV/0!</v>
      </c>
      <c r="E71" s="70" t="e">
        <f aca="false">'SG PUTT'!Q71</f>
        <v>#DIV/0!</v>
      </c>
      <c r="F71" s="70" t="e">
        <f aca="false">'SG ARG'!Q71</f>
        <v>#DIV/0!</v>
      </c>
      <c r="G71" s="70"/>
      <c r="H71" s="58" t="e">
        <f aca="false">'Current Form'!L71</f>
        <v>#DIV/0!</v>
      </c>
      <c r="I71" s="71"/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216</v>
      </c>
      <c r="B72" s="69" t="n">
        <f aca="false">'SG OTT'!Q72</f>
        <v>-0.07125</v>
      </c>
      <c r="C72" s="70" t="n">
        <f aca="false">Class!Q72</f>
        <v>0.1225</v>
      </c>
      <c r="D72" s="70" t="n">
        <f aca="false">'SG APP'!Q72</f>
        <v>-0.015</v>
      </c>
      <c r="E72" s="70" t="n">
        <f aca="false">'SG PUTT'!Q72</f>
        <v>-0.2</v>
      </c>
      <c r="F72" s="70" t="n">
        <f aca="false">'SG ARG'!Q72</f>
        <v>-0.34375</v>
      </c>
      <c r="G72" s="70" t="n">
        <v>0.28</v>
      </c>
      <c r="H72" s="58" t="n">
        <f aca="false">'Current Form'!L72</f>
        <v>-0.84</v>
      </c>
      <c r="I72" s="71" t="n">
        <v>0.2</v>
      </c>
      <c r="J72" s="22" t="s">
        <v>137</v>
      </c>
      <c r="K72" s="22" t="s">
        <v>468</v>
      </c>
    </row>
    <row r="73" customFormat="false" ht="15.75" hidden="false" customHeight="true" outlineLevel="0" collapsed="false">
      <c r="A73" s="57" t="s">
        <v>217</v>
      </c>
      <c r="B73" s="69" t="n">
        <f aca="false">'SG OTT'!Q73</f>
        <v>0.34</v>
      </c>
      <c r="C73" s="70" t="n">
        <f aca="false">Class!Q73</f>
        <v>0.782222222222222</v>
      </c>
      <c r="D73" s="70" t="n">
        <f aca="false">'SG APP'!Q73</f>
        <v>0.258888888888889</v>
      </c>
      <c r="E73" s="70" t="n">
        <f aca="false">'SG PUTT'!Q73</f>
        <v>0.45</v>
      </c>
      <c r="F73" s="70" t="n">
        <f aca="false">'SG ARG'!Q73</f>
        <v>-0.0144444444444445</v>
      </c>
      <c r="G73" s="70" t="n">
        <v>0.07</v>
      </c>
      <c r="H73" s="58" t="n">
        <f aca="false">'Current Form'!L73</f>
        <v>1.238</v>
      </c>
      <c r="I73" s="71" t="n">
        <v>-0.03</v>
      </c>
      <c r="J73" s="22" t="s">
        <v>137</v>
      </c>
      <c r="K73" s="22" t="s">
        <v>468</v>
      </c>
    </row>
    <row r="74" customFormat="false" ht="15.75" hidden="false" customHeight="true" outlineLevel="0" collapsed="false">
      <c r="A74" s="57" t="s">
        <v>218</v>
      </c>
      <c r="B74" s="69" t="n">
        <f aca="false">'SG OTT'!Q74</f>
        <v>0.584285714285714</v>
      </c>
      <c r="C74" s="70" t="n">
        <f aca="false">Class!Q74</f>
        <v>0.555714285714286</v>
      </c>
      <c r="D74" s="70" t="n">
        <f aca="false">'SG APP'!Q74</f>
        <v>0.164285714285714</v>
      </c>
      <c r="E74" s="70" t="n">
        <f aca="false">'SG PUTT'!Q74</f>
        <v>0.0385714285714286</v>
      </c>
      <c r="F74" s="70" t="n">
        <f aca="false">'SG ARG'!Q74</f>
        <v>0.197142857142857</v>
      </c>
      <c r="G74" s="70" t="n">
        <v>0.11</v>
      </c>
      <c r="H74" s="58" t="n">
        <f aca="false">'Current Form'!L74</f>
        <v>1.27</v>
      </c>
      <c r="I74" s="71" t="n">
        <v>0.07</v>
      </c>
      <c r="J74" s="22" t="s">
        <v>137</v>
      </c>
      <c r="K74" s="22" t="s">
        <v>468</v>
      </c>
    </row>
    <row r="75" customFormat="false" ht="15.75" hidden="false" customHeight="true" outlineLevel="0" collapsed="false">
      <c r="A75" s="59" t="s">
        <v>219</v>
      </c>
      <c r="B75" s="69" t="n">
        <f aca="false">'SG OTT'!Q75</f>
        <v>-0.009</v>
      </c>
      <c r="C75" s="70" t="n">
        <f aca="false">Class!Q75</f>
        <v>0.248</v>
      </c>
      <c r="D75" s="70" t="n">
        <f aca="false">'SG APP'!Q75</f>
        <v>0.506</v>
      </c>
      <c r="E75" s="70" t="n">
        <f aca="false">'SG PUTT'!Q75</f>
        <v>-0.843</v>
      </c>
      <c r="F75" s="70" t="n">
        <f aca="false">'SG ARG'!Q75</f>
        <v>-0.078</v>
      </c>
      <c r="G75" s="70" t="n">
        <v>0.35</v>
      </c>
      <c r="H75" s="58" t="n">
        <f aca="false">'Current Form'!L75</f>
        <v>-0.591666666666667</v>
      </c>
      <c r="I75" s="71" t="n">
        <v>0.18</v>
      </c>
      <c r="J75" s="22" t="s">
        <v>137</v>
      </c>
      <c r="K75" s="22" t="s">
        <v>468</v>
      </c>
    </row>
    <row r="76" customFormat="false" ht="15.75" hidden="false" customHeight="true" outlineLevel="0" collapsed="false">
      <c r="A76" s="59" t="s">
        <v>220</v>
      </c>
      <c r="B76" s="69" t="e">
        <f aca="false">'SG OTT'!Q76</f>
        <v>#DIV/0!</v>
      </c>
      <c r="C76" s="70" t="e">
        <f aca="false">Class!Q76</f>
        <v>#DIV/0!</v>
      </c>
      <c r="D76" s="70" t="e">
        <f aca="false">'SG APP'!Q76</f>
        <v>#DIV/0!</v>
      </c>
      <c r="E76" s="70" t="e">
        <f aca="false">'SG PUTT'!Q76</f>
        <v>#DIV/0!</v>
      </c>
      <c r="F76" s="70" t="e">
        <f aca="false">'SG ARG'!Q76</f>
        <v>#DIV/0!</v>
      </c>
      <c r="G76" s="70"/>
      <c r="H76" s="58" t="e">
        <f aca="false">'Current Form'!L76</f>
        <v>#DIV/0!</v>
      </c>
      <c r="I76" s="71"/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221</v>
      </c>
      <c r="B77" s="69" t="n">
        <f aca="false">'SG OTT'!Q77</f>
        <v>0.52</v>
      </c>
      <c r="C77" s="70" t="n">
        <f aca="false">Class!Q77</f>
        <v>0</v>
      </c>
      <c r="D77" s="70" t="n">
        <f aca="false">'SG APP'!Q77</f>
        <v>-0.66</v>
      </c>
      <c r="E77" s="70" t="n">
        <f aca="false">'SG PUTT'!Q77</f>
        <v>-1.34</v>
      </c>
      <c r="F77" s="70" t="n">
        <f aca="false">'SG ARG'!Q77</f>
        <v>0.22</v>
      </c>
      <c r="G77" s="70"/>
      <c r="H77" s="58" t="e">
        <f aca="false">'Current Form'!L77</f>
        <v>#VALUE!</v>
      </c>
      <c r="I77" s="71"/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222</v>
      </c>
      <c r="B78" s="69" t="n">
        <f aca="false">'SG OTT'!Q78</f>
        <v>0.27</v>
      </c>
      <c r="C78" s="70" t="n">
        <f aca="false">Class!Q78</f>
        <v>0</v>
      </c>
      <c r="D78" s="70" t="n">
        <f aca="false">'SG APP'!Q78</f>
        <v>0.375</v>
      </c>
      <c r="E78" s="70" t="n">
        <f aca="false">'SG PUTT'!Q78</f>
        <v>-0.39</v>
      </c>
      <c r="F78" s="70" t="n">
        <f aca="false">'SG ARG'!Q78</f>
        <v>-0.16</v>
      </c>
      <c r="G78" s="70"/>
      <c r="H78" s="58" t="n">
        <f aca="false">'Current Form'!L78</f>
        <v>0.06</v>
      </c>
      <c r="I78" s="71"/>
      <c r="J78" s="22" t="s">
        <v>467</v>
      </c>
      <c r="K78" s="22" t="s">
        <v>468</v>
      </c>
    </row>
    <row r="79" customFormat="false" ht="15.75" hidden="false" customHeight="true" outlineLevel="0" collapsed="false">
      <c r="A79" s="57" t="s">
        <v>223</v>
      </c>
      <c r="B79" s="69" t="n">
        <f aca="false">'SG OTT'!Q79</f>
        <v>0.79625</v>
      </c>
      <c r="C79" s="70" t="n">
        <f aca="false">Class!Q79</f>
        <v>1.08</v>
      </c>
      <c r="D79" s="70" t="n">
        <f aca="false">'SG APP'!Q79</f>
        <v>0.4575</v>
      </c>
      <c r="E79" s="70" t="n">
        <f aca="false">'SG PUTT'!Q79</f>
        <v>0.5575</v>
      </c>
      <c r="F79" s="70" t="n">
        <f aca="false">'SG ARG'!Q79</f>
        <v>-0.16875</v>
      </c>
      <c r="G79" s="70"/>
      <c r="H79" s="58" t="n">
        <f aca="false">'Current Form'!L79</f>
        <v>1.454</v>
      </c>
      <c r="I79" s="71"/>
      <c r="J79" s="22" t="s">
        <v>467</v>
      </c>
      <c r="K79" s="22" t="s">
        <v>468</v>
      </c>
    </row>
    <row r="80" customFormat="false" ht="15.75" hidden="false" customHeight="true" outlineLevel="0" collapsed="false">
      <c r="A80" s="57" t="s">
        <v>224</v>
      </c>
      <c r="B80" s="69" t="n">
        <f aca="false">'SG OTT'!Q80</f>
        <v>0.244545454545455</v>
      </c>
      <c r="C80" s="70" t="n">
        <f aca="false">Class!Q80</f>
        <v>0.251818181818182</v>
      </c>
      <c r="D80" s="70" t="n">
        <f aca="false">'SG APP'!Q80</f>
        <v>-0.648181818181818</v>
      </c>
      <c r="E80" s="70" t="n">
        <f aca="false">'SG PUTT'!Q80</f>
        <v>0.283636363636364</v>
      </c>
      <c r="F80" s="70" t="n">
        <f aca="false">'SG ARG'!Q80</f>
        <v>0.0309090909090909</v>
      </c>
      <c r="G80" s="70" t="n">
        <v>-0.27</v>
      </c>
      <c r="H80" s="58" t="n">
        <f aca="false">'Current Form'!L80</f>
        <v>-0.143333333333333</v>
      </c>
      <c r="I80" s="71" t="n">
        <v>0.03</v>
      </c>
      <c r="J80" s="22" t="s">
        <v>137</v>
      </c>
      <c r="K80" s="22" t="s">
        <v>468</v>
      </c>
    </row>
    <row r="81" customFormat="false" ht="15.75" hidden="false" customHeight="true" outlineLevel="0" collapsed="false">
      <c r="A81" s="59" t="s">
        <v>225</v>
      </c>
      <c r="B81" s="69" t="n">
        <f aca="false">'SG OTT'!Q81</f>
        <v>0.151111111111111</v>
      </c>
      <c r="C81" s="70" t="n">
        <f aca="false">Class!Q81</f>
        <v>1.03777777777778</v>
      </c>
      <c r="D81" s="70" t="n">
        <f aca="false">'SG APP'!Q81</f>
        <v>0.315555555555556</v>
      </c>
      <c r="E81" s="70" t="n">
        <f aca="false">'SG PUTT'!Q81</f>
        <v>0.48</v>
      </c>
      <c r="F81" s="70" t="n">
        <f aca="false">'SG ARG'!Q81</f>
        <v>0.547777777777778</v>
      </c>
      <c r="G81" s="70" t="n">
        <v>-0.03</v>
      </c>
      <c r="H81" s="58" t="n">
        <f aca="false">'Current Form'!L81</f>
        <v>0.712</v>
      </c>
      <c r="I81" s="71" t="n">
        <v>0.12</v>
      </c>
      <c r="J81" s="22" t="s">
        <v>137</v>
      </c>
      <c r="K81" s="22" t="s">
        <v>468</v>
      </c>
    </row>
    <row r="82" customFormat="false" ht="15.75" hidden="false" customHeight="true" outlineLevel="0" collapsed="false">
      <c r="A82" s="59" t="s">
        <v>226</v>
      </c>
      <c r="B82" s="69" t="n">
        <f aca="false">'SG OTT'!Q82</f>
        <v>-0.20875</v>
      </c>
      <c r="C82" s="70" t="n">
        <f aca="false">Class!Q82</f>
        <v>0.08625</v>
      </c>
      <c r="D82" s="70" t="n">
        <f aca="false">'SG APP'!Q82</f>
        <v>-0.0525</v>
      </c>
      <c r="E82" s="70" t="n">
        <f aca="false">'SG PUTT'!Q82</f>
        <v>-0.4975</v>
      </c>
      <c r="F82" s="70" t="n">
        <f aca="false">'SG ARG'!Q82</f>
        <v>0.0125</v>
      </c>
      <c r="G82" s="70" t="n">
        <v>0.05</v>
      </c>
      <c r="H82" s="58" t="n">
        <f aca="false">'Current Form'!L82</f>
        <v>-1.022</v>
      </c>
      <c r="I82" s="71" t="n">
        <v>0.04</v>
      </c>
      <c r="J82" s="22" t="s">
        <v>137</v>
      </c>
      <c r="K82" s="22" t="s">
        <v>468</v>
      </c>
    </row>
    <row r="83" customFormat="false" ht="15.75" hidden="false" customHeight="true" outlineLevel="0" collapsed="false">
      <c r="A83" s="59" t="s">
        <v>227</v>
      </c>
      <c r="B83" s="69" t="n">
        <f aca="false">'SG OTT'!Q83</f>
        <v>0.365</v>
      </c>
      <c r="C83" s="70" t="n">
        <f aca="false">Class!Q83</f>
        <v>0.3925</v>
      </c>
      <c r="D83" s="70" t="n">
        <f aca="false">'SG APP'!Q83</f>
        <v>0.25625</v>
      </c>
      <c r="E83" s="70" t="n">
        <f aca="false">'SG PUTT'!Q83</f>
        <v>0.0425</v>
      </c>
      <c r="F83" s="70" t="n">
        <f aca="false">'SG ARG'!Q83</f>
        <v>-0.09125</v>
      </c>
      <c r="G83" s="70" t="n">
        <v>0.24</v>
      </c>
      <c r="H83" s="58" t="n">
        <f aca="false">'Current Form'!L83</f>
        <v>1.2925</v>
      </c>
      <c r="I83" s="71" t="n">
        <v>-0.02</v>
      </c>
      <c r="J83" s="22" t="s">
        <v>137</v>
      </c>
      <c r="K83" s="22" t="s">
        <v>468</v>
      </c>
    </row>
    <row r="84" customFormat="false" ht="15.75" hidden="false" customHeight="true" outlineLevel="0" collapsed="false">
      <c r="A84" s="57" t="s">
        <v>228</v>
      </c>
      <c r="B84" s="69" t="n">
        <f aca="false">'SG OTT'!Q84</f>
        <v>-0.038</v>
      </c>
      <c r="C84" s="70" t="n">
        <f aca="false">Class!Q84</f>
        <v>0.016</v>
      </c>
      <c r="D84" s="70" t="n">
        <f aca="false">'SG APP'!Q84</f>
        <v>-0.866</v>
      </c>
      <c r="E84" s="70" t="n">
        <f aca="false">'SG PUTT'!Q84</f>
        <v>-0.226</v>
      </c>
      <c r="F84" s="70" t="n">
        <f aca="false">'SG ARG'!Q84</f>
        <v>0.094</v>
      </c>
      <c r="G84" s="70"/>
      <c r="H84" s="58" t="n">
        <f aca="false">'Current Form'!L84</f>
        <v>-0.71</v>
      </c>
      <c r="I84" s="71"/>
      <c r="J84" s="22" t="s">
        <v>467</v>
      </c>
      <c r="K84" s="22" t="s">
        <v>469</v>
      </c>
    </row>
    <row r="85" customFormat="false" ht="15.75" hidden="false" customHeight="true" outlineLevel="0" collapsed="false">
      <c r="A85" s="57" t="s">
        <v>229</v>
      </c>
      <c r="B85" s="69" t="n">
        <f aca="false">'SG OTT'!Q85</f>
        <v>0.44</v>
      </c>
      <c r="C85" s="70" t="n">
        <f aca="false">Class!Q85</f>
        <v>0</v>
      </c>
      <c r="D85" s="70" t="n">
        <f aca="false">'SG APP'!Q85</f>
        <v>-0.597142857142857</v>
      </c>
      <c r="E85" s="70" t="n">
        <f aca="false">'SG PUTT'!Q85</f>
        <v>-0.951666666666667</v>
      </c>
      <c r="F85" s="70" t="n">
        <f aca="false">'SG ARG'!Q85</f>
        <v>-0.327142857142857</v>
      </c>
      <c r="G85" s="70"/>
      <c r="H85" s="58" t="n">
        <f aca="false">'Current Form'!L85</f>
        <v>-1.12666666666667</v>
      </c>
      <c r="I85" s="71"/>
      <c r="J85" s="22" t="s">
        <v>467</v>
      </c>
      <c r="K85" s="22" t="s">
        <v>469</v>
      </c>
    </row>
    <row r="86" customFormat="false" ht="15.75" hidden="false" customHeight="true" outlineLevel="0" collapsed="false">
      <c r="A86" s="59" t="s">
        <v>230</v>
      </c>
      <c r="B86" s="69" t="e">
        <f aca="false">'SG OTT'!Q86</f>
        <v>#DIV/0!</v>
      </c>
      <c r="C86" s="70" t="e">
        <f aca="false">Class!Q86</f>
        <v>#DIV/0!</v>
      </c>
      <c r="D86" s="70" t="e">
        <f aca="false">'SG APP'!Q86</f>
        <v>#DIV/0!</v>
      </c>
      <c r="E86" s="70" t="e">
        <f aca="false">'SG PUTT'!Q86</f>
        <v>#VALUE!</v>
      </c>
      <c r="F86" s="70" t="e">
        <f aca="false">'SG ARG'!Q86</f>
        <v>#DIV/0!</v>
      </c>
      <c r="G86" s="70"/>
      <c r="H86" s="58" t="e">
        <f aca="false">'Current Form'!L86</f>
        <v>#DIV/0!</v>
      </c>
      <c r="I86" s="71"/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231</v>
      </c>
      <c r="B87" s="69" t="n">
        <f aca="false">'SG OTT'!Q87</f>
        <v>-0.232</v>
      </c>
      <c r="C87" s="70" t="n">
        <f aca="false">Class!Q87</f>
        <v>0</v>
      </c>
      <c r="D87" s="70" t="n">
        <f aca="false">'SG APP'!Q87</f>
        <v>-0.198</v>
      </c>
      <c r="E87" s="70" t="n">
        <f aca="false">'SG PUTT'!Q87</f>
        <v>-0.494</v>
      </c>
      <c r="F87" s="70" t="n">
        <f aca="false">'SG ARG'!Q87</f>
        <v>-0.144</v>
      </c>
      <c r="G87" s="70"/>
      <c r="H87" s="58" t="n">
        <f aca="false">'Current Form'!L87</f>
        <v>-1.04</v>
      </c>
      <c r="I87" s="71"/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232</v>
      </c>
      <c r="B88" s="69" t="e">
        <f aca="false">'SG OTT'!Q88</f>
        <v>#VALUE!</v>
      </c>
      <c r="C88" s="70" t="e">
        <f aca="false">Class!Q88</f>
        <v>#VALUE!</v>
      </c>
      <c r="D88" s="70" t="e">
        <f aca="false">'SG APP'!Q88</f>
        <v>#VALUE!</v>
      </c>
      <c r="E88" s="70" t="e">
        <f aca="false">'SG PUTT'!Q88</f>
        <v>#VALUE!</v>
      </c>
      <c r="F88" s="70" t="e">
        <f aca="false">'SG ARG'!Q88</f>
        <v>#VALUE!</v>
      </c>
      <c r="G88" s="70"/>
      <c r="H88" s="58" t="e">
        <f aca="false">'Current Form'!L88</f>
        <v>#DIV/0!</v>
      </c>
      <c r="I88" s="71"/>
      <c r="J88" s="22" t="s">
        <v>467</v>
      </c>
      <c r="K88" s="22" t="s">
        <v>468</v>
      </c>
    </row>
    <row r="89" customFormat="false" ht="15.75" hidden="false" customHeight="true" outlineLevel="0" collapsed="false">
      <c r="A89" s="57" t="s">
        <v>233</v>
      </c>
      <c r="B89" s="69" t="n">
        <f aca="false">'SG OTT'!Q89</f>
        <v>-0.512</v>
      </c>
      <c r="C89" s="70" t="n">
        <f aca="false">Class!Q89</f>
        <v>0.306</v>
      </c>
      <c r="D89" s="70" t="n">
        <f aca="false">'SG APP'!Q89</f>
        <v>0.1</v>
      </c>
      <c r="E89" s="70" t="n">
        <f aca="false">'SG PUTT'!Q89</f>
        <v>-0.032</v>
      </c>
      <c r="F89" s="70" t="n">
        <f aca="false">'SG ARG'!Q89</f>
        <v>0.411</v>
      </c>
      <c r="G89" s="70" t="n">
        <v>-0.12</v>
      </c>
      <c r="H89" s="58" t="n">
        <f aca="false">'Current Form'!L89</f>
        <v>-0.156666666666667</v>
      </c>
      <c r="I89" s="71" t="n">
        <v>-0.02</v>
      </c>
      <c r="J89" s="22" t="s">
        <v>137</v>
      </c>
      <c r="K89" s="22" t="s">
        <v>468</v>
      </c>
    </row>
    <row r="90" customFormat="false" ht="15.75" hidden="false" customHeight="true" outlineLevel="0" collapsed="false">
      <c r="A90" s="59" t="s">
        <v>234</v>
      </c>
      <c r="B90" s="69" t="n">
        <f aca="false">'SG OTT'!Q90</f>
        <v>0.24</v>
      </c>
      <c r="C90" s="70" t="n">
        <f aca="false">Class!Q90</f>
        <v>0.005</v>
      </c>
      <c r="D90" s="70" t="n">
        <f aca="false">'SG APP'!Q90</f>
        <v>-0.498333333333333</v>
      </c>
      <c r="E90" s="70" t="n">
        <f aca="false">'SG PUTT'!Q90</f>
        <v>-0.515</v>
      </c>
      <c r="F90" s="70" t="n">
        <f aca="false">'SG ARG'!Q90</f>
        <v>0.0783333333333334</v>
      </c>
      <c r="G90" s="70"/>
      <c r="H90" s="58" t="n">
        <f aca="false">'Current Form'!L90</f>
        <v>-0.866666666666667</v>
      </c>
      <c r="I90" s="71"/>
      <c r="J90" s="22" t="s">
        <v>467</v>
      </c>
      <c r="K90" s="22" t="s">
        <v>468</v>
      </c>
    </row>
    <row r="91" customFormat="false" ht="15.75" hidden="false" customHeight="true" outlineLevel="0" collapsed="false">
      <c r="A91" s="57" t="s">
        <v>235</v>
      </c>
      <c r="B91" s="69" t="n">
        <f aca="false">'SG OTT'!Q91</f>
        <v>-0.117777777777778</v>
      </c>
      <c r="C91" s="70" t="n">
        <f aca="false">Class!Q91</f>
        <v>0.322222222222222</v>
      </c>
      <c r="D91" s="70" t="n">
        <f aca="false">'SG APP'!Q91</f>
        <v>0.263333333333333</v>
      </c>
      <c r="E91" s="70" t="n">
        <f aca="false">'SG PUTT'!Q91</f>
        <v>0.431111111111111</v>
      </c>
      <c r="F91" s="70" t="n">
        <f aca="false">'SG ARG'!Q91</f>
        <v>0.0588888888888889</v>
      </c>
      <c r="G91" s="70" t="n">
        <v>0.18</v>
      </c>
      <c r="H91" s="58" t="n">
        <f aca="false">'Current Form'!L91</f>
        <v>0.586</v>
      </c>
      <c r="I91" s="71" t="n">
        <v>0.13</v>
      </c>
      <c r="J91" s="22" t="s">
        <v>137</v>
      </c>
      <c r="K91" s="22" t="s">
        <v>468</v>
      </c>
    </row>
    <row r="92" customFormat="false" ht="15.75" hidden="false" customHeight="true" outlineLevel="0" collapsed="false">
      <c r="A92" s="57" t="s">
        <v>236</v>
      </c>
      <c r="B92" s="69" t="n">
        <f aca="false">'SG OTT'!Q92</f>
        <v>-0.746666666666667</v>
      </c>
      <c r="C92" s="70" t="n">
        <f aca="false">Class!Q92</f>
        <v>0</v>
      </c>
      <c r="D92" s="70" t="n">
        <f aca="false">'SG APP'!Q92</f>
        <v>-0.00333333333333333</v>
      </c>
      <c r="E92" s="70" t="n">
        <f aca="false">'SG PUTT'!Q92</f>
        <v>-1.08333333333333</v>
      </c>
      <c r="F92" s="70" t="n">
        <f aca="false">'SG ARG'!Q92</f>
        <v>0.33</v>
      </c>
      <c r="G92" s="70"/>
      <c r="H92" s="58" t="n">
        <f aca="false">'Current Form'!L92</f>
        <v>-2.65</v>
      </c>
      <c r="I92" s="71"/>
      <c r="J92" s="22" t="s">
        <v>467</v>
      </c>
      <c r="K92" s="22" t="s">
        <v>469</v>
      </c>
    </row>
    <row r="93" customFormat="false" ht="15.75" hidden="false" customHeight="true" outlineLevel="0" collapsed="false">
      <c r="A93" s="59" t="s">
        <v>237</v>
      </c>
      <c r="B93" s="69" t="e">
        <f aca="false">'SG OTT'!Q93</f>
        <v>#DIV/0!</v>
      </c>
      <c r="C93" s="70" t="e">
        <f aca="false">Class!Q93</f>
        <v>#DIV/0!</v>
      </c>
      <c r="D93" s="70" t="e">
        <f aca="false">'SG APP'!Q93</f>
        <v>#DIV/0!</v>
      </c>
      <c r="E93" s="70" t="e">
        <f aca="false">'SG PUTT'!Q93</f>
        <v>#DIV/0!</v>
      </c>
      <c r="F93" s="70" t="e">
        <f aca="false">'SG ARG'!Q93</f>
        <v>#DIV/0!</v>
      </c>
      <c r="G93" s="70"/>
      <c r="H93" s="58" t="e">
        <f aca="false">'Current Form'!L93</f>
        <v>#DIV/0!</v>
      </c>
      <c r="I93" s="71"/>
      <c r="J93" s="22" t="s">
        <v>467</v>
      </c>
      <c r="K93" s="22" t="s">
        <v>468</v>
      </c>
    </row>
    <row r="94" customFormat="false" ht="15.75" hidden="false" customHeight="true" outlineLevel="0" collapsed="false">
      <c r="A94" s="57" t="s">
        <v>238</v>
      </c>
      <c r="B94" s="69" t="n">
        <f aca="false">'SG OTT'!Q94</f>
        <v>0.185</v>
      </c>
      <c r="C94" s="70" t="n">
        <f aca="false">Class!Q94</f>
        <v>2.025</v>
      </c>
      <c r="D94" s="70" t="n">
        <f aca="false">'SG APP'!Q94</f>
        <v>0.85</v>
      </c>
      <c r="E94" s="70" t="n">
        <f aca="false">'SG PUTT'!Q94</f>
        <v>0.505</v>
      </c>
      <c r="F94" s="70" t="n">
        <f aca="false">'SG ARG'!Q94</f>
        <v>0.49</v>
      </c>
      <c r="G94" s="70"/>
      <c r="H94" s="58" t="e">
        <f aca="false">'Current Form'!L94</f>
        <v>#VALUE!</v>
      </c>
      <c r="I94" s="71"/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239</v>
      </c>
      <c r="B95" s="69" t="n">
        <f aca="false">'SG OTT'!Q95</f>
        <v>0.398333333333333</v>
      </c>
      <c r="C95" s="70" t="n">
        <f aca="false">Class!Q95</f>
        <v>0.975</v>
      </c>
      <c r="D95" s="70" t="n">
        <f aca="false">'SG APP'!Q95</f>
        <v>0.365</v>
      </c>
      <c r="E95" s="70" t="n">
        <f aca="false">'SG PUTT'!Q95</f>
        <v>0.48</v>
      </c>
      <c r="F95" s="70" t="n">
        <f aca="false">'SG ARG'!Q95</f>
        <v>-0.0833333333333333</v>
      </c>
      <c r="G95" s="70"/>
      <c r="H95" s="58" t="n">
        <f aca="false">'Current Form'!L95</f>
        <v>1.82</v>
      </c>
      <c r="I95" s="71"/>
      <c r="J95" s="22" t="s">
        <v>467</v>
      </c>
      <c r="K95" s="22" t="s">
        <v>468</v>
      </c>
    </row>
    <row r="96" customFormat="false" ht="15.75" hidden="false" customHeight="true" outlineLevel="0" collapsed="false">
      <c r="A96" s="57" t="s">
        <v>240</v>
      </c>
      <c r="B96" s="69" t="n">
        <f aca="false">'SG OTT'!Q96</f>
        <v>0.311428571428571</v>
      </c>
      <c r="C96" s="70" t="n">
        <f aca="false">Class!Q96</f>
        <v>0.0357142857142857</v>
      </c>
      <c r="D96" s="70" t="n">
        <f aca="false">'SG APP'!Q96</f>
        <v>-0.331428571428571</v>
      </c>
      <c r="E96" s="70" t="n">
        <f aca="false">'SG PUTT'!Q96</f>
        <v>-0.191428571428571</v>
      </c>
      <c r="F96" s="70" t="n">
        <f aca="false">'SG ARG'!Q96</f>
        <v>-0.447142857142857</v>
      </c>
      <c r="G96" s="70"/>
      <c r="H96" s="58" t="n">
        <f aca="false">'Current Form'!L96</f>
        <v>0.2</v>
      </c>
      <c r="I96" s="71"/>
      <c r="J96" s="22" t="s">
        <v>467</v>
      </c>
      <c r="K96" s="22" t="s">
        <v>469</v>
      </c>
    </row>
    <row r="97" customFormat="false" ht="15.75" hidden="false" customHeight="true" outlineLevel="0" collapsed="false">
      <c r="A97" s="59" t="s">
        <v>241</v>
      </c>
      <c r="B97" s="69" t="n">
        <f aca="false">'SG OTT'!Q97</f>
        <v>0.0728571428571429</v>
      </c>
      <c r="C97" s="70" t="n">
        <f aca="false">Class!Q97</f>
        <v>0.0642857142857143</v>
      </c>
      <c r="D97" s="70" t="n">
        <f aca="false">'SG APP'!Q97</f>
        <v>-0.962857142857143</v>
      </c>
      <c r="E97" s="70" t="n">
        <f aca="false">'SG PUTT'!Q97</f>
        <v>0.471428571428572</v>
      </c>
      <c r="F97" s="70" t="n">
        <f aca="false">'SG ARG'!Q97</f>
        <v>-0.221428571428571</v>
      </c>
      <c r="G97" s="70"/>
      <c r="H97" s="58" t="n">
        <f aca="false">'Current Form'!L97</f>
        <v>-1.27666666666667</v>
      </c>
      <c r="I97" s="71"/>
      <c r="J97" s="22" t="s">
        <v>137</v>
      </c>
      <c r="K97" s="22" t="s">
        <v>468</v>
      </c>
    </row>
    <row r="98" customFormat="false" ht="15.75" hidden="false" customHeight="true" outlineLevel="0" collapsed="false">
      <c r="A98" s="59" t="s">
        <v>242</v>
      </c>
      <c r="B98" s="69" t="n">
        <f aca="false">'SG OTT'!Q98</f>
        <v>0.064</v>
      </c>
      <c r="C98" s="70" t="n">
        <f aca="false">Class!Q98</f>
        <v>0.096</v>
      </c>
      <c r="D98" s="70" t="n">
        <f aca="false">'SG APP'!Q98</f>
        <v>-0.338</v>
      </c>
      <c r="E98" s="70" t="n">
        <f aca="false">'SG PUTT'!Q98</f>
        <v>-0.236</v>
      </c>
      <c r="F98" s="70" t="n">
        <f aca="false">'SG ARG'!Q98</f>
        <v>-0.032</v>
      </c>
      <c r="G98" s="70"/>
      <c r="H98" s="58" t="n">
        <f aca="false">'Current Form'!L98</f>
        <v>0.283333333333333</v>
      </c>
      <c r="I98" s="71"/>
      <c r="J98" s="22" t="s">
        <v>467</v>
      </c>
      <c r="K98" s="22" t="s">
        <v>468</v>
      </c>
    </row>
    <row r="99" customFormat="false" ht="15.75" hidden="false" customHeight="true" outlineLevel="0" collapsed="false">
      <c r="A99" s="57" t="s">
        <v>243</v>
      </c>
      <c r="B99" s="69" t="n">
        <f aca="false">'SG OTT'!Q99</f>
        <v>-0.234444444444444</v>
      </c>
      <c r="C99" s="70" t="n">
        <f aca="false">Class!Q99</f>
        <v>0.0388888888888889</v>
      </c>
      <c r="D99" s="70" t="n">
        <f aca="false">'SG APP'!Q99</f>
        <v>-0.447777777777778</v>
      </c>
      <c r="E99" s="70" t="n">
        <f aca="false">'SG PUTT'!Q99</f>
        <v>-0.367777777777778</v>
      </c>
      <c r="F99" s="70" t="n">
        <f aca="false">'SG ARG'!Q99</f>
        <v>-0.0877777777777778</v>
      </c>
      <c r="G99" s="70" t="n">
        <v>-0.06</v>
      </c>
      <c r="H99" s="58" t="n">
        <f aca="false">'Current Form'!L99</f>
        <v>-0.536</v>
      </c>
      <c r="I99" s="71" t="n">
        <v>-0.03</v>
      </c>
      <c r="J99" s="22" t="s">
        <v>137</v>
      </c>
      <c r="K99" s="22" t="s">
        <v>468</v>
      </c>
    </row>
    <row r="100" customFormat="false" ht="15.75" hidden="false" customHeight="true" outlineLevel="0" collapsed="false">
      <c r="A100" s="57" t="s">
        <v>244</v>
      </c>
      <c r="B100" s="69" t="n">
        <f aca="false">'SG OTT'!Q100</f>
        <v>-0.1225</v>
      </c>
      <c r="C100" s="70" t="n">
        <f aca="false">Class!Q100</f>
        <v>0.3025</v>
      </c>
      <c r="D100" s="70" t="n">
        <f aca="false">'SG APP'!Q100</f>
        <v>0.11</v>
      </c>
      <c r="E100" s="70" t="n">
        <f aca="false">'SG PUTT'!Q100</f>
        <v>0.5725</v>
      </c>
      <c r="F100" s="70" t="n">
        <f aca="false">'SG ARG'!Q100</f>
        <v>-0.075</v>
      </c>
      <c r="G100" s="70"/>
      <c r="H100" s="58" t="n">
        <f aca="false">'Current Form'!L100</f>
        <v>0.585</v>
      </c>
      <c r="I100" s="71"/>
      <c r="J100" s="22" t="s">
        <v>467</v>
      </c>
      <c r="K100" s="22" t="s">
        <v>469</v>
      </c>
    </row>
    <row r="101" customFormat="false" ht="15.75" hidden="false" customHeight="true" outlineLevel="0" collapsed="false">
      <c r="A101" s="57" t="s">
        <v>245</v>
      </c>
      <c r="B101" s="69" t="n">
        <f aca="false">'SG OTT'!Q101</f>
        <v>0.66</v>
      </c>
      <c r="C101" s="70" t="n">
        <f aca="false">Class!Q101</f>
        <v>0.147142857142857</v>
      </c>
      <c r="D101" s="70" t="n">
        <f aca="false">'SG APP'!Q101</f>
        <v>-0.00571428571428572</v>
      </c>
      <c r="E101" s="70" t="n">
        <f aca="false">'SG PUTT'!Q101</f>
        <v>-0.935714285714286</v>
      </c>
      <c r="F101" s="70" t="n">
        <f aca="false">'SG ARG'!Q101</f>
        <v>-0.425714285714286</v>
      </c>
      <c r="G101" s="70"/>
      <c r="H101" s="58" t="n">
        <f aca="false">'Current Form'!L101</f>
        <v>-0.923333333333333</v>
      </c>
      <c r="I101" s="71"/>
      <c r="J101" s="22" t="s">
        <v>467</v>
      </c>
      <c r="K101" s="22" t="s">
        <v>469</v>
      </c>
    </row>
    <row r="102" customFormat="false" ht="15.75" hidden="false" customHeight="true" outlineLevel="0" collapsed="false">
      <c r="A102" s="59" t="s">
        <v>246</v>
      </c>
      <c r="B102" s="69" t="n">
        <f aca="false">'SG OTT'!Q102</f>
        <v>-0.1975</v>
      </c>
      <c r="C102" s="70" t="n">
        <f aca="false">Class!Q102</f>
        <v>0</v>
      </c>
      <c r="D102" s="70" t="n">
        <f aca="false">'SG APP'!Q102</f>
        <v>-0.78625</v>
      </c>
      <c r="E102" s="70" t="n">
        <f aca="false">'SG PUTT'!Q102</f>
        <v>-0.41875</v>
      </c>
      <c r="F102" s="70" t="n">
        <f aca="false">'SG ARG'!Q102</f>
        <v>-0.05875</v>
      </c>
      <c r="G102" s="70" t="n">
        <v>0.22</v>
      </c>
      <c r="H102" s="58" t="n">
        <f aca="false">'Current Form'!L102</f>
        <v>-1.522</v>
      </c>
      <c r="I102" s="71" t="n">
        <v>-0.04</v>
      </c>
      <c r="J102" s="22" t="s">
        <v>137</v>
      </c>
      <c r="K102" s="22" t="s">
        <v>468</v>
      </c>
    </row>
    <row r="103" customFormat="false" ht="15.75" hidden="false" customHeight="true" outlineLevel="0" collapsed="false">
      <c r="A103" s="59" t="s">
        <v>247</v>
      </c>
      <c r="B103" s="69" t="n">
        <f aca="false">'SG OTT'!Q103</f>
        <v>0.344</v>
      </c>
      <c r="C103" s="70" t="n">
        <f aca="false">Class!Q103</f>
        <v>0.208</v>
      </c>
      <c r="D103" s="70" t="n">
        <f aca="false">'SG APP'!Q103</f>
        <v>0.214</v>
      </c>
      <c r="E103" s="70" t="n">
        <f aca="false">'SG PUTT'!Q103</f>
        <v>-0.279</v>
      </c>
      <c r="F103" s="70" t="n">
        <f aca="false">'SG ARG'!Q103</f>
        <v>-0.00700000000000001</v>
      </c>
      <c r="G103" s="70" t="n">
        <v>0.08</v>
      </c>
      <c r="H103" s="58" t="n">
        <f aca="false">'Current Form'!L103</f>
        <v>0.16</v>
      </c>
      <c r="I103" s="71" t="n">
        <v>0</v>
      </c>
      <c r="J103" s="22" t="s">
        <v>137</v>
      </c>
      <c r="K103" s="22" t="s">
        <v>468</v>
      </c>
    </row>
    <row r="104" customFormat="false" ht="15.75" hidden="false" customHeight="true" outlineLevel="0" collapsed="false">
      <c r="A104" s="59" t="s">
        <v>248</v>
      </c>
      <c r="B104" s="69" t="n">
        <f aca="false">'SG OTT'!Q104</f>
        <v>0.18</v>
      </c>
      <c r="C104" s="70" t="n">
        <f aca="false">Class!Q104</f>
        <v>0.134285714285714</v>
      </c>
      <c r="D104" s="70" t="n">
        <f aca="false">'SG APP'!Q104</f>
        <v>0.05</v>
      </c>
      <c r="E104" s="70" t="n">
        <f aca="false">'SG PUTT'!Q104</f>
        <v>0.0214285714285714</v>
      </c>
      <c r="F104" s="70" t="n">
        <f aca="false">'SG ARG'!Q104</f>
        <v>-0.181428571428571</v>
      </c>
      <c r="G104" s="70" t="n">
        <v>0.2</v>
      </c>
      <c r="H104" s="58" t="n">
        <f aca="false">'Current Form'!L104</f>
        <v>0.2975</v>
      </c>
      <c r="I104" s="71" t="n">
        <v>0</v>
      </c>
      <c r="J104" s="22" t="s">
        <v>137</v>
      </c>
      <c r="K104" s="22" t="s">
        <v>468</v>
      </c>
    </row>
    <row r="105" customFormat="false" ht="15.75" hidden="false" customHeight="true" outlineLevel="0" collapsed="false">
      <c r="A105" s="59" t="s">
        <v>249</v>
      </c>
      <c r="B105" s="69" t="n">
        <f aca="false">'SG OTT'!Q105</f>
        <v>0.437777777777778</v>
      </c>
      <c r="C105" s="70" t="n">
        <f aca="false">Class!Q105</f>
        <v>0.21</v>
      </c>
      <c r="D105" s="70" t="n">
        <f aca="false">'SG APP'!Q105</f>
        <v>0.104444444444444</v>
      </c>
      <c r="E105" s="70" t="n">
        <f aca="false">'SG PUTT'!Q105</f>
        <v>-0.355555555555556</v>
      </c>
      <c r="F105" s="70" t="n">
        <f aca="false">'SG ARG'!Q105</f>
        <v>0.0211111111111111</v>
      </c>
      <c r="G105" s="70" t="n">
        <v>-0.01</v>
      </c>
      <c r="H105" s="58" t="n">
        <f aca="false">'Current Form'!L105</f>
        <v>-0.182</v>
      </c>
      <c r="I105" s="71" t="n">
        <v>0.01</v>
      </c>
      <c r="J105" s="22" t="s">
        <v>137</v>
      </c>
      <c r="K105" s="22" t="s">
        <v>468</v>
      </c>
    </row>
    <row r="106" customFormat="false" ht="15.75" hidden="false" customHeight="true" outlineLevel="0" collapsed="false">
      <c r="A106" s="57" t="s">
        <v>250</v>
      </c>
      <c r="B106" s="69" t="n">
        <f aca="false">'SG OTT'!Q106</f>
        <v>-0.00500000000000001</v>
      </c>
      <c r="C106" s="70" t="n">
        <f aca="false">Class!Q106</f>
        <v>0</v>
      </c>
      <c r="D106" s="70" t="n">
        <f aca="false">'SG APP'!Q106</f>
        <v>-0.6</v>
      </c>
      <c r="E106" s="70" t="n">
        <f aca="false">'SG PUTT'!Q106</f>
        <v>-0.635</v>
      </c>
      <c r="F106" s="70" t="n">
        <f aca="false">'SG ARG'!Q106</f>
        <v>-0.4925</v>
      </c>
      <c r="G106" s="70"/>
      <c r="H106" s="58" t="n">
        <f aca="false">'Current Form'!L106</f>
        <v>-2.44</v>
      </c>
      <c r="I106" s="71"/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251</v>
      </c>
      <c r="B107" s="69" t="n">
        <f aca="false">'SG OTT'!Q107</f>
        <v>-0.26</v>
      </c>
      <c r="C107" s="70" t="n">
        <f aca="false">Class!Q107</f>
        <v>0.240909090909091</v>
      </c>
      <c r="D107" s="70" t="n">
        <f aca="false">'SG APP'!Q107</f>
        <v>0.526363636363636</v>
      </c>
      <c r="E107" s="70" t="n">
        <f aca="false">'SG PUTT'!Q107</f>
        <v>-0.150909090909091</v>
      </c>
      <c r="F107" s="70" t="n">
        <f aca="false">'SG ARG'!Q107</f>
        <v>-0.103636363636364</v>
      </c>
      <c r="G107" s="70" t="n">
        <v>0.1</v>
      </c>
      <c r="H107" s="58" t="n">
        <f aca="false">'Current Form'!L107</f>
        <v>0.02</v>
      </c>
      <c r="I107" s="71" t="n">
        <v>0.07</v>
      </c>
      <c r="J107" s="22" t="s">
        <v>137</v>
      </c>
      <c r="K107" s="22" t="s">
        <v>468</v>
      </c>
    </row>
    <row r="108" customFormat="false" ht="15.75" hidden="false" customHeight="true" outlineLevel="0" collapsed="false">
      <c r="A108" s="57" t="s">
        <v>252</v>
      </c>
      <c r="B108" s="69" t="n">
        <f aca="false">'SG OTT'!Q108</f>
        <v>0.2225</v>
      </c>
      <c r="C108" s="70" t="n">
        <f aca="false">Class!Q108</f>
        <v>0.32125</v>
      </c>
      <c r="D108" s="70" t="n">
        <f aca="false">'SG APP'!Q108</f>
        <v>0.2675</v>
      </c>
      <c r="E108" s="70" t="n">
        <f aca="false">'SG PUTT'!Q108</f>
        <v>-0.09125</v>
      </c>
      <c r="F108" s="70" t="n">
        <f aca="false">'SG ARG'!Q108</f>
        <v>0.125</v>
      </c>
      <c r="G108" s="70"/>
      <c r="H108" s="58" t="n">
        <f aca="false">'Current Form'!L108</f>
        <v>-0.498</v>
      </c>
      <c r="I108" s="71"/>
      <c r="J108" s="22" t="s">
        <v>467</v>
      </c>
      <c r="K108" s="22" t="s">
        <v>468</v>
      </c>
    </row>
    <row r="109" customFormat="false" ht="15.75" hidden="false" customHeight="true" outlineLevel="0" collapsed="false">
      <c r="A109" s="57" t="s">
        <v>253</v>
      </c>
      <c r="B109" s="69" t="n">
        <f aca="false">'SG OTT'!Q109</f>
        <v>0.185714285714286</v>
      </c>
      <c r="C109" s="70" t="n">
        <f aca="false">Class!Q109</f>
        <v>0.124285714285714</v>
      </c>
      <c r="D109" s="70" t="n">
        <f aca="false">'SG APP'!Q109</f>
        <v>-0.307142857142857</v>
      </c>
      <c r="E109" s="70" t="n">
        <f aca="false">'SG PUTT'!Q109</f>
        <v>0.0957142857142857</v>
      </c>
      <c r="F109" s="70" t="n">
        <f aca="false">'SG ARG'!Q109</f>
        <v>0.00142857142857143</v>
      </c>
      <c r="G109" s="70" t="n">
        <v>-0.36</v>
      </c>
      <c r="H109" s="58" t="n">
        <f aca="false">'Current Form'!L109</f>
        <v>0.38</v>
      </c>
      <c r="I109" s="71" t="n">
        <v>-0.01</v>
      </c>
      <c r="J109" s="22" t="s">
        <v>137</v>
      </c>
      <c r="K109" s="22" t="s">
        <v>468</v>
      </c>
    </row>
    <row r="110" customFormat="false" ht="15.75" hidden="false" customHeight="true" outlineLevel="0" collapsed="false">
      <c r="A110" s="59" t="s">
        <v>254</v>
      </c>
      <c r="B110" s="69" t="n">
        <f aca="false">'SG OTT'!Q110</f>
        <v>0.18</v>
      </c>
      <c r="C110" s="70" t="n">
        <f aca="false">Class!Q110</f>
        <v>0.347142857142857</v>
      </c>
      <c r="D110" s="70" t="n">
        <f aca="false">'SG APP'!Q110</f>
        <v>-0.412857142857143</v>
      </c>
      <c r="E110" s="70" t="n">
        <f aca="false">'SG PUTT'!Q110</f>
        <v>0.442857142857143</v>
      </c>
      <c r="F110" s="70" t="n">
        <f aca="false">'SG ARG'!Q110</f>
        <v>-0.0583333333333333</v>
      </c>
      <c r="G110" s="70"/>
      <c r="H110" s="58" t="n">
        <f aca="false">'Current Form'!L110</f>
        <v>1.02</v>
      </c>
      <c r="I110" s="71"/>
      <c r="J110" s="22" t="s">
        <v>467</v>
      </c>
      <c r="K110" s="22" t="s">
        <v>468</v>
      </c>
    </row>
    <row r="111" customFormat="false" ht="15.75" hidden="false" customHeight="true" outlineLevel="0" collapsed="false">
      <c r="A111" s="57" t="s">
        <v>255</v>
      </c>
      <c r="B111" s="69" t="n">
        <f aca="false">'SG OTT'!Q111</f>
        <v>-0.041</v>
      </c>
      <c r="C111" s="70" t="n">
        <f aca="false">Class!Q111</f>
        <v>0.201</v>
      </c>
      <c r="D111" s="70" t="n">
        <f aca="false">'SG APP'!Q111</f>
        <v>0.403</v>
      </c>
      <c r="E111" s="70" t="n">
        <f aca="false">'SG PUTT'!Q111</f>
        <v>-0.032</v>
      </c>
      <c r="F111" s="70" t="n">
        <f aca="false">'SG ARG'!Q111</f>
        <v>-0.271</v>
      </c>
      <c r="G111" s="70" t="n">
        <v>0.04</v>
      </c>
      <c r="H111" s="58" t="n">
        <f aca="false">'Current Form'!L111</f>
        <v>0.491666666666667</v>
      </c>
      <c r="I111" s="71" t="n">
        <v>0.3</v>
      </c>
      <c r="J111" s="22" t="s">
        <v>137</v>
      </c>
      <c r="K111" s="22" t="s">
        <v>468</v>
      </c>
    </row>
    <row r="112" customFormat="false" ht="15.75" hidden="false" customHeight="true" outlineLevel="0" collapsed="false">
      <c r="A112" s="57" t="s">
        <v>256</v>
      </c>
      <c r="B112" s="69" t="n">
        <f aca="false">'SG OTT'!Q112</f>
        <v>-0.524285714285714</v>
      </c>
      <c r="C112" s="70" t="n">
        <f aca="false">Class!Q112</f>
        <v>0.0185714285714286</v>
      </c>
      <c r="D112" s="70" t="n">
        <f aca="false">'SG APP'!Q112</f>
        <v>-0.591428571428571</v>
      </c>
      <c r="E112" s="70" t="n">
        <f aca="false">'SG PUTT'!Q112</f>
        <v>0.297142857142857</v>
      </c>
      <c r="F112" s="70" t="n">
        <f aca="false">'SG ARG'!Q112</f>
        <v>-0.442857142857143</v>
      </c>
      <c r="G112" s="70"/>
      <c r="H112" s="58" t="n">
        <f aca="false">'Current Form'!L112</f>
        <v>-1.76666666666667</v>
      </c>
      <c r="I112" s="71"/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257</v>
      </c>
      <c r="B113" s="69" t="n">
        <f aca="false">'SG OTT'!Q113</f>
        <v>0.34125</v>
      </c>
      <c r="C113" s="70" t="n">
        <f aca="false">Class!Q113</f>
        <v>0.40625</v>
      </c>
      <c r="D113" s="70" t="n">
        <f aca="false">'SG APP'!Q113</f>
        <v>-0.16375</v>
      </c>
      <c r="E113" s="70" t="n">
        <f aca="false">'SG PUTT'!Q113</f>
        <v>0.35625</v>
      </c>
      <c r="F113" s="70" t="n">
        <f aca="false">'SG ARG'!Q113</f>
        <v>0.18375</v>
      </c>
      <c r="G113" s="70" t="n">
        <v>-0.03</v>
      </c>
      <c r="H113" s="58" t="n">
        <f aca="false">'Current Form'!L113</f>
        <v>0.61</v>
      </c>
      <c r="I113" s="71" t="n">
        <v>0.07</v>
      </c>
      <c r="J113" s="22" t="s">
        <v>137</v>
      </c>
      <c r="K113" s="22" t="s">
        <v>468</v>
      </c>
    </row>
    <row r="114" customFormat="false" ht="15.75" hidden="false" customHeight="true" outlineLevel="0" collapsed="false">
      <c r="A114" s="57" t="s">
        <v>258</v>
      </c>
      <c r="B114" s="69" t="n">
        <f aca="false">'SG OTT'!Q114</f>
        <v>0.17</v>
      </c>
      <c r="C114" s="70" t="n">
        <f aca="false">Class!Q114</f>
        <v>1.01</v>
      </c>
      <c r="D114" s="70" t="n">
        <f aca="false">'SG APP'!Q114</f>
        <v>0.853333333333333</v>
      </c>
      <c r="E114" s="70" t="n">
        <f aca="false">'SG PUTT'!Q114</f>
        <v>-0.0266666666666667</v>
      </c>
      <c r="F114" s="70" t="n">
        <f aca="false">'SG ARG'!Q114</f>
        <v>0.168</v>
      </c>
      <c r="G114" s="70"/>
      <c r="H114" s="58" t="n">
        <f aca="false">'Current Form'!L114</f>
        <v>1.60333333333333</v>
      </c>
      <c r="I114" s="71"/>
      <c r="J114" s="22" t="s">
        <v>467</v>
      </c>
      <c r="K114" s="22" t="s">
        <v>468</v>
      </c>
    </row>
    <row r="115" customFormat="false" ht="15.75" hidden="false" customHeight="true" outlineLevel="0" collapsed="false">
      <c r="A115" s="57" t="s">
        <v>259</v>
      </c>
      <c r="B115" s="69" t="n">
        <f aca="false">'SG OTT'!Q115</f>
        <v>0.02</v>
      </c>
      <c r="C115" s="70" t="n">
        <f aca="false">Class!Q115</f>
        <v>0.11</v>
      </c>
      <c r="D115" s="70" t="n">
        <f aca="false">'SG APP'!Q115</f>
        <v>0.31875</v>
      </c>
      <c r="E115" s="70" t="n">
        <f aca="false">'SG PUTT'!Q115</f>
        <v>-0.75</v>
      </c>
      <c r="F115" s="70" t="n">
        <f aca="false">'SG ARG'!Q115</f>
        <v>0.06125</v>
      </c>
      <c r="G115" s="70" t="n">
        <v>0.1</v>
      </c>
      <c r="H115" s="58" t="n">
        <f aca="false">'Current Form'!L115</f>
        <v>-1.05</v>
      </c>
      <c r="I115" s="71" t="n">
        <v>0.18</v>
      </c>
      <c r="J115" s="22" t="s">
        <v>137</v>
      </c>
      <c r="K115" s="22" t="s">
        <v>468</v>
      </c>
    </row>
    <row r="116" customFormat="false" ht="15.75" hidden="false" customHeight="true" outlineLevel="0" collapsed="false">
      <c r="A116" s="59" t="s">
        <v>260</v>
      </c>
      <c r="B116" s="69" t="n">
        <f aca="false">'SG OTT'!Q116</f>
        <v>-0.11125</v>
      </c>
      <c r="C116" s="70" t="n">
        <f aca="false">Class!Q116</f>
        <v>0.23375</v>
      </c>
      <c r="D116" s="70" t="n">
        <f aca="false">'SG APP'!Q116</f>
        <v>-0.425</v>
      </c>
      <c r="E116" s="70" t="n">
        <f aca="false">'SG PUTT'!Q116</f>
        <v>0.49125</v>
      </c>
      <c r="F116" s="70" t="n">
        <f aca="false">'SG ARG'!Q116</f>
        <v>0.46375</v>
      </c>
      <c r="G116" s="70" t="n">
        <v>-0.18</v>
      </c>
      <c r="H116" s="58" t="n">
        <f aca="false">'Current Form'!L116</f>
        <v>0.616</v>
      </c>
      <c r="I116" s="71" t="n">
        <v>0.07</v>
      </c>
      <c r="J116" s="22" t="s">
        <v>137</v>
      </c>
      <c r="K116" s="22" t="s">
        <v>468</v>
      </c>
    </row>
    <row r="117" customFormat="false" ht="15.75" hidden="false" customHeight="true" outlineLevel="0" collapsed="false">
      <c r="A117" s="57" t="s">
        <v>261</v>
      </c>
      <c r="B117" s="69" t="n">
        <f aca="false">'SG OTT'!Q117</f>
        <v>0.348333333333333</v>
      </c>
      <c r="C117" s="70" t="n">
        <f aca="false">Class!Q117</f>
        <v>0.525</v>
      </c>
      <c r="D117" s="70" t="n">
        <f aca="false">'SG APP'!Q117</f>
        <v>-0.505833333333333</v>
      </c>
      <c r="E117" s="70" t="n">
        <f aca="false">'SG PUTT'!Q117</f>
        <v>0.273333333333333</v>
      </c>
      <c r="F117" s="70" t="n">
        <f aca="false">'SG ARG'!Q117</f>
        <v>0.313333333333333</v>
      </c>
      <c r="G117" s="70" t="n">
        <v>0.05</v>
      </c>
      <c r="H117" s="58" t="n">
        <f aca="false">'Current Form'!L117</f>
        <v>0.702857142857143</v>
      </c>
      <c r="I117" s="71" t="n">
        <v>0.19</v>
      </c>
      <c r="J117" s="22" t="s">
        <v>137</v>
      </c>
      <c r="K117" s="22" t="s">
        <v>468</v>
      </c>
    </row>
    <row r="118" customFormat="false" ht="15.75" hidden="false" customHeight="true" outlineLevel="0" collapsed="false">
      <c r="A118" s="57" t="s">
        <v>262</v>
      </c>
      <c r="B118" s="69" t="n">
        <f aca="false">'SG OTT'!Q118</f>
        <v>-0.5</v>
      </c>
      <c r="C118" s="70" t="n">
        <f aca="false">Class!Q118</f>
        <v>0.304444444444444</v>
      </c>
      <c r="D118" s="70" t="n">
        <f aca="false">'SG APP'!Q118</f>
        <v>-0.336666666666667</v>
      </c>
      <c r="E118" s="70" t="n">
        <f aca="false">'SG PUTT'!Q118</f>
        <v>-0.0988888888888889</v>
      </c>
      <c r="F118" s="70" t="n">
        <f aca="false">'SG ARG'!Q118</f>
        <v>0.3</v>
      </c>
      <c r="G118" s="70" t="n">
        <v>-0.27</v>
      </c>
      <c r="H118" s="58" t="n">
        <f aca="false">'Current Form'!L118</f>
        <v>0.024</v>
      </c>
      <c r="I118" s="71" t="n">
        <v>0.05</v>
      </c>
      <c r="J118" s="22" t="s">
        <v>137</v>
      </c>
      <c r="K118" s="22" t="s">
        <v>468</v>
      </c>
    </row>
    <row r="119" customFormat="false" ht="15.75" hidden="false" customHeight="true" outlineLevel="0" collapsed="false">
      <c r="A119" s="57" t="s">
        <v>263</v>
      </c>
      <c r="B119" s="69" t="n">
        <f aca="false">'SG OTT'!Q119</f>
        <v>-0.474285714285714</v>
      </c>
      <c r="C119" s="70" t="n">
        <f aca="false">Class!Q119</f>
        <v>0.0257142857142857</v>
      </c>
      <c r="D119" s="70" t="n">
        <f aca="false">'SG APP'!Q119</f>
        <v>-1.31857142857143</v>
      </c>
      <c r="E119" s="70" t="n">
        <f aca="false">'SG PUTT'!Q119</f>
        <v>-0.181428571428571</v>
      </c>
      <c r="F119" s="70" t="n">
        <f aca="false">'SG ARG'!Q119</f>
        <v>-0.23</v>
      </c>
      <c r="G119" s="70"/>
      <c r="H119" s="58" t="n">
        <f aca="false">'Current Form'!L119</f>
        <v>-1.02666666666667</v>
      </c>
      <c r="I119" s="71"/>
      <c r="J119" s="22" t="s">
        <v>467</v>
      </c>
      <c r="K119" s="22" t="s">
        <v>469</v>
      </c>
    </row>
    <row r="120" customFormat="false" ht="15.75" hidden="false" customHeight="true" outlineLevel="0" collapsed="false">
      <c r="A120" s="59" t="s">
        <v>264</v>
      </c>
      <c r="B120" s="69" t="n">
        <f aca="false">'SG OTT'!Q120</f>
        <v>0.326666666666667</v>
      </c>
      <c r="C120" s="70" t="n">
        <f aca="false">Class!Q120</f>
        <v>0.533333333333333</v>
      </c>
      <c r="D120" s="70" t="n">
        <f aca="false">'SG APP'!Q120</f>
        <v>0.316666666666667</v>
      </c>
      <c r="E120" s="70" t="n">
        <f aca="false">'SG PUTT'!Q120</f>
        <v>0.438333333333333</v>
      </c>
      <c r="F120" s="70" t="n">
        <f aca="false">'SG ARG'!Q120</f>
        <v>0.0833333333333333</v>
      </c>
      <c r="G120" s="70" t="n">
        <v>0.07</v>
      </c>
      <c r="H120" s="58" t="n">
        <f aca="false">'Current Form'!L120</f>
        <v>1.03166666666667</v>
      </c>
      <c r="I120" s="71" t="n">
        <v>-0.04</v>
      </c>
      <c r="J120" s="22" t="s">
        <v>137</v>
      </c>
      <c r="K120" s="22" t="s">
        <v>468</v>
      </c>
    </row>
    <row r="121" customFormat="false" ht="15.75" hidden="false" customHeight="true" outlineLevel="0" collapsed="false">
      <c r="A121" s="57" t="s">
        <v>265</v>
      </c>
      <c r="B121" s="69" t="n">
        <f aca="false">'SG OTT'!Q121</f>
        <v>0.08875</v>
      </c>
      <c r="C121" s="70" t="n">
        <f aca="false">Class!Q121</f>
        <v>0.19125</v>
      </c>
      <c r="D121" s="70" t="n">
        <f aca="false">'SG APP'!Q121</f>
        <v>0.36125</v>
      </c>
      <c r="E121" s="70" t="n">
        <f aca="false">'SG PUTT'!Q121</f>
        <v>-0.44875</v>
      </c>
      <c r="F121" s="70" t="n">
        <f aca="false">'SG ARG'!Q121</f>
        <v>-0.0375</v>
      </c>
      <c r="G121" s="70"/>
      <c r="H121" s="58" t="n">
        <f aca="false">'Current Form'!L121</f>
        <v>0.0925</v>
      </c>
      <c r="I121" s="71"/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266</v>
      </c>
      <c r="B122" s="69" t="n">
        <f aca="false">'SG OTT'!Q122</f>
        <v>0.403333333333333</v>
      </c>
      <c r="C122" s="70" t="n">
        <f aca="false">Class!Q122</f>
        <v>0.676666666666667</v>
      </c>
      <c r="D122" s="70" t="n">
        <f aca="false">'SG APP'!Q122</f>
        <v>0.41</v>
      </c>
      <c r="E122" s="70" t="n">
        <f aca="false">'SG PUTT'!Q122</f>
        <v>0.95</v>
      </c>
      <c r="F122" s="70" t="n">
        <f aca="false">'SG ARG'!Q122</f>
        <v>-0.405</v>
      </c>
      <c r="G122" s="70"/>
      <c r="H122" s="58" t="e">
        <f aca="false">'Current Form'!L122</f>
        <v>#VALUE!</v>
      </c>
      <c r="I122" s="71"/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267</v>
      </c>
      <c r="B123" s="69" t="e">
        <f aca="false">'SG OTT'!Q123</f>
        <v>#VALUE!</v>
      </c>
      <c r="C123" s="70" t="e">
        <f aca="false">Class!Q123</f>
        <v>#VALUE!</v>
      </c>
      <c r="D123" s="70" t="e">
        <f aca="false">'SG APP'!Q123</f>
        <v>#VALUE!</v>
      </c>
      <c r="E123" s="70" t="e">
        <f aca="false">'SG PUTT'!Q123</f>
        <v>#VALUE!</v>
      </c>
      <c r="F123" s="70" t="e">
        <f aca="false">'SG ARG'!Q123</f>
        <v>#VALUE!</v>
      </c>
      <c r="G123" s="70"/>
      <c r="H123" s="58" t="e">
        <f aca="false">'Current Form'!L123</f>
        <v>#VALUE!</v>
      </c>
      <c r="I123" s="71"/>
      <c r="J123" s="22" t="s">
        <v>467</v>
      </c>
      <c r="K123" s="22" t="s">
        <v>468</v>
      </c>
    </row>
    <row r="124" customFormat="false" ht="15.75" hidden="false" customHeight="true" outlineLevel="0" collapsed="false">
      <c r="A124" s="57" t="s">
        <v>268</v>
      </c>
      <c r="B124" s="69" t="n">
        <f aca="false">'SG OTT'!Q124</f>
        <v>-0.622857142857143</v>
      </c>
      <c r="C124" s="70" t="n">
        <f aca="false">Class!Q124</f>
        <v>0</v>
      </c>
      <c r="D124" s="70" t="n">
        <f aca="false">'SG APP'!Q124</f>
        <v>-0.79</v>
      </c>
      <c r="E124" s="70" t="n">
        <f aca="false">'SG PUTT'!Q124</f>
        <v>-0.33</v>
      </c>
      <c r="F124" s="70" t="n">
        <f aca="false">'SG ARG'!Q124</f>
        <v>-0.43</v>
      </c>
      <c r="G124" s="70"/>
      <c r="H124" s="58" t="n">
        <f aca="false">'Current Form'!L124</f>
        <v>-1.24333333333333</v>
      </c>
      <c r="I124" s="71"/>
      <c r="J124" s="22" t="s">
        <v>467</v>
      </c>
      <c r="K124" s="22" t="s">
        <v>469</v>
      </c>
    </row>
    <row r="125" customFormat="false" ht="15.75" hidden="false" customHeight="true" outlineLevel="0" collapsed="false">
      <c r="A125" s="59" t="s">
        <v>269</v>
      </c>
      <c r="B125" s="69" t="n">
        <f aca="false">'SG OTT'!Q125</f>
        <v>-0.1075</v>
      </c>
      <c r="C125" s="70" t="n">
        <f aca="false">Class!Q125</f>
        <v>0.07375</v>
      </c>
      <c r="D125" s="70" t="n">
        <f aca="false">'SG APP'!Q125</f>
        <v>-0.4775</v>
      </c>
      <c r="E125" s="70" t="n">
        <f aca="false">'SG PUTT'!Q125</f>
        <v>-0.16125</v>
      </c>
      <c r="F125" s="70" t="n">
        <f aca="false">'SG ARG'!Q125</f>
        <v>0.26625</v>
      </c>
      <c r="G125" s="70" t="n">
        <v>0.19</v>
      </c>
      <c r="H125" s="58" t="n">
        <f aca="false">'Current Form'!L125</f>
        <v>-0.252</v>
      </c>
      <c r="I125" s="71" t="n">
        <v>-0.03</v>
      </c>
      <c r="J125" s="22" t="s">
        <v>137</v>
      </c>
      <c r="K125" s="22" t="s">
        <v>468</v>
      </c>
    </row>
    <row r="126" customFormat="false" ht="15.75" hidden="false" customHeight="true" outlineLevel="0" collapsed="false">
      <c r="A126" s="57" t="s">
        <v>270</v>
      </c>
      <c r="B126" s="69" t="n">
        <f aca="false">'SG OTT'!Q126</f>
        <v>-0.24</v>
      </c>
      <c r="C126" s="70" t="n">
        <f aca="false">Class!Q126</f>
        <v>0.352857142857143</v>
      </c>
      <c r="D126" s="70" t="n">
        <f aca="false">'SG APP'!Q126</f>
        <v>0.392857142857143</v>
      </c>
      <c r="E126" s="70" t="n">
        <f aca="false">'SG PUTT'!Q126</f>
        <v>-0.244285714285714</v>
      </c>
      <c r="F126" s="70" t="n">
        <f aca="false">'SG ARG'!Q126</f>
        <v>-0.0542857142857143</v>
      </c>
      <c r="G126" s="70"/>
      <c r="H126" s="58" t="n">
        <f aca="false">'Current Form'!L126</f>
        <v>-2.435</v>
      </c>
      <c r="I126" s="71"/>
      <c r="J126" s="22" t="s">
        <v>467</v>
      </c>
      <c r="K126" s="22" t="s">
        <v>469</v>
      </c>
    </row>
    <row r="127" customFormat="false" ht="15.75" hidden="false" customHeight="true" outlineLevel="0" collapsed="false">
      <c r="A127" s="59" t="s">
        <v>271</v>
      </c>
      <c r="B127" s="69" t="n">
        <f aca="false">'SG OTT'!Q127</f>
        <v>-0.105</v>
      </c>
      <c r="C127" s="70" t="n">
        <f aca="false">Class!Q127</f>
        <v>0.03</v>
      </c>
      <c r="D127" s="70" t="n">
        <f aca="false">'SG APP'!Q127</f>
        <v>-0.11</v>
      </c>
      <c r="E127" s="70" t="n">
        <f aca="false">'SG PUTT'!Q127</f>
        <v>-0.58625</v>
      </c>
      <c r="F127" s="70" t="n">
        <f aca="false">'SG ARG'!Q127</f>
        <v>0.17625</v>
      </c>
      <c r="G127" s="70" t="n">
        <v>-0.09</v>
      </c>
      <c r="H127" s="58" t="n">
        <f aca="false">'Current Form'!L127</f>
        <v>-0.788</v>
      </c>
      <c r="I127" s="71" t="n">
        <v>-0.04</v>
      </c>
      <c r="J127" s="22" t="s">
        <v>137</v>
      </c>
      <c r="K127" s="22" t="s">
        <v>468</v>
      </c>
    </row>
    <row r="128" customFormat="false" ht="15.75" hidden="false" customHeight="true" outlineLevel="0" collapsed="false">
      <c r="A128" s="57" t="s">
        <v>272</v>
      </c>
      <c r="B128" s="69" t="n">
        <f aca="false">'SG OTT'!Q128</f>
        <v>-0.07</v>
      </c>
      <c r="C128" s="70" t="n">
        <f aca="false">Class!Q128</f>
        <v>0.0457142857142857</v>
      </c>
      <c r="D128" s="70" t="n">
        <f aca="false">'SG APP'!Q128</f>
        <v>-0.622857142857143</v>
      </c>
      <c r="E128" s="70" t="n">
        <f aca="false">'SG PUTT'!Q128</f>
        <v>-0.407142857142857</v>
      </c>
      <c r="F128" s="70" t="n">
        <f aca="false">'SG ARG'!Q128</f>
        <v>-0.155714285714286</v>
      </c>
      <c r="G128" s="70"/>
      <c r="H128" s="58" t="n">
        <f aca="false">'Current Form'!L128</f>
        <v>-1.45333333333333</v>
      </c>
      <c r="I128" s="71"/>
      <c r="J128" s="22" t="s">
        <v>467</v>
      </c>
      <c r="K128" s="22" t="s">
        <v>469</v>
      </c>
    </row>
    <row r="129" customFormat="false" ht="15.75" hidden="false" customHeight="true" outlineLevel="0" collapsed="false">
      <c r="A129" s="57" t="s">
        <v>273</v>
      </c>
      <c r="B129" s="69" t="n">
        <f aca="false">'SG OTT'!Q129</f>
        <v>0.408</v>
      </c>
      <c r="C129" s="70" t="n">
        <f aca="false">Class!Q129</f>
        <v>0.23</v>
      </c>
      <c r="D129" s="70" t="n">
        <f aca="false">'SG APP'!Q129</f>
        <v>0.451</v>
      </c>
      <c r="E129" s="70" t="n">
        <f aca="false">'SG PUTT'!Q129</f>
        <v>-0.041</v>
      </c>
      <c r="F129" s="70" t="n">
        <f aca="false">'SG ARG'!Q129</f>
        <v>-0.24</v>
      </c>
      <c r="G129" s="70" t="n">
        <v>-0.12</v>
      </c>
      <c r="H129" s="58" t="n">
        <f aca="false">'Current Form'!L129</f>
        <v>-0.00999999999999997</v>
      </c>
      <c r="I129" s="71" t="n">
        <v>-0.04</v>
      </c>
      <c r="J129" s="22" t="s">
        <v>137</v>
      </c>
      <c r="K129" s="22" t="s">
        <v>468</v>
      </c>
    </row>
    <row r="130" customFormat="false" ht="15.75" hidden="false" customHeight="true" outlineLevel="0" collapsed="false">
      <c r="A130" s="59" t="s">
        <v>274</v>
      </c>
      <c r="B130" s="69" t="n">
        <f aca="false">'SG OTT'!Q130</f>
        <v>0.143333333333333</v>
      </c>
      <c r="C130" s="70" t="n">
        <f aca="false">Class!Q130</f>
        <v>0.0966666666666667</v>
      </c>
      <c r="D130" s="70" t="n">
        <f aca="false">'SG APP'!Q130</f>
        <v>0.32</v>
      </c>
      <c r="E130" s="70" t="n">
        <f aca="false">'SG PUTT'!Q130</f>
        <v>-0.19</v>
      </c>
      <c r="F130" s="70" t="n">
        <f aca="false">'SG ARG'!Q130</f>
        <v>-0.0466666666666667</v>
      </c>
      <c r="G130" s="70"/>
      <c r="H130" s="58" t="n">
        <f aca="false">'Current Form'!L130</f>
        <v>0</v>
      </c>
      <c r="I130" s="71"/>
      <c r="J130" s="22" t="s">
        <v>467</v>
      </c>
      <c r="K130" s="22" t="s">
        <v>468</v>
      </c>
    </row>
    <row r="131" customFormat="false" ht="15.75" hidden="false" customHeight="true" outlineLevel="0" collapsed="false">
      <c r="A131" s="57" t="s">
        <v>275</v>
      </c>
      <c r="B131" s="69" t="n">
        <f aca="false">'SG OTT'!Q131</f>
        <v>-0.136363636363636</v>
      </c>
      <c r="C131" s="70" t="n">
        <f aca="false">Class!Q131</f>
        <v>0.367272727272727</v>
      </c>
      <c r="D131" s="70" t="n">
        <f aca="false">'SG APP'!Q131</f>
        <v>0.304545454545455</v>
      </c>
      <c r="E131" s="70" t="n">
        <f aca="false">'SG PUTT'!Q131</f>
        <v>0.311818181818182</v>
      </c>
      <c r="F131" s="70" t="n">
        <f aca="false">'SG ARG'!Q131</f>
        <v>0.0472727272727273</v>
      </c>
      <c r="G131" s="70" t="n">
        <v>-0.04</v>
      </c>
      <c r="H131" s="58" t="n">
        <f aca="false">'Current Form'!L131</f>
        <v>0.278571428571429</v>
      </c>
      <c r="I131" s="71" t="n">
        <v>0.04</v>
      </c>
      <c r="J131" s="22" t="s">
        <v>137</v>
      </c>
      <c r="K131" s="22" t="s">
        <v>468</v>
      </c>
    </row>
    <row r="132" customFormat="false" ht="15.75" hidden="false" customHeight="true" outlineLevel="0" collapsed="false">
      <c r="A132" s="59" t="s">
        <v>276</v>
      </c>
      <c r="B132" s="69" t="e">
        <f aca="false">'SG OTT'!Q132</f>
        <v>#DIV/0!</v>
      </c>
      <c r="C132" s="70" t="e">
        <f aca="false">Class!Q132</f>
        <v>#DIV/0!</v>
      </c>
      <c r="D132" s="70" t="e">
        <f aca="false">'SG APP'!Q132</f>
        <v>#DIV/0!</v>
      </c>
      <c r="E132" s="70" t="e">
        <f aca="false">'SG PUTT'!Q132</f>
        <v>#DIV/0!</v>
      </c>
      <c r="F132" s="70" t="e">
        <f aca="false">'SG ARG'!Q132</f>
        <v>#DIV/0!</v>
      </c>
      <c r="G132" s="70"/>
      <c r="H132" s="58" t="e">
        <f aca="false">'Current Form'!L132</f>
        <v>#DIV/0!</v>
      </c>
      <c r="I132" s="71"/>
      <c r="J132" s="22" t="s">
        <v>467</v>
      </c>
      <c r="K132" s="22" t="s">
        <v>468</v>
      </c>
    </row>
    <row r="133" customFormat="false" ht="15.75" hidden="false" customHeight="true" outlineLevel="0" collapsed="false">
      <c r="A133" s="57" t="s">
        <v>277</v>
      </c>
      <c r="B133" s="69" t="n">
        <f aca="false">'SG OTT'!Q133</f>
        <v>0.33375</v>
      </c>
      <c r="C133" s="70" t="n">
        <f aca="false">Class!Q133</f>
        <v>1.575</v>
      </c>
      <c r="D133" s="70" t="n">
        <f aca="false">'SG APP'!Q133</f>
        <v>0.83</v>
      </c>
      <c r="E133" s="70" t="n">
        <f aca="false">'SG PUTT'!Q133</f>
        <v>-0.03375</v>
      </c>
      <c r="F133" s="70" t="n">
        <f aca="false">'SG ARG'!Q133</f>
        <v>0.375</v>
      </c>
      <c r="G133" s="70"/>
      <c r="H133" s="58" t="n">
        <f aca="false">'Current Form'!L133</f>
        <v>1.5025</v>
      </c>
      <c r="I133" s="71"/>
      <c r="J133" s="22" t="s">
        <v>467</v>
      </c>
      <c r="K133" s="22" t="s">
        <v>468</v>
      </c>
    </row>
    <row r="134" customFormat="false" ht="15.75" hidden="false" customHeight="true" outlineLevel="0" collapsed="false">
      <c r="A134" s="57" t="s">
        <v>13</v>
      </c>
      <c r="B134" s="69" t="n">
        <f aca="false">'SG OTT'!Q134</f>
        <v>0.03875</v>
      </c>
      <c r="C134" s="70" t="n">
        <f aca="false">Class!Q134</f>
        <v>1.9375</v>
      </c>
      <c r="D134" s="70" t="n">
        <f aca="false">'SG APP'!Q134</f>
        <v>1.18875</v>
      </c>
      <c r="E134" s="70" t="n">
        <f aca="false">'SG PUTT'!Q134</f>
        <v>0.1275</v>
      </c>
      <c r="F134" s="70" t="n">
        <f aca="false">'SG ARG'!Q134</f>
        <v>0.1525</v>
      </c>
      <c r="G134" s="70" t="n">
        <v>0.12</v>
      </c>
      <c r="H134" s="58" t="n">
        <f aca="false">'Current Form'!L134</f>
        <v>1.832</v>
      </c>
      <c r="I134" s="71" t="n">
        <v>0.02</v>
      </c>
      <c r="J134" s="22" t="s">
        <v>137</v>
      </c>
      <c r="K134" s="22" t="s">
        <v>468</v>
      </c>
    </row>
    <row r="135" customFormat="false" ht="15.75" hidden="false" customHeight="true" outlineLevel="0" collapsed="false">
      <c r="A135" s="57" t="s">
        <v>278</v>
      </c>
      <c r="B135" s="69" t="n">
        <f aca="false">'SG OTT'!Q135</f>
        <v>-0.104285714285714</v>
      </c>
      <c r="C135" s="70" t="n">
        <f aca="false">Class!Q135</f>
        <v>0.205714285714286</v>
      </c>
      <c r="D135" s="70" t="n">
        <f aca="false">'SG APP'!Q135</f>
        <v>0.695714285714286</v>
      </c>
      <c r="E135" s="70" t="n">
        <f aca="false">'SG PUTT'!Q135</f>
        <v>-0.584285714285714</v>
      </c>
      <c r="F135" s="70" t="n">
        <f aca="false">'SG ARG'!Q135</f>
        <v>0.107142857142857</v>
      </c>
      <c r="G135" s="70" t="n">
        <v>0.06</v>
      </c>
      <c r="H135" s="58" t="n">
        <f aca="false">'Current Form'!L135</f>
        <v>-0.1425</v>
      </c>
      <c r="I135" s="71" t="n">
        <v>0.16</v>
      </c>
      <c r="J135" s="22" t="s">
        <v>137</v>
      </c>
      <c r="K135" s="22" t="s">
        <v>468</v>
      </c>
    </row>
    <row r="136" customFormat="false" ht="15.75" hidden="false" customHeight="true" outlineLevel="0" collapsed="false">
      <c r="A136" s="57" t="s">
        <v>279</v>
      </c>
      <c r="B136" s="69" t="n">
        <f aca="false">'SG OTT'!Q136</f>
        <v>0.545714285714286</v>
      </c>
      <c r="C136" s="70" t="n">
        <f aca="false">Class!Q136</f>
        <v>0.695714285714286</v>
      </c>
      <c r="D136" s="70" t="n">
        <f aca="false">'SG APP'!Q136</f>
        <v>0.73</v>
      </c>
      <c r="E136" s="70" t="n">
        <f aca="false">'SG PUTT'!Q136</f>
        <v>0.175714285714286</v>
      </c>
      <c r="F136" s="70" t="n">
        <f aca="false">'SG ARG'!Q136</f>
        <v>0.07</v>
      </c>
      <c r="G136" s="70"/>
      <c r="H136" s="58" t="n">
        <f aca="false">'Current Form'!L136</f>
        <v>1.0525</v>
      </c>
      <c r="I136" s="71"/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280</v>
      </c>
      <c r="B137" s="69" t="n">
        <f aca="false">'SG OTT'!Q137</f>
        <v>-1.17857142857143</v>
      </c>
      <c r="C137" s="70" t="n">
        <f aca="false">Class!Q137</f>
        <v>0</v>
      </c>
      <c r="D137" s="70" t="n">
        <f aca="false">'SG APP'!Q137</f>
        <v>-1.07285714285714</v>
      </c>
      <c r="E137" s="70" t="n">
        <f aca="false">'SG PUTT'!Q137</f>
        <v>-0.697142857142857</v>
      </c>
      <c r="F137" s="70" t="n">
        <f aca="false">'SG ARG'!Q137</f>
        <v>0.248571428571429</v>
      </c>
      <c r="G137" s="70" t="n">
        <v>-0.08</v>
      </c>
      <c r="H137" s="58" t="n">
        <f aca="false">'Current Form'!L137</f>
        <v>-2.3625</v>
      </c>
      <c r="I137" s="71" t="n">
        <v>0.18</v>
      </c>
      <c r="J137" s="22" t="s">
        <v>137</v>
      </c>
      <c r="K137" s="22" t="s">
        <v>468</v>
      </c>
    </row>
    <row r="138" customFormat="false" ht="15.75" hidden="false" customHeight="true" outlineLevel="0" collapsed="false">
      <c r="A138" s="57" t="s">
        <v>281</v>
      </c>
      <c r="B138" s="69" t="n">
        <f aca="false">'SG OTT'!Q138</f>
        <v>0.14</v>
      </c>
      <c r="C138" s="70" t="n">
        <f aca="false">Class!Q138</f>
        <v>0</v>
      </c>
      <c r="D138" s="70" t="n">
        <f aca="false">'SG APP'!Q138</f>
        <v>0.295</v>
      </c>
      <c r="E138" s="70" t="n">
        <f aca="false">'SG PUTT'!Q138</f>
        <v>0</v>
      </c>
      <c r="F138" s="70" t="n">
        <f aca="false">'SG ARG'!Q138</f>
        <v>-0.4575</v>
      </c>
      <c r="G138" s="70"/>
      <c r="H138" s="58" t="n">
        <f aca="false">'Current Form'!L138</f>
        <v>-0.3</v>
      </c>
      <c r="I138" s="71"/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282</v>
      </c>
      <c r="B139" s="69" t="e">
        <f aca="false">'SG OTT'!Q139</f>
        <v>#DIV/0!</v>
      </c>
      <c r="C139" s="70" t="e">
        <f aca="false">Class!Q139</f>
        <v>#DIV/0!</v>
      </c>
      <c r="D139" s="70" t="e">
        <f aca="false">'SG APP'!Q139</f>
        <v>#DIV/0!</v>
      </c>
      <c r="E139" s="70" t="e">
        <f aca="false">'SG PUTT'!Q139</f>
        <v>#DIV/0!</v>
      </c>
      <c r="F139" s="70" t="e">
        <f aca="false">'SG ARG'!Q139</f>
        <v>#DIV/0!</v>
      </c>
      <c r="G139" s="70"/>
      <c r="H139" s="58" t="e">
        <f aca="false">'Current Form'!L139</f>
        <v>#DIV/0!</v>
      </c>
      <c r="I139" s="71"/>
      <c r="J139" s="22" t="s">
        <v>467</v>
      </c>
      <c r="K139" s="22" t="s">
        <v>468</v>
      </c>
    </row>
    <row r="140" customFormat="false" ht="15.75" hidden="false" customHeight="true" outlineLevel="0" collapsed="false">
      <c r="A140" s="57" t="s">
        <v>283</v>
      </c>
      <c r="B140" s="69" t="n">
        <f aca="false">'SG OTT'!Q140</f>
        <v>0.333333333333333</v>
      </c>
      <c r="C140" s="70" t="n">
        <f aca="false">Class!Q140</f>
        <v>0.245</v>
      </c>
      <c r="D140" s="70" t="n">
        <f aca="false">'SG APP'!Q140</f>
        <v>0.206666666666667</v>
      </c>
      <c r="E140" s="70" t="n">
        <f aca="false">'SG PUTT'!Q140</f>
        <v>-0.155</v>
      </c>
      <c r="F140" s="70" t="n">
        <f aca="false">'SG ARG'!Q140</f>
        <v>0.0966666666666667</v>
      </c>
      <c r="G140" s="70" t="n">
        <v>-0.13</v>
      </c>
      <c r="H140" s="58" t="n">
        <f aca="false">'Current Form'!L140</f>
        <v>0.21</v>
      </c>
      <c r="I140" s="71" t="n">
        <v>0.01</v>
      </c>
      <c r="J140" s="22" t="s">
        <v>137</v>
      </c>
      <c r="K140" s="22" t="s">
        <v>468</v>
      </c>
    </row>
    <row r="141" customFormat="false" ht="15.75" hidden="false" customHeight="true" outlineLevel="0" collapsed="false">
      <c r="A141" s="59" t="s">
        <v>284</v>
      </c>
      <c r="B141" s="69" t="n">
        <f aca="false">'SG OTT'!Q141</f>
        <v>0.226666666666667</v>
      </c>
      <c r="C141" s="70" t="n">
        <f aca="false">Class!Q141</f>
        <v>0.511666666666667</v>
      </c>
      <c r="D141" s="70" t="n">
        <f aca="false">'SG APP'!Q141</f>
        <v>0.38</v>
      </c>
      <c r="E141" s="70" t="n">
        <f aca="false">'SG PUTT'!Q141</f>
        <v>0.138333333333333</v>
      </c>
      <c r="F141" s="70" t="n">
        <f aca="false">'SG ARG'!Q141</f>
        <v>-0.03</v>
      </c>
      <c r="G141" s="70" t="n">
        <v>0.4</v>
      </c>
      <c r="H141" s="58" t="n">
        <f aca="false">'Current Form'!L141</f>
        <v>1.79666666666667</v>
      </c>
      <c r="I141" s="71" t="n">
        <v>0.01</v>
      </c>
      <c r="J141" s="22" t="s">
        <v>137</v>
      </c>
      <c r="K141" s="22" t="s">
        <v>468</v>
      </c>
    </row>
    <row r="142" customFormat="false" ht="15.75" hidden="false" customHeight="true" outlineLevel="0" collapsed="false">
      <c r="A142" s="59" t="s">
        <v>285</v>
      </c>
      <c r="B142" s="69" t="n">
        <f aca="false">'SG OTT'!Q142</f>
        <v>0.535</v>
      </c>
      <c r="C142" s="70" t="n">
        <f aca="false">Class!Q142</f>
        <v>0.675</v>
      </c>
      <c r="D142" s="70" t="n">
        <f aca="false">'SG APP'!Q142</f>
        <v>0.37</v>
      </c>
      <c r="E142" s="70" t="n">
        <f aca="false">'SG PUTT'!Q142</f>
        <v>0.015</v>
      </c>
      <c r="F142" s="70" t="n">
        <f aca="false">'SG ARG'!Q142</f>
        <v>0.275</v>
      </c>
      <c r="G142" s="70" t="n">
        <v>0.08</v>
      </c>
      <c r="H142" s="58" t="n">
        <f aca="false">'Current Form'!L142</f>
        <v>1.37</v>
      </c>
      <c r="I142" s="71" t="n">
        <v>0.02</v>
      </c>
      <c r="J142" s="22" t="s">
        <v>137</v>
      </c>
      <c r="K142" s="22" t="s">
        <v>468</v>
      </c>
    </row>
    <row r="143" customFormat="false" ht="15.75" hidden="false" customHeight="true" outlineLevel="0" collapsed="false">
      <c r="A143" s="57" t="s">
        <v>286</v>
      </c>
      <c r="B143" s="69" t="n">
        <f aca="false">'SG OTT'!Q143</f>
        <v>-0.413333333333333</v>
      </c>
      <c r="C143" s="70" t="n">
        <f aca="false">Class!Q143</f>
        <v>0</v>
      </c>
      <c r="D143" s="70" t="n">
        <f aca="false">'SG APP'!Q143</f>
        <v>-0.683333333333333</v>
      </c>
      <c r="E143" s="70" t="n">
        <f aca="false">'SG PUTT'!Q143</f>
        <v>-0.27</v>
      </c>
      <c r="F143" s="70" t="n">
        <f aca="false">'SG ARG'!Q143</f>
        <v>0.00333333333333335</v>
      </c>
      <c r="G143" s="70"/>
      <c r="H143" s="58" t="n">
        <f aca="false">'Current Form'!L143</f>
        <v>-1.66</v>
      </c>
      <c r="I143" s="71"/>
      <c r="J143" s="22" t="s">
        <v>467</v>
      </c>
      <c r="K143" s="22" t="s">
        <v>469</v>
      </c>
    </row>
    <row r="144" customFormat="false" ht="15.75" hidden="false" customHeight="true" outlineLevel="0" collapsed="false">
      <c r="A144" s="59" t="s">
        <v>287</v>
      </c>
      <c r="B144" s="69" t="n">
        <f aca="false">'SG OTT'!Q144</f>
        <v>-0.533333333333333</v>
      </c>
      <c r="C144" s="70" t="n">
        <f aca="false">Class!Q144</f>
        <v>0.256666666666667</v>
      </c>
      <c r="D144" s="70" t="n">
        <f aca="false">'SG APP'!Q144</f>
        <v>-0.0316666666666667</v>
      </c>
      <c r="E144" s="70" t="n">
        <f aca="false">'SG PUTT'!Q144</f>
        <v>0.075</v>
      </c>
      <c r="F144" s="70" t="n">
        <f aca="false">'SG ARG'!Q144</f>
        <v>0.36</v>
      </c>
      <c r="G144" s="70" t="n">
        <v>0.28</v>
      </c>
      <c r="H144" s="58" t="n">
        <f aca="false">'Current Form'!L144</f>
        <v>0.0166666666666666</v>
      </c>
      <c r="I144" s="71" t="n">
        <v>0.09</v>
      </c>
      <c r="J144" s="22" t="s">
        <v>137</v>
      </c>
      <c r="K144" s="22" t="s">
        <v>468</v>
      </c>
    </row>
    <row r="145" customFormat="false" ht="15.75" hidden="false" customHeight="true" outlineLevel="0" collapsed="false">
      <c r="A145" s="57" t="s">
        <v>288</v>
      </c>
      <c r="B145" s="69" t="n">
        <f aca="false">'SG OTT'!Q145</f>
        <v>0.122</v>
      </c>
      <c r="C145" s="70" t="n">
        <f aca="false">Class!Q145</f>
        <v>0.058</v>
      </c>
      <c r="D145" s="70" t="n">
        <f aca="false">'SG APP'!Q145</f>
        <v>-0.758</v>
      </c>
      <c r="E145" s="70" t="n">
        <f aca="false">'SG PUTT'!Q145</f>
        <v>-0.626</v>
      </c>
      <c r="F145" s="70" t="n">
        <f aca="false">'SG ARG'!Q145</f>
        <v>0.012</v>
      </c>
      <c r="G145" s="70"/>
      <c r="H145" s="58" t="n">
        <f aca="false">'Current Form'!L145</f>
        <v>-0.92</v>
      </c>
      <c r="I145" s="71"/>
      <c r="J145" s="22" t="s">
        <v>467</v>
      </c>
      <c r="K145" s="22" t="s">
        <v>469</v>
      </c>
    </row>
    <row r="146" customFormat="false" ht="15.75" hidden="false" customHeight="true" outlineLevel="0" collapsed="false">
      <c r="A146" s="57" t="s">
        <v>289</v>
      </c>
      <c r="B146" s="69" t="n">
        <f aca="false">'SG OTT'!Q146</f>
        <v>-0.192857142857143</v>
      </c>
      <c r="C146" s="70" t="n">
        <f aca="false">Class!Q146</f>
        <v>0.0857142857142857</v>
      </c>
      <c r="D146" s="70" t="n">
        <f aca="false">'SG APP'!Q146</f>
        <v>-0.52</v>
      </c>
      <c r="E146" s="70" t="n">
        <f aca="false">'SG PUTT'!Q146</f>
        <v>-0.0842857142857143</v>
      </c>
      <c r="F146" s="70" t="n">
        <f aca="false">'SG ARG'!Q146</f>
        <v>-0.154285714285714</v>
      </c>
      <c r="G146" s="70"/>
      <c r="H146" s="58" t="n">
        <f aca="false">'Current Form'!L146</f>
        <v>-0.993333333333333</v>
      </c>
      <c r="I146" s="71"/>
      <c r="J146" s="22" t="s">
        <v>467</v>
      </c>
      <c r="K146" s="22" t="s">
        <v>469</v>
      </c>
    </row>
    <row r="147" customFormat="false" ht="15.75" hidden="false" customHeight="true" outlineLevel="0" collapsed="false">
      <c r="A147" s="59" t="s">
        <v>290</v>
      </c>
      <c r="B147" s="69" t="n">
        <f aca="false">'SG OTT'!Q147</f>
        <v>-0.22</v>
      </c>
      <c r="C147" s="70" t="n">
        <f aca="false">Class!Q147</f>
        <v>0</v>
      </c>
      <c r="D147" s="70" t="n">
        <f aca="false">'SG APP'!Q147</f>
        <v>-1.215</v>
      </c>
      <c r="E147" s="70" t="n">
        <f aca="false">'SG PUTT'!Q147</f>
        <v>-0.745</v>
      </c>
      <c r="F147" s="70" t="n">
        <f aca="false">'SG ARG'!Q147</f>
        <v>0.525</v>
      </c>
      <c r="G147" s="70"/>
      <c r="H147" s="58" t="e">
        <f aca="false">'Current Form'!L147</f>
        <v>#VALUE!</v>
      </c>
      <c r="I147" s="71"/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291</v>
      </c>
      <c r="B148" s="69" t="e">
        <f aca="false">'SG OTT'!Q148</f>
        <v>#DIV/0!</v>
      </c>
      <c r="C148" s="70" t="e">
        <f aca="false">Class!Q148</f>
        <v>#DIV/0!</v>
      </c>
      <c r="D148" s="70" t="e">
        <f aca="false">'SG APP'!Q148</f>
        <v>#DIV/0!</v>
      </c>
      <c r="E148" s="70" t="e">
        <f aca="false">'SG PUTT'!Q148</f>
        <v>#DIV/0!</v>
      </c>
      <c r="F148" s="70" t="e">
        <f aca="false">'SG ARG'!Q148</f>
        <v>#DIV/0!</v>
      </c>
      <c r="G148" s="70"/>
      <c r="H148" s="58" t="e">
        <f aca="false">'Current Form'!L148</f>
        <v>#DIV/0!</v>
      </c>
      <c r="I148" s="71"/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292</v>
      </c>
      <c r="B149" s="69" t="n">
        <f aca="false">'SG OTT'!Q149</f>
        <v>-0.14625</v>
      </c>
      <c r="C149" s="70" t="n">
        <f aca="false">Class!Q149</f>
        <v>0</v>
      </c>
      <c r="D149" s="70" t="n">
        <f aca="false">'SG APP'!Q149</f>
        <v>-1.93125</v>
      </c>
      <c r="E149" s="70" t="n">
        <f aca="false">'SG PUTT'!Q149</f>
        <v>-0.51</v>
      </c>
      <c r="F149" s="70" t="n">
        <f aca="false">'SG ARG'!Q149</f>
        <v>-0.29875</v>
      </c>
      <c r="G149" s="70" t="n">
        <v>-0.47</v>
      </c>
      <c r="H149" s="58" t="n">
        <f aca="false">'Current Form'!L149</f>
        <v>-3.148</v>
      </c>
      <c r="I149" s="71" t="n">
        <v>-0.04</v>
      </c>
      <c r="J149" s="22" t="s">
        <v>137</v>
      </c>
      <c r="K149" s="22" t="s">
        <v>468</v>
      </c>
    </row>
    <row r="150" customFormat="false" ht="15.75" hidden="false" customHeight="true" outlineLevel="0" collapsed="false">
      <c r="A150" s="57" t="s">
        <v>293</v>
      </c>
      <c r="B150" s="69" t="n">
        <f aca="false">'SG OTT'!Q150</f>
        <v>-0.35</v>
      </c>
      <c r="C150" s="70" t="n">
        <f aca="false">Class!Q150</f>
        <v>0</v>
      </c>
      <c r="D150" s="70" t="n">
        <f aca="false">'SG APP'!Q150</f>
        <v>-0.87</v>
      </c>
      <c r="E150" s="70" t="n">
        <f aca="false">'SG PUTT'!Q150</f>
        <v>-0.891666666666667</v>
      </c>
      <c r="F150" s="70" t="n">
        <f aca="false">'SG ARG'!Q150</f>
        <v>-0.216666666666667</v>
      </c>
      <c r="G150" s="70"/>
      <c r="H150" s="58" t="n">
        <f aca="false">'Current Form'!L150</f>
        <v>-1.53</v>
      </c>
      <c r="I150" s="71"/>
      <c r="J150" s="22" t="s">
        <v>467</v>
      </c>
      <c r="K150" s="22" t="s">
        <v>469</v>
      </c>
    </row>
    <row r="151" customFormat="false" ht="15.75" hidden="false" customHeight="true" outlineLevel="0" collapsed="false">
      <c r="A151" s="57" t="s">
        <v>294</v>
      </c>
      <c r="B151" s="69" t="n">
        <f aca="false">'SG OTT'!Q151</f>
        <v>0.00999999999999999</v>
      </c>
      <c r="C151" s="70" t="n">
        <f aca="false">Class!Q151</f>
        <v>0</v>
      </c>
      <c r="D151" s="70" t="n">
        <f aca="false">'SG APP'!Q151</f>
        <v>-0.0483333333333333</v>
      </c>
      <c r="E151" s="70" t="n">
        <f aca="false">'SG PUTT'!Q151</f>
        <v>-1.18166666666667</v>
      </c>
      <c r="F151" s="70" t="n">
        <f aca="false">'SG ARG'!Q151</f>
        <v>-0.383333333333333</v>
      </c>
      <c r="G151" s="70"/>
      <c r="H151" s="58" t="n">
        <f aca="false">'Current Form'!L151</f>
        <v>-2.105</v>
      </c>
      <c r="I151" s="71"/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295</v>
      </c>
      <c r="B152" s="69" t="n">
        <f aca="false">'SG OTT'!Q152</f>
        <v>-0.38125</v>
      </c>
      <c r="C152" s="70" t="n">
        <f aca="false">Class!Q152</f>
        <v>0.04375</v>
      </c>
      <c r="D152" s="70" t="n">
        <f aca="false">'SG APP'!Q152</f>
        <v>0.10625</v>
      </c>
      <c r="E152" s="70" t="n">
        <f aca="false">'SG PUTT'!Q152</f>
        <v>-0.85625</v>
      </c>
      <c r="F152" s="70" t="n">
        <f aca="false">'SG ARG'!Q152</f>
        <v>0.1025</v>
      </c>
      <c r="G152" s="70" t="n">
        <v>0</v>
      </c>
      <c r="H152" s="58" t="n">
        <f aca="false">'Current Form'!L152</f>
        <v>-0.944</v>
      </c>
      <c r="I152" s="71" t="n">
        <v>0.02</v>
      </c>
      <c r="J152" s="22" t="s">
        <v>137</v>
      </c>
      <c r="K152" s="22" t="s">
        <v>468</v>
      </c>
    </row>
    <row r="153" customFormat="false" ht="15.75" hidden="false" customHeight="true" outlineLevel="0" collapsed="false">
      <c r="A153" s="57" t="s">
        <v>296</v>
      </c>
      <c r="B153" s="69" t="n">
        <f aca="false">'SG OTT'!Q153</f>
        <v>0.0866666666666667</v>
      </c>
      <c r="C153" s="70" t="n">
        <f aca="false">Class!Q153</f>
        <v>0</v>
      </c>
      <c r="D153" s="70" t="n">
        <f aca="false">'SG APP'!Q153</f>
        <v>-1.79666666666667</v>
      </c>
      <c r="E153" s="70" t="n">
        <f aca="false">'SG PUTT'!Q153</f>
        <v>-0.426666666666667</v>
      </c>
      <c r="F153" s="70" t="n">
        <f aca="false">'SG ARG'!Q153</f>
        <v>0</v>
      </c>
      <c r="G153" s="70"/>
      <c r="H153" s="58" t="n">
        <f aca="false">'Current Form'!L153</f>
        <v>-1.71</v>
      </c>
      <c r="I153" s="71"/>
      <c r="J153" s="22" t="s">
        <v>467</v>
      </c>
      <c r="K153" s="22" t="s">
        <v>469</v>
      </c>
    </row>
    <row r="154" customFormat="false" ht="15.75" hidden="false" customHeight="true" outlineLevel="0" collapsed="false">
      <c r="A154" s="59" t="s">
        <v>297</v>
      </c>
      <c r="B154" s="69" t="e">
        <f aca="false">'SG OTT'!Q154</f>
        <v>#VALUE!</v>
      </c>
      <c r="C154" s="70" t="e">
        <f aca="false">Class!Q154</f>
        <v>#VALUE!</v>
      </c>
      <c r="D154" s="70" t="e">
        <f aca="false">'SG APP'!Q154</f>
        <v>#VALUE!</v>
      </c>
      <c r="E154" s="70" t="e">
        <f aca="false">'SG PUTT'!Q154</f>
        <v>#VALUE!</v>
      </c>
      <c r="F154" s="70" t="e">
        <f aca="false">'SG ARG'!Q154</f>
        <v>#VALUE!</v>
      </c>
      <c r="G154" s="70"/>
      <c r="H154" s="58" t="e">
        <f aca="false">'Current Form'!L154</f>
        <v>#DIV/0!</v>
      </c>
      <c r="I154" s="71"/>
      <c r="J154" s="22" t="s">
        <v>467</v>
      </c>
      <c r="K154" s="22" t="s">
        <v>468</v>
      </c>
    </row>
    <row r="155" customFormat="false" ht="15.75" hidden="false" customHeight="true" outlineLevel="0" collapsed="false">
      <c r="A155" s="57" t="s">
        <v>298</v>
      </c>
      <c r="B155" s="69" t="n">
        <f aca="false">'SG OTT'!Q155</f>
        <v>0.6</v>
      </c>
      <c r="C155" s="70" t="n">
        <f aca="false">Class!Q155</f>
        <v>0.543333333333333</v>
      </c>
      <c r="D155" s="70" t="n">
        <f aca="false">'SG APP'!Q155</f>
        <v>0.286666666666667</v>
      </c>
      <c r="E155" s="70" t="n">
        <f aca="false">'SG PUTT'!Q155</f>
        <v>-0.163333333333333</v>
      </c>
      <c r="F155" s="70" t="n">
        <f aca="false">'SG ARG'!Q155</f>
        <v>0.145</v>
      </c>
      <c r="G155" s="70"/>
      <c r="H155" s="58" t="n">
        <f aca="false">'Current Form'!L155</f>
        <v>-0.41</v>
      </c>
      <c r="I155" s="71"/>
      <c r="J155" s="22" t="s">
        <v>467</v>
      </c>
      <c r="K155" s="22" t="s">
        <v>468</v>
      </c>
    </row>
    <row r="156" customFormat="false" ht="15.75" hidden="false" customHeight="true" outlineLevel="0" collapsed="false">
      <c r="A156" s="59" t="s">
        <v>299</v>
      </c>
      <c r="B156" s="69" t="e">
        <f aca="false">'SG OTT'!Q156</f>
        <v>#DIV/0!</v>
      </c>
      <c r="C156" s="70" t="e">
        <f aca="false">Class!Q156</f>
        <v>#DIV/0!</v>
      </c>
      <c r="D156" s="70" t="e">
        <f aca="false">'SG APP'!Q156</f>
        <v>#DIV/0!</v>
      </c>
      <c r="E156" s="70" t="e">
        <f aca="false">'SG PUTT'!Q156</f>
        <v>#DIV/0!</v>
      </c>
      <c r="F156" s="70" t="e">
        <f aca="false">'SG ARG'!Q156</f>
        <v>#DIV/0!</v>
      </c>
      <c r="G156" s="70"/>
      <c r="H156" s="58" t="e">
        <f aca="false">'Current Form'!L156</f>
        <v>#DIV/0!</v>
      </c>
      <c r="I156" s="71"/>
      <c r="J156" s="22" t="s">
        <v>467</v>
      </c>
      <c r="K156" s="22" t="s">
        <v>468</v>
      </c>
    </row>
    <row r="157" customFormat="false" ht="15.75" hidden="false" customHeight="true" outlineLevel="0" collapsed="false">
      <c r="A157" s="57" t="s">
        <v>300</v>
      </c>
      <c r="B157" s="69" t="n">
        <f aca="false">'SG OTT'!Q157</f>
        <v>0.278888888888889</v>
      </c>
      <c r="C157" s="70" t="n">
        <f aca="false">Class!Q157</f>
        <v>0</v>
      </c>
      <c r="D157" s="70" t="n">
        <f aca="false">'SG APP'!Q157</f>
        <v>-0.196666666666667</v>
      </c>
      <c r="E157" s="70" t="n">
        <f aca="false">'SG PUTT'!Q157</f>
        <v>-0.158888888888889</v>
      </c>
      <c r="F157" s="70" t="n">
        <f aca="false">'SG ARG'!Q157</f>
        <v>-1.09625</v>
      </c>
      <c r="G157" s="70" t="n">
        <v>-0.1</v>
      </c>
      <c r="H157" s="58" t="n">
        <f aca="false">'Current Form'!L157</f>
        <v>-1.242</v>
      </c>
      <c r="I157" s="71" t="n">
        <v>-0.04</v>
      </c>
      <c r="J157" s="22" t="s">
        <v>137</v>
      </c>
      <c r="K157" s="22" t="s">
        <v>468</v>
      </c>
    </row>
    <row r="158" customFormat="false" ht="15.75" hidden="false" customHeight="true" outlineLevel="0" collapsed="false">
      <c r="A158" s="57" t="s">
        <v>301</v>
      </c>
      <c r="B158" s="69" t="n">
        <f aca="false">'SG OTT'!Q158</f>
        <v>0.486</v>
      </c>
      <c r="C158" s="70" t="n">
        <f aca="false">Class!Q158</f>
        <v>0.146</v>
      </c>
      <c r="D158" s="70" t="n">
        <f aca="false">'SG APP'!Q158</f>
        <v>-0.898</v>
      </c>
      <c r="E158" s="70" t="n">
        <f aca="false">'SG PUTT'!Q158</f>
        <v>0.514</v>
      </c>
      <c r="F158" s="70" t="n">
        <f aca="false">'SG ARG'!Q158</f>
        <v>-0.168</v>
      </c>
      <c r="G158" s="70"/>
      <c r="H158" s="58" t="n">
        <f aca="false">'Current Form'!L158</f>
        <v>-1.29</v>
      </c>
      <c r="I158" s="71"/>
      <c r="J158" s="22" t="s">
        <v>467</v>
      </c>
      <c r="K158" s="22" t="s">
        <v>469</v>
      </c>
    </row>
    <row r="159" customFormat="false" ht="15.75" hidden="false" customHeight="true" outlineLevel="0" collapsed="false">
      <c r="A159" s="57" t="s">
        <v>302</v>
      </c>
      <c r="B159" s="69" t="n">
        <f aca="false">'SG OTT'!Q159</f>
        <v>-0.308333333333333</v>
      </c>
      <c r="C159" s="70" t="n">
        <f aca="false">Class!Q159</f>
        <v>0.46</v>
      </c>
      <c r="D159" s="70" t="n">
        <f aca="false">'SG APP'!Q159</f>
        <v>0.681666666666667</v>
      </c>
      <c r="E159" s="70" t="n">
        <f aca="false">'SG PUTT'!Q159</f>
        <v>0.33</v>
      </c>
      <c r="F159" s="70" t="n">
        <f aca="false">'SG ARG'!Q159</f>
        <v>0.13</v>
      </c>
      <c r="G159" s="70"/>
      <c r="H159" s="58" t="n">
        <f aca="false">'Current Form'!L159</f>
        <v>1.17</v>
      </c>
      <c r="I159" s="71"/>
      <c r="J159" s="22" t="s">
        <v>467</v>
      </c>
      <c r="K159" s="22" t="s">
        <v>469</v>
      </c>
    </row>
    <row r="160" customFormat="false" ht="15.75" hidden="false" customHeight="true" outlineLevel="0" collapsed="false">
      <c r="A160" s="59" t="s">
        <v>303</v>
      </c>
      <c r="B160" s="69" t="n">
        <f aca="false">'SG OTT'!Q160</f>
        <v>-0.3975</v>
      </c>
      <c r="C160" s="70" t="n">
        <f aca="false">Class!Q160</f>
        <v>0.12375</v>
      </c>
      <c r="D160" s="70" t="n">
        <f aca="false">'SG APP'!Q160</f>
        <v>-0.3175</v>
      </c>
      <c r="E160" s="70" t="n">
        <f aca="false">'SG PUTT'!Q160</f>
        <v>0.0525</v>
      </c>
      <c r="F160" s="70" t="n">
        <f aca="false">'SG ARG'!Q160</f>
        <v>0.0257142857142857</v>
      </c>
      <c r="G160" s="70" t="n">
        <v>0.15</v>
      </c>
      <c r="H160" s="58" t="n">
        <f aca="false">'Current Form'!L160</f>
        <v>-0.1375</v>
      </c>
      <c r="I160" s="71" t="n">
        <v>0.05</v>
      </c>
      <c r="J160" s="22" t="s">
        <v>137</v>
      </c>
      <c r="K160" s="22" t="s">
        <v>468</v>
      </c>
    </row>
    <row r="161" customFormat="false" ht="15.75" hidden="false" customHeight="true" outlineLevel="0" collapsed="false">
      <c r="A161" s="59" t="s">
        <v>304</v>
      </c>
      <c r="B161" s="69" t="n">
        <f aca="false">'SG OTT'!Q161</f>
        <v>0.46</v>
      </c>
      <c r="C161" s="70" t="n">
        <f aca="false">Class!Q161</f>
        <v>0.0725</v>
      </c>
      <c r="D161" s="70" t="n">
        <f aca="false">'SG APP'!Q161</f>
        <v>-0.655</v>
      </c>
      <c r="E161" s="70" t="n">
        <f aca="false">'SG PUTT'!Q161</f>
        <v>-0.34</v>
      </c>
      <c r="F161" s="70" t="n">
        <f aca="false">'SG ARG'!Q161</f>
        <v>-0.1275</v>
      </c>
      <c r="G161" s="70" t="n">
        <v>-0.13</v>
      </c>
      <c r="H161" s="58" t="n">
        <f aca="false">'Current Form'!L161</f>
        <v>-1.03666666666667</v>
      </c>
      <c r="I161" s="71" t="n">
        <v>-0.01</v>
      </c>
      <c r="J161" s="22" t="s">
        <v>137</v>
      </c>
      <c r="K161" s="22" t="s">
        <v>468</v>
      </c>
    </row>
    <row r="162" customFormat="false" ht="15.75" hidden="false" customHeight="true" outlineLevel="0" collapsed="false">
      <c r="A162" s="59" t="s">
        <v>305</v>
      </c>
      <c r="B162" s="69" t="n">
        <f aca="false">'SG OTT'!Q162</f>
        <v>-0.314285714285714</v>
      </c>
      <c r="C162" s="70" t="n">
        <f aca="false">Class!Q162</f>
        <v>0.0514285714285714</v>
      </c>
      <c r="D162" s="70" t="n">
        <f aca="false">'SG APP'!Q162</f>
        <v>-0.0557142857142857</v>
      </c>
      <c r="E162" s="70" t="n">
        <f aca="false">'SG PUTT'!Q162</f>
        <v>-0.14</v>
      </c>
      <c r="F162" s="70" t="n">
        <f aca="false">'SG ARG'!Q162</f>
        <v>-0.16</v>
      </c>
      <c r="G162" s="70" t="n">
        <v>0.2</v>
      </c>
      <c r="H162" s="58" t="n">
        <f aca="false">'Current Form'!L162</f>
        <v>-0.836</v>
      </c>
      <c r="I162" s="71" t="n">
        <v>0.06</v>
      </c>
      <c r="J162" s="22" t="s">
        <v>137</v>
      </c>
      <c r="K162" s="22" t="s">
        <v>468</v>
      </c>
    </row>
    <row r="163" customFormat="false" ht="15.75" hidden="false" customHeight="true" outlineLevel="0" collapsed="false">
      <c r="A163" s="57" t="s">
        <v>306</v>
      </c>
      <c r="B163" s="69" t="n">
        <f aca="false">'SG OTT'!Q163</f>
        <v>0.383333333333333</v>
      </c>
      <c r="C163" s="70" t="n">
        <f aca="false">Class!Q163</f>
        <v>0.428333333333333</v>
      </c>
      <c r="D163" s="70" t="n">
        <f aca="false">'SG APP'!Q163</f>
        <v>0.876666666666667</v>
      </c>
      <c r="E163" s="70" t="n">
        <f aca="false">'SG PUTT'!Q163</f>
        <v>-0.211666666666667</v>
      </c>
      <c r="F163" s="70" t="n">
        <f aca="false">'SG ARG'!Q163</f>
        <v>-0.005</v>
      </c>
      <c r="G163" s="70"/>
      <c r="H163" s="58" t="n">
        <f aca="false">'Current Form'!L163</f>
        <v>0.9475</v>
      </c>
      <c r="I163" s="71"/>
      <c r="J163" s="22" t="s">
        <v>467</v>
      </c>
      <c r="K163" s="22" t="s">
        <v>468</v>
      </c>
    </row>
    <row r="164" customFormat="false" ht="15.75" hidden="false" customHeight="true" outlineLevel="0" collapsed="false">
      <c r="A164" s="57" t="s">
        <v>307</v>
      </c>
      <c r="B164" s="69" t="n">
        <f aca="false">'SG OTT'!Q164</f>
        <v>-0.034</v>
      </c>
      <c r="C164" s="70" t="n">
        <f aca="false">Class!Q164</f>
        <v>0.134</v>
      </c>
      <c r="D164" s="70" t="n">
        <f aca="false">'SG APP'!Q164</f>
        <v>-0.474</v>
      </c>
      <c r="E164" s="70" t="n">
        <f aca="false">'SG PUTT'!Q164</f>
        <v>-0.164</v>
      </c>
      <c r="F164" s="70" t="n">
        <f aca="false">'SG ARG'!Q164</f>
        <v>0.122</v>
      </c>
      <c r="G164" s="70"/>
      <c r="H164" s="58" t="n">
        <f aca="false">'Current Form'!L164</f>
        <v>-1.16</v>
      </c>
      <c r="I164" s="71"/>
      <c r="J164" s="22" t="s">
        <v>467</v>
      </c>
      <c r="K164" s="22" t="s">
        <v>469</v>
      </c>
    </row>
    <row r="165" customFormat="false" ht="15.75" hidden="false" customHeight="true" outlineLevel="0" collapsed="false">
      <c r="A165" s="57" t="s">
        <v>308</v>
      </c>
      <c r="B165" s="69" t="n">
        <f aca="false">'SG OTT'!Q165</f>
        <v>0.432857142857143</v>
      </c>
      <c r="C165" s="70" t="n">
        <f aca="false">Class!Q165</f>
        <v>0.641428571428572</v>
      </c>
      <c r="D165" s="70" t="n">
        <f aca="false">'SG APP'!Q165</f>
        <v>0.0128571428571429</v>
      </c>
      <c r="E165" s="70" t="n">
        <f aca="false">'SG PUTT'!Q165</f>
        <v>0.277142857142857</v>
      </c>
      <c r="F165" s="70" t="n">
        <f aca="false">'SG ARG'!Q165</f>
        <v>0.07</v>
      </c>
      <c r="G165" s="70"/>
      <c r="H165" s="58" t="n">
        <f aca="false">'Current Form'!L165</f>
        <v>1.59</v>
      </c>
      <c r="I165" s="71"/>
      <c r="J165" s="22" t="s">
        <v>467</v>
      </c>
      <c r="K165" s="22" t="s">
        <v>468</v>
      </c>
    </row>
    <row r="166" customFormat="false" ht="15.75" hidden="false" customHeight="true" outlineLevel="0" collapsed="false">
      <c r="A166" s="59" t="s">
        <v>309</v>
      </c>
      <c r="B166" s="69" t="n">
        <f aca="false">'SG OTT'!Q166</f>
        <v>-1.16714285714286</v>
      </c>
      <c r="C166" s="70" t="n">
        <f aca="false">Class!Q166</f>
        <v>0.0242857142857143</v>
      </c>
      <c r="D166" s="70" t="n">
        <f aca="false">'SG APP'!Q166</f>
        <v>-0.845714285714286</v>
      </c>
      <c r="E166" s="70" t="n">
        <f aca="false">'SG PUTT'!Q166</f>
        <v>0.472857142857143</v>
      </c>
      <c r="F166" s="70" t="n">
        <f aca="false">'SG ARG'!Q166</f>
        <v>0.2</v>
      </c>
      <c r="G166" s="70" t="n">
        <v>-0.17</v>
      </c>
      <c r="H166" s="58" t="n">
        <f aca="false">'Current Form'!L166</f>
        <v>-1.724</v>
      </c>
      <c r="I166" s="71" t="n">
        <v>0.25</v>
      </c>
      <c r="J166" s="22" t="s">
        <v>137</v>
      </c>
      <c r="K166" s="22" t="s">
        <v>468</v>
      </c>
    </row>
    <row r="167" customFormat="false" ht="15.75" hidden="false" customHeight="true" outlineLevel="0" collapsed="false">
      <c r="A167" s="57" t="s">
        <v>310</v>
      </c>
      <c r="B167" s="69" t="n">
        <f aca="false">'SG OTT'!Q167</f>
        <v>-0.511666666666667</v>
      </c>
      <c r="C167" s="70" t="n">
        <f aca="false">Class!Q167</f>
        <v>0.0283333333333333</v>
      </c>
      <c r="D167" s="70" t="n">
        <f aca="false">'SG APP'!Q167</f>
        <v>0.57</v>
      </c>
      <c r="E167" s="70" t="n">
        <f aca="false">'SG PUTT'!Q167</f>
        <v>-1.14166666666667</v>
      </c>
      <c r="F167" s="70" t="n">
        <f aca="false">'SG ARG'!Q167</f>
        <v>0.141666666666667</v>
      </c>
      <c r="G167" s="70"/>
      <c r="H167" s="58" t="n">
        <f aca="false">'Current Form'!L167</f>
        <v>-0.855</v>
      </c>
      <c r="I167" s="71"/>
      <c r="J167" s="22" t="s">
        <v>467</v>
      </c>
      <c r="K167" s="22" t="s">
        <v>468</v>
      </c>
    </row>
    <row r="168" customFormat="false" ht="15.75" hidden="false" customHeight="true" outlineLevel="0" collapsed="false">
      <c r="A168" s="57" t="s">
        <v>311</v>
      </c>
      <c r="B168" s="69" t="n">
        <f aca="false">'SG OTT'!Q168</f>
        <v>-0.53</v>
      </c>
      <c r="C168" s="70" t="n">
        <f aca="false">Class!Q168</f>
        <v>0</v>
      </c>
      <c r="D168" s="70" t="n">
        <f aca="false">'SG APP'!Q168</f>
        <v>-0.34</v>
      </c>
      <c r="E168" s="70" t="n">
        <f aca="false">'SG PUTT'!Q168</f>
        <v>0.285</v>
      </c>
      <c r="F168" s="70" t="n">
        <f aca="false">'SG ARG'!Q168</f>
        <v>-0.56</v>
      </c>
      <c r="G168" s="70"/>
      <c r="H168" s="58" t="n">
        <f aca="false">'Current Form'!L168</f>
        <v>-1.21</v>
      </c>
      <c r="I168" s="71"/>
      <c r="J168" s="22" t="s">
        <v>467</v>
      </c>
      <c r="K168" s="22" t="s">
        <v>469</v>
      </c>
    </row>
    <row r="169" customFormat="false" ht="15.75" hidden="false" customHeight="true" outlineLevel="0" collapsed="false">
      <c r="A169" s="59" t="s">
        <v>312</v>
      </c>
      <c r="B169" s="69" t="n">
        <f aca="false">'SG OTT'!Q169</f>
        <v>-0.343333333333333</v>
      </c>
      <c r="C169" s="70" t="n">
        <f aca="false">Class!Q169</f>
        <v>0</v>
      </c>
      <c r="D169" s="70" t="n">
        <f aca="false">'SG APP'!Q169</f>
        <v>-0.331666666666667</v>
      </c>
      <c r="E169" s="70" t="n">
        <f aca="false">'SG PUTT'!Q169</f>
        <v>-1.02833333333333</v>
      </c>
      <c r="F169" s="70" t="n">
        <f aca="false">'SG ARG'!Q169</f>
        <v>-0.165</v>
      </c>
      <c r="G169" s="70"/>
      <c r="H169" s="58" t="n">
        <f aca="false">'Current Form'!L169</f>
        <v>-1.16333333333333</v>
      </c>
      <c r="I169" s="71"/>
      <c r="J169" s="22" t="s">
        <v>467</v>
      </c>
      <c r="K169" s="22" t="s">
        <v>468</v>
      </c>
    </row>
    <row r="170" customFormat="false" ht="15.75" hidden="false" customHeight="true" outlineLevel="0" collapsed="false">
      <c r="A170" s="59" t="s">
        <v>313</v>
      </c>
      <c r="B170" s="69" t="n">
        <f aca="false">'SG OTT'!Q170</f>
        <v>0.0411111111111111</v>
      </c>
      <c r="C170" s="70" t="n">
        <f aca="false">Class!Q170</f>
        <v>1.07</v>
      </c>
      <c r="D170" s="70" t="n">
        <f aca="false">'SG APP'!Q170</f>
        <v>0.397777777777778</v>
      </c>
      <c r="E170" s="70" t="n">
        <f aca="false">'SG PUTT'!Q170</f>
        <v>0.113333333333333</v>
      </c>
      <c r="F170" s="70" t="n">
        <f aca="false">'SG ARG'!Q170</f>
        <v>0.427777777777778</v>
      </c>
      <c r="G170" s="70" t="n">
        <v>0.06</v>
      </c>
      <c r="H170" s="58" t="n">
        <f aca="false">'Current Form'!L170</f>
        <v>1.664</v>
      </c>
      <c r="I170" s="71" t="n">
        <v>0.06</v>
      </c>
      <c r="J170" s="22" t="s">
        <v>137</v>
      </c>
      <c r="K170" s="22" t="s">
        <v>468</v>
      </c>
    </row>
    <row r="171" customFormat="false" ht="15.75" hidden="false" customHeight="true" outlineLevel="0" collapsed="false">
      <c r="A171" s="59" t="s">
        <v>314</v>
      </c>
      <c r="B171" s="69" t="n">
        <f aca="false">'SG OTT'!Q171</f>
        <v>-0.487777777777778</v>
      </c>
      <c r="C171" s="70" t="n">
        <f aca="false">Class!Q171</f>
        <v>0.3</v>
      </c>
      <c r="D171" s="70" t="n">
        <f aca="false">'SG APP'!Q171</f>
        <v>0.121111111111111</v>
      </c>
      <c r="E171" s="70" t="n">
        <f aca="false">'SG PUTT'!Q171</f>
        <v>0.816666666666667</v>
      </c>
      <c r="F171" s="70" t="n">
        <f aca="false">'SG ARG'!Q171</f>
        <v>0.0733333333333333</v>
      </c>
      <c r="G171" s="70" t="n">
        <v>0.03</v>
      </c>
      <c r="H171" s="58" t="n">
        <f aca="false">'Current Form'!L171</f>
        <v>0.3</v>
      </c>
      <c r="I171" s="71" t="n">
        <v>0.21</v>
      </c>
      <c r="J171" s="22" t="s">
        <v>137</v>
      </c>
      <c r="K171" s="22" t="s">
        <v>468</v>
      </c>
    </row>
    <row r="172" customFormat="false" ht="15.75" hidden="false" customHeight="true" outlineLevel="0" collapsed="false">
      <c r="A172" s="57" t="s">
        <v>315</v>
      </c>
      <c r="B172" s="69" t="n">
        <f aca="false">'SG OTT'!Q172</f>
        <v>-0.361111111111111</v>
      </c>
      <c r="C172" s="70" t="n">
        <f aca="false">Class!Q172</f>
        <v>0.262222222222222</v>
      </c>
      <c r="D172" s="70" t="n">
        <f aca="false">'SG APP'!Q172</f>
        <v>-0.00777777777777778</v>
      </c>
      <c r="E172" s="70" t="n">
        <f aca="false">'SG PUTT'!Q172</f>
        <v>0.58</v>
      </c>
      <c r="F172" s="70" t="n">
        <f aca="false">'SG ARG'!Q172</f>
        <v>-0.131111111111111</v>
      </c>
      <c r="G172" s="70" t="n">
        <v>0.09</v>
      </c>
      <c r="H172" s="58" t="n">
        <f aca="false">'Current Form'!L172</f>
        <v>0.166</v>
      </c>
      <c r="I172" s="71" t="n">
        <v>0.02</v>
      </c>
      <c r="J172" s="22" t="s">
        <v>137</v>
      </c>
      <c r="K172" s="22" t="s">
        <v>468</v>
      </c>
    </row>
    <row r="173" customFormat="false" ht="15.75" hidden="false" customHeight="true" outlineLevel="0" collapsed="false">
      <c r="A173" s="57" t="s">
        <v>316</v>
      </c>
      <c r="B173" s="69" t="n">
        <f aca="false">'SG OTT'!Q173</f>
        <v>-0.067</v>
      </c>
      <c r="C173" s="70" t="n">
        <f aca="false">Class!Q173</f>
        <v>0.088</v>
      </c>
      <c r="D173" s="70" t="n">
        <f aca="false">'SG APP'!Q173</f>
        <v>0.117</v>
      </c>
      <c r="E173" s="70" t="n">
        <f aca="false">'SG PUTT'!Q173</f>
        <v>-0.334</v>
      </c>
      <c r="F173" s="70" t="n">
        <f aca="false">'SG ARG'!Q173</f>
        <v>0.18</v>
      </c>
      <c r="G173" s="70" t="n">
        <v>0.21</v>
      </c>
      <c r="H173" s="58" t="n">
        <f aca="false">'Current Form'!L173</f>
        <v>0.025</v>
      </c>
      <c r="I173" s="71" t="n">
        <v>0.1</v>
      </c>
      <c r="J173" s="22" t="s">
        <v>137</v>
      </c>
      <c r="K173" s="22" t="s">
        <v>468</v>
      </c>
    </row>
    <row r="174" customFormat="false" ht="15.75" hidden="false" customHeight="true" outlineLevel="0" collapsed="false">
      <c r="A174" s="57" t="s">
        <v>317</v>
      </c>
      <c r="B174" s="69" t="n">
        <f aca="false">'SG OTT'!Q174</f>
        <v>0.5</v>
      </c>
      <c r="C174" s="70" t="n">
        <f aca="false">Class!Q174</f>
        <v>0.106666666666667</v>
      </c>
      <c r="D174" s="70" t="n">
        <f aca="false">'SG APP'!Q174</f>
        <v>-0.00499999999999999</v>
      </c>
      <c r="E174" s="70" t="n">
        <f aca="false">'SG PUTT'!Q174</f>
        <v>-0.695</v>
      </c>
      <c r="F174" s="70" t="n">
        <f aca="false">'SG ARG'!Q174</f>
        <v>-0.05</v>
      </c>
      <c r="G174" s="70"/>
      <c r="H174" s="58" t="n">
        <f aca="false">'Current Form'!L174</f>
        <v>0.31</v>
      </c>
      <c r="I174" s="71"/>
      <c r="J174" s="22" t="s">
        <v>467</v>
      </c>
      <c r="K174" s="22" t="s">
        <v>468</v>
      </c>
    </row>
    <row r="175" customFormat="false" ht="15.75" hidden="false" customHeight="true" outlineLevel="0" collapsed="false">
      <c r="A175" s="57" t="s">
        <v>318</v>
      </c>
      <c r="B175" s="69" t="n">
        <f aca="false">'SG OTT'!Q175</f>
        <v>1.2725</v>
      </c>
      <c r="C175" s="70" t="n">
        <f aca="false">Class!Q175</f>
        <v>1.395</v>
      </c>
      <c r="D175" s="70" t="n">
        <f aca="false">'SG APP'!Q175</f>
        <v>0.1625</v>
      </c>
      <c r="E175" s="70" t="n">
        <f aca="false">'SG PUTT'!Q175</f>
        <v>0.7125</v>
      </c>
      <c r="F175" s="70" t="n">
        <f aca="false">'SG ARG'!Q175</f>
        <v>0.04</v>
      </c>
      <c r="G175" s="70"/>
      <c r="H175" s="58" t="n">
        <f aca="false">'Current Form'!L175</f>
        <v>1.98</v>
      </c>
      <c r="I175" s="71"/>
      <c r="J175" s="22" t="s">
        <v>467</v>
      </c>
      <c r="K175" s="22" t="s">
        <v>468</v>
      </c>
    </row>
    <row r="176" customFormat="false" ht="15.75" hidden="false" customHeight="true" outlineLevel="0" collapsed="false">
      <c r="A176" s="59" t="s">
        <v>319</v>
      </c>
      <c r="B176" s="69" t="n">
        <f aca="false">'SG OTT'!Q176</f>
        <v>0.167142857142857</v>
      </c>
      <c r="C176" s="70" t="n">
        <f aca="false">Class!Q176</f>
        <v>0.534285714285714</v>
      </c>
      <c r="D176" s="70" t="n">
        <f aca="false">'SG APP'!Q176</f>
        <v>-0.0857142857142857</v>
      </c>
      <c r="E176" s="70" t="n">
        <f aca="false">'SG PUTT'!Q176</f>
        <v>0.612857142857143</v>
      </c>
      <c r="F176" s="70" t="n">
        <f aca="false">'SG ARG'!Q176</f>
        <v>0.338571428571429</v>
      </c>
      <c r="G176" s="70" t="n">
        <v>-0.13</v>
      </c>
      <c r="H176" s="58" t="n">
        <f aca="false">'Current Form'!L176</f>
        <v>0.8075</v>
      </c>
      <c r="I176" s="71" t="n">
        <v>-0.03</v>
      </c>
      <c r="J176" s="22" t="s">
        <v>137</v>
      </c>
      <c r="K176" s="22" t="s">
        <v>468</v>
      </c>
    </row>
    <row r="177" customFormat="false" ht="15.75" hidden="false" customHeight="true" outlineLevel="0" collapsed="false">
      <c r="A177" s="57" t="s">
        <v>320</v>
      </c>
      <c r="B177" s="69" t="n">
        <f aca="false">'SG OTT'!Q177</f>
        <v>-0.0333333333333334</v>
      </c>
      <c r="C177" s="70" t="n">
        <f aca="false">Class!Q177</f>
        <v>0.475555555555556</v>
      </c>
      <c r="D177" s="70" t="n">
        <f aca="false">'SG APP'!Q177</f>
        <v>0.0411111111111111</v>
      </c>
      <c r="E177" s="70" t="n">
        <f aca="false">'SG PUTT'!Q177</f>
        <v>0.302222222222222</v>
      </c>
      <c r="F177" s="70" t="n">
        <f aca="false">'SG ARG'!Q177</f>
        <v>0.364444444444444</v>
      </c>
      <c r="G177" s="70" t="n">
        <v>-0.01</v>
      </c>
      <c r="H177" s="58" t="n">
        <f aca="false">'Current Form'!L177</f>
        <v>0.431666666666667</v>
      </c>
      <c r="I177" s="71" t="n">
        <v>0.08</v>
      </c>
      <c r="J177" s="22" t="s">
        <v>137</v>
      </c>
      <c r="K177" s="22" t="s">
        <v>468</v>
      </c>
    </row>
    <row r="178" customFormat="false" ht="15.75" hidden="false" customHeight="true" outlineLevel="0" collapsed="false">
      <c r="A178" s="57" t="s">
        <v>321</v>
      </c>
      <c r="B178" s="69" t="n">
        <f aca="false">'SG OTT'!Q178</f>
        <v>-0.1975</v>
      </c>
      <c r="C178" s="70" t="n">
        <f aca="false">Class!Q178</f>
        <v>0.015</v>
      </c>
      <c r="D178" s="70" t="n">
        <f aca="false">'SG APP'!Q178</f>
        <v>-0.1775</v>
      </c>
      <c r="E178" s="70" t="n">
        <f aca="false">'SG PUTT'!Q178</f>
        <v>-0.43</v>
      </c>
      <c r="F178" s="70" t="n">
        <f aca="false">'SG ARG'!Q178</f>
        <v>-0.185</v>
      </c>
      <c r="G178" s="70"/>
      <c r="H178" s="58" t="n">
        <f aca="false">'Current Form'!L178</f>
        <v>-1.36</v>
      </c>
      <c r="I178" s="71"/>
      <c r="J178" s="22" t="s">
        <v>467</v>
      </c>
      <c r="K178" s="22" t="s">
        <v>469</v>
      </c>
    </row>
    <row r="179" customFormat="false" ht="15.75" hidden="false" customHeight="true" outlineLevel="0" collapsed="false">
      <c r="A179" s="57" t="s">
        <v>322</v>
      </c>
      <c r="B179" s="69" t="n">
        <f aca="false">'SG OTT'!Q179</f>
        <v>-0.226</v>
      </c>
      <c r="C179" s="70" t="n">
        <f aca="false">Class!Q179</f>
        <v>0.078</v>
      </c>
      <c r="D179" s="70" t="n">
        <f aca="false">'SG APP'!Q179</f>
        <v>-0.266</v>
      </c>
      <c r="E179" s="70" t="n">
        <f aca="false">'SG PUTT'!Q179</f>
        <v>0.122</v>
      </c>
      <c r="F179" s="70" t="n">
        <f aca="false">'SG ARG'!Q179</f>
        <v>-0.356</v>
      </c>
      <c r="G179" s="70"/>
      <c r="H179" s="58" t="n">
        <f aca="false">'Current Form'!L179</f>
        <v>-0.04</v>
      </c>
      <c r="I179" s="71"/>
      <c r="J179" s="22" t="s">
        <v>467</v>
      </c>
      <c r="K179" s="22" t="s">
        <v>469</v>
      </c>
    </row>
    <row r="180" customFormat="false" ht="15.75" hidden="false" customHeight="true" outlineLevel="0" collapsed="false">
      <c r="A180" s="59" t="s">
        <v>323</v>
      </c>
      <c r="B180" s="69" t="n">
        <f aca="false">'SG OTT'!Q180</f>
        <v>0.645555555555556</v>
      </c>
      <c r="C180" s="70" t="n">
        <f aca="false">Class!Q180</f>
        <v>0.408888888888889</v>
      </c>
      <c r="D180" s="70" t="n">
        <f aca="false">'SG APP'!Q180</f>
        <v>0.374444444444444</v>
      </c>
      <c r="E180" s="70" t="n">
        <f aca="false">'SG PUTT'!Q180</f>
        <v>-0.298888888888889</v>
      </c>
      <c r="F180" s="70" t="n">
        <f aca="false">'SG ARG'!Q180</f>
        <v>-0.0544444444444445</v>
      </c>
      <c r="G180" s="70" t="n">
        <v>-0.12</v>
      </c>
      <c r="H180" s="58" t="n">
        <f aca="false">'Current Form'!L180</f>
        <v>0.746</v>
      </c>
      <c r="I180" s="71" t="n">
        <v>0.08</v>
      </c>
      <c r="J180" s="22" t="s">
        <v>137</v>
      </c>
      <c r="K180" s="22" t="s">
        <v>468</v>
      </c>
    </row>
    <row r="181" customFormat="false" ht="15.75" hidden="false" customHeight="true" outlineLevel="0" collapsed="false">
      <c r="A181" s="57" t="s">
        <v>324</v>
      </c>
      <c r="B181" s="69" t="n">
        <f aca="false">'SG OTT'!Q181</f>
        <v>-0.1825</v>
      </c>
      <c r="C181" s="70" t="n">
        <f aca="false">Class!Q181</f>
        <v>0.145</v>
      </c>
      <c r="D181" s="70" t="n">
        <f aca="false">'SG APP'!Q181</f>
        <v>0.4475</v>
      </c>
      <c r="E181" s="70" t="n">
        <f aca="false">'SG PUTT'!Q181</f>
        <v>-1.0175</v>
      </c>
      <c r="F181" s="70" t="n">
        <f aca="false">'SG ARG'!Q181</f>
        <v>-0.0125</v>
      </c>
      <c r="G181" s="70"/>
      <c r="H181" s="58" t="n">
        <f aca="false">'Current Form'!L181</f>
        <v>0.435</v>
      </c>
      <c r="I181" s="71"/>
      <c r="J181" s="22" t="s">
        <v>467</v>
      </c>
      <c r="K181" s="22" t="s">
        <v>468</v>
      </c>
    </row>
    <row r="182" customFormat="false" ht="15.75" hidden="false" customHeight="true" outlineLevel="0" collapsed="false">
      <c r="A182" s="59" t="s">
        <v>325</v>
      </c>
      <c r="B182" s="69" t="n">
        <f aca="false">'SG OTT'!Q182</f>
        <v>-1.34</v>
      </c>
      <c r="C182" s="70" t="n">
        <f aca="false">Class!Q182</f>
        <v>0</v>
      </c>
      <c r="D182" s="70" t="n">
        <f aca="false">'SG APP'!Q182</f>
        <v>-0.41</v>
      </c>
      <c r="E182" s="70" t="n">
        <f aca="false">'SG PUTT'!Q182</f>
        <v>-0.46</v>
      </c>
      <c r="F182" s="70" t="n">
        <f aca="false">'SG ARG'!Q182</f>
        <v>-0.6</v>
      </c>
      <c r="G182" s="70"/>
      <c r="H182" s="58" t="e">
        <f aca="false">'Current Form'!L182</f>
        <v>#VALUE!</v>
      </c>
      <c r="I182" s="71"/>
      <c r="J182" s="22" t="s">
        <v>467</v>
      </c>
      <c r="K182" s="22" t="s">
        <v>468</v>
      </c>
    </row>
    <row r="183" customFormat="false" ht="15.75" hidden="false" customHeight="true" outlineLevel="0" collapsed="false">
      <c r="A183" s="57" t="s">
        <v>326</v>
      </c>
      <c r="B183" s="69" t="n">
        <f aca="false">'SG OTT'!Q183</f>
        <v>0.272</v>
      </c>
      <c r="C183" s="70" t="n">
        <f aca="false">Class!Q183</f>
        <v>0.158</v>
      </c>
      <c r="D183" s="70" t="n">
        <f aca="false">'SG APP'!Q183</f>
        <v>-0.192</v>
      </c>
      <c r="E183" s="70" t="n">
        <f aca="false">'SG PUTT'!Q183</f>
        <v>-0.02</v>
      </c>
      <c r="F183" s="70" t="n">
        <f aca="false">'SG ARG'!Q183</f>
        <v>-0.044</v>
      </c>
      <c r="G183" s="70"/>
      <c r="H183" s="58" t="n">
        <f aca="false">'Current Form'!L183</f>
        <v>-0.925</v>
      </c>
      <c r="I183" s="71"/>
      <c r="J183" s="22" t="s">
        <v>137</v>
      </c>
      <c r="K183" s="22" t="s">
        <v>468</v>
      </c>
    </row>
    <row r="184" customFormat="false" ht="15.75" hidden="false" customHeight="true" outlineLevel="0" collapsed="false">
      <c r="A184" s="59" t="s">
        <v>327</v>
      </c>
      <c r="B184" s="69" t="n">
        <f aca="false">'SG OTT'!Q184</f>
        <v>0.2425</v>
      </c>
      <c r="C184" s="70" t="n">
        <f aca="false">Class!Q184</f>
        <v>0.8775</v>
      </c>
      <c r="D184" s="70" t="n">
        <f aca="false">'SG APP'!Q184</f>
        <v>0.555</v>
      </c>
      <c r="E184" s="70" t="n">
        <f aca="false">'SG PUTT'!Q184</f>
        <v>0.765</v>
      </c>
      <c r="F184" s="70" t="n">
        <f aca="false">'SG ARG'!Q184</f>
        <v>-0.1775</v>
      </c>
      <c r="G184" s="70"/>
      <c r="H184" s="58" t="n">
        <f aca="false">'Current Form'!L184</f>
        <v>1.76</v>
      </c>
      <c r="I184" s="71"/>
      <c r="J184" s="22" t="s">
        <v>467</v>
      </c>
      <c r="K184" s="22" t="s">
        <v>468</v>
      </c>
    </row>
    <row r="185" customFormat="false" ht="15.75" hidden="false" customHeight="true" outlineLevel="0" collapsed="false">
      <c r="A185" s="59" t="s">
        <v>328</v>
      </c>
      <c r="B185" s="69" t="n">
        <f aca="false">'SG OTT'!Q185</f>
        <v>0.12</v>
      </c>
      <c r="C185" s="70" t="n">
        <f aca="false">Class!Q185</f>
        <v>0.13</v>
      </c>
      <c r="D185" s="70" t="n">
        <f aca="false">'SG APP'!Q185</f>
        <v>0.53625</v>
      </c>
      <c r="E185" s="70" t="n">
        <f aca="false">'SG PUTT'!Q185</f>
        <v>-0.46125</v>
      </c>
      <c r="F185" s="70" t="n">
        <f aca="false">'SG ARG'!Q185</f>
        <v>-0.21875</v>
      </c>
      <c r="G185" s="70" t="n">
        <v>-0.01</v>
      </c>
      <c r="H185" s="58" t="n">
        <f aca="false">'Current Form'!L185</f>
        <v>0.182</v>
      </c>
      <c r="I185" s="71" t="n">
        <v>-0.01</v>
      </c>
      <c r="J185" s="22" t="s">
        <v>137</v>
      </c>
      <c r="K185" s="22" t="s">
        <v>468</v>
      </c>
    </row>
    <row r="186" customFormat="false" ht="15.75" hidden="false" customHeight="true" outlineLevel="0" collapsed="false">
      <c r="A186" s="59" t="s">
        <v>329</v>
      </c>
      <c r="B186" s="69" t="e">
        <f aca="false">'SG OTT'!Q186</f>
        <v>#DIV/0!</v>
      </c>
      <c r="C186" s="70" t="e">
        <f aca="false">Class!Q186</f>
        <v>#DIV/0!</v>
      </c>
      <c r="D186" s="70" t="e">
        <f aca="false">'SG APP'!Q186</f>
        <v>#DIV/0!</v>
      </c>
      <c r="E186" s="70" t="e">
        <f aca="false">'SG PUTT'!Q186</f>
        <v>#DIV/0!</v>
      </c>
      <c r="F186" s="70" t="e">
        <f aca="false">'SG ARG'!Q186</f>
        <v>#DIV/0!</v>
      </c>
      <c r="G186" s="70"/>
      <c r="H186" s="58" t="e">
        <f aca="false">'Current Form'!L186</f>
        <v>#DIV/0!</v>
      </c>
      <c r="I186" s="71"/>
      <c r="J186" s="22" t="s">
        <v>467</v>
      </c>
      <c r="K186" s="22" t="s">
        <v>468</v>
      </c>
    </row>
    <row r="187" customFormat="false" ht="15.75" hidden="false" customHeight="true" outlineLevel="0" collapsed="false">
      <c r="A187" s="57" t="s">
        <v>330</v>
      </c>
      <c r="B187" s="69" t="n">
        <f aca="false">'SG OTT'!Q187</f>
        <v>-0.415</v>
      </c>
      <c r="C187" s="70" t="n">
        <f aca="false">Class!Q187</f>
        <v>0</v>
      </c>
      <c r="D187" s="70" t="n">
        <f aca="false">'SG APP'!Q187</f>
        <v>-1.13</v>
      </c>
      <c r="E187" s="70" t="n">
        <f aca="false">'SG PUTT'!Q187</f>
        <v>-0.641666666666667</v>
      </c>
      <c r="F187" s="70" t="n">
        <f aca="false">'SG ARG'!Q187</f>
        <v>0.226666666666667</v>
      </c>
      <c r="G187" s="70"/>
      <c r="H187" s="58" t="n">
        <f aca="false">'Current Form'!L187</f>
        <v>-1.41</v>
      </c>
      <c r="I187" s="71"/>
      <c r="J187" s="22" t="s">
        <v>467</v>
      </c>
      <c r="K187" s="22" t="s">
        <v>469</v>
      </c>
    </row>
    <row r="188" customFormat="false" ht="15.75" hidden="false" customHeight="true" outlineLevel="0" collapsed="false">
      <c r="A188" s="57" t="s">
        <v>331</v>
      </c>
      <c r="B188" s="69" t="n">
        <f aca="false">'SG OTT'!Q188</f>
        <v>0.238571428571429</v>
      </c>
      <c r="C188" s="70" t="n">
        <f aca="false">Class!Q188</f>
        <v>0.378571428571429</v>
      </c>
      <c r="D188" s="70" t="n">
        <f aca="false">'SG APP'!Q188</f>
        <v>0.138571428571429</v>
      </c>
      <c r="E188" s="70" t="n">
        <f aca="false">'SG PUTT'!Q188</f>
        <v>0.468571428571429</v>
      </c>
      <c r="F188" s="70" t="n">
        <f aca="false">'SG ARG'!Q188</f>
        <v>0.0457142857142857</v>
      </c>
      <c r="G188" s="70"/>
      <c r="H188" s="58" t="n">
        <f aca="false">'Current Form'!L188</f>
        <v>0.825</v>
      </c>
      <c r="I188" s="71"/>
      <c r="J188" s="22" t="s">
        <v>467</v>
      </c>
      <c r="K188" s="22" t="s">
        <v>468</v>
      </c>
    </row>
    <row r="189" customFormat="false" ht="15.75" hidden="false" customHeight="true" outlineLevel="0" collapsed="false">
      <c r="A189" s="57" t="s">
        <v>332</v>
      </c>
      <c r="B189" s="69" t="n">
        <f aca="false">'SG OTT'!Q189</f>
        <v>0.623333333333333</v>
      </c>
      <c r="C189" s="70" t="n">
        <f aca="false">Class!Q189</f>
        <v>0.232222222222222</v>
      </c>
      <c r="D189" s="70" t="n">
        <f aca="false">'SG APP'!Q189</f>
        <v>-0.101111111111111</v>
      </c>
      <c r="E189" s="70" t="n">
        <f aca="false">'SG PUTT'!Q189</f>
        <v>-0.0244444444444445</v>
      </c>
      <c r="F189" s="70" t="n">
        <f aca="false">'SG ARG'!Q189</f>
        <v>-0.201111111111111</v>
      </c>
      <c r="G189" s="70" t="n">
        <v>0.08</v>
      </c>
      <c r="H189" s="58" t="n">
        <f aca="false">'Current Form'!L189</f>
        <v>0.244</v>
      </c>
      <c r="I189" s="71" t="n">
        <v>-0.04</v>
      </c>
      <c r="J189" s="22" t="s">
        <v>137</v>
      </c>
      <c r="K189" s="22" t="s">
        <v>468</v>
      </c>
    </row>
    <row r="190" customFormat="false" ht="15.75" hidden="false" customHeight="true" outlineLevel="0" collapsed="false">
      <c r="A190" s="59" t="s">
        <v>333</v>
      </c>
      <c r="B190" s="69" t="e">
        <f aca="false">'SG OTT'!Q190</f>
        <v>#DIV/0!</v>
      </c>
      <c r="C190" s="70" t="e">
        <f aca="false">Class!Q190</f>
        <v>#DIV/0!</v>
      </c>
      <c r="D190" s="70" t="e">
        <f aca="false">'SG APP'!Q190</f>
        <v>#DIV/0!</v>
      </c>
      <c r="E190" s="70" t="e">
        <f aca="false">'SG PUTT'!Q190</f>
        <v>#DIV/0!</v>
      </c>
      <c r="F190" s="70" t="e">
        <f aca="false">'SG ARG'!Q190</f>
        <v>#DIV/0!</v>
      </c>
      <c r="G190" s="70"/>
      <c r="H190" s="58" t="e">
        <f aca="false">'Current Form'!L190</f>
        <v>#DIV/0!</v>
      </c>
      <c r="I190" s="71"/>
      <c r="J190" s="22" t="s">
        <v>467</v>
      </c>
      <c r="K190" s="22" t="s">
        <v>468</v>
      </c>
    </row>
    <row r="191" customFormat="false" ht="15.75" hidden="false" customHeight="true" outlineLevel="0" collapsed="false">
      <c r="A191" s="59" t="s">
        <v>334</v>
      </c>
      <c r="B191" s="69" t="n">
        <f aca="false">'SG OTT'!Q191</f>
        <v>0.7925</v>
      </c>
      <c r="C191" s="70" t="n">
        <f aca="false">Class!Q191</f>
        <v>1.495</v>
      </c>
      <c r="D191" s="70" t="n">
        <f aca="false">'SG APP'!Q191</f>
        <v>0.5775</v>
      </c>
      <c r="E191" s="70" t="n">
        <f aca="false">'SG PUTT'!Q191</f>
        <v>0.2875</v>
      </c>
      <c r="F191" s="70" t="n">
        <f aca="false">'SG ARG'!Q191</f>
        <v>-0.2</v>
      </c>
      <c r="G191" s="70"/>
      <c r="H191" s="58" t="n">
        <f aca="false">'Current Form'!L191</f>
        <v>-0.04</v>
      </c>
      <c r="I191" s="71"/>
      <c r="J191" s="22" t="s">
        <v>467</v>
      </c>
      <c r="K191" s="22" t="s">
        <v>468</v>
      </c>
    </row>
    <row r="192" customFormat="false" ht="15.75" hidden="false" customHeight="true" outlineLevel="0" collapsed="false">
      <c r="A192" s="57" t="s">
        <v>335</v>
      </c>
      <c r="B192" s="69" t="n">
        <f aca="false">'SG OTT'!Q192</f>
        <v>0.21375</v>
      </c>
      <c r="C192" s="70" t="n">
        <f aca="false">Class!Q192</f>
        <v>0.82</v>
      </c>
      <c r="D192" s="70" t="n">
        <f aca="false">'SG APP'!Q192</f>
        <v>-0.2075</v>
      </c>
      <c r="E192" s="70" t="n">
        <f aca="false">'SG PUTT'!Q192</f>
        <v>0.7575</v>
      </c>
      <c r="F192" s="70" t="n">
        <f aca="false">'SG ARG'!Q192</f>
        <v>0.08</v>
      </c>
      <c r="G192" s="70" t="n">
        <v>0.19</v>
      </c>
      <c r="H192" s="58" t="n">
        <f aca="false">'Current Form'!L192</f>
        <v>0.248</v>
      </c>
      <c r="I192" s="71" t="n">
        <v>0.06</v>
      </c>
      <c r="J192" s="22" t="s">
        <v>137</v>
      </c>
      <c r="K192" s="22" t="s">
        <v>468</v>
      </c>
    </row>
    <row r="193" customFormat="false" ht="15.75" hidden="false" customHeight="true" outlineLevel="0" collapsed="false">
      <c r="A193" s="57" t="s">
        <v>336</v>
      </c>
      <c r="B193" s="69" t="n">
        <f aca="false">'SG OTT'!Q193</f>
        <v>0.275714285714286</v>
      </c>
      <c r="C193" s="70" t="n">
        <f aca="false">Class!Q193</f>
        <v>0.105714285714286</v>
      </c>
      <c r="D193" s="70" t="n">
        <f aca="false">'SG APP'!Q193</f>
        <v>-0.03</v>
      </c>
      <c r="E193" s="70" t="n">
        <f aca="false">'SG PUTT'!Q193</f>
        <v>-0.00285714285714285</v>
      </c>
      <c r="F193" s="70" t="n">
        <f aca="false">'SG ARG'!Q193</f>
        <v>-0.715714285714286</v>
      </c>
      <c r="G193" s="70"/>
      <c r="H193" s="58" t="n">
        <f aca="false">'Current Form'!L193</f>
        <v>0.085</v>
      </c>
      <c r="I193" s="71"/>
      <c r="J193" s="22" t="s">
        <v>467</v>
      </c>
      <c r="K193" s="22" t="s">
        <v>468</v>
      </c>
    </row>
    <row r="194" customFormat="false" ht="15.75" hidden="false" customHeight="true" outlineLevel="0" collapsed="false">
      <c r="A194" s="59" t="s">
        <v>337</v>
      </c>
      <c r="B194" s="69" t="e">
        <f aca="false">'SG OTT'!Q194</f>
        <v>#VALUE!</v>
      </c>
      <c r="C194" s="70" t="e">
        <f aca="false">Class!Q194</f>
        <v>#VALUE!</v>
      </c>
      <c r="D194" s="70" t="e">
        <f aca="false">'SG APP'!Q194</f>
        <v>#VALUE!</v>
      </c>
      <c r="E194" s="70" t="e">
        <f aca="false">'SG PUTT'!Q194</f>
        <v>#VALUE!</v>
      </c>
      <c r="F194" s="70" t="e">
        <f aca="false">'SG ARG'!Q194</f>
        <v>#VALUE!</v>
      </c>
      <c r="G194" s="70"/>
      <c r="H194" s="58" t="e">
        <f aca="false">'Current Form'!L194</f>
        <v>#DIV/0!</v>
      </c>
      <c r="I194" s="71"/>
      <c r="J194" s="22" t="s">
        <v>467</v>
      </c>
      <c r="K194" s="22" t="s">
        <v>468</v>
      </c>
    </row>
    <row r="195" customFormat="false" ht="15.75" hidden="false" customHeight="true" outlineLevel="0" collapsed="false">
      <c r="A195" s="57" t="s">
        <v>338</v>
      </c>
      <c r="B195" s="69" t="n">
        <f aca="false">'SG OTT'!Q195</f>
        <v>-0.065</v>
      </c>
      <c r="C195" s="70" t="n">
        <f aca="false">Class!Q195</f>
        <v>0.325</v>
      </c>
      <c r="D195" s="70" t="n">
        <f aca="false">'SG APP'!Q195</f>
        <v>-0.205</v>
      </c>
      <c r="E195" s="70" t="n">
        <f aca="false">'SG PUTT'!Q195</f>
        <v>0.945</v>
      </c>
      <c r="F195" s="70" t="n">
        <f aca="false">'SG ARG'!Q195</f>
        <v>0.01</v>
      </c>
      <c r="G195" s="70"/>
      <c r="H195" s="58" t="n">
        <f aca="false">'Current Form'!L195</f>
        <v>0.41</v>
      </c>
      <c r="I195" s="71"/>
      <c r="J195" s="22" t="s">
        <v>467</v>
      </c>
      <c r="K195" s="22" t="s">
        <v>469</v>
      </c>
    </row>
    <row r="196" customFormat="false" ht="15.75" hidden="false" customHeight="true" outlineLevel="0" collapsed="false">
      <c r="A196" s="57" t="s">
        <v>339</v>
      </c>
      <c r="B196" s="69" t="n">
        <f aca="false">'SG OTT'!Q196</f>
        <v>0.282</v>
      </c>
      <c r="C196" s="70" t="n">
        <f aca="false">Class!Q196</f>
        <v>0.183</v>
      </c>
      <c r="D196" s="70" t="n">
        <f aca="false">'SG APP'!Q196</f>
        <v>0.143</v>
      </c>
      <c r="E196" s="70" t="n">
        <f aca="false">'SG PUTT'!Q196</f>
        <v>-0.736</v>
      </c>
      <c r="F196" s="70" t="n">
        <f aca="false">'SG ARG'!Q196</f>
        <v>0.499</v>
      </c>
      <c r="G196" s="70" t="n">
        <v>0</v>
      </c>
      <c r="H196" s="58" t="n">
        <f aca="false">'Current Form'!L196</f>
        <v>-0.35</v>
      </c>
      <c r="I196" s="71" t="n">
        <v>0.01</v>
      </c>
      <c r="J196" s="22" t="s">
        <v>137</v>
      </c>
      <c r="K196" s="22" t="s">
        <v>468</v>
      </c>
    </row>
    <row r="197" customFormat="false" ht="15.75" hidden="false" customHeight="true" outlineLevel="0" collapsed="false">
      <c r="A197" s="59" t="s">
        <v>340</v>
      </c>
      <c r="B197" s="69" t="n">
        <f aca="false">'SG OTT'!Q197</f>
        <v>0.0875</v>
      </c>
      <c r="C197" s="70" t="n">
        <f aca="false">Class!Q197</f>
        <v>0.0625</v>
      </c>
      <c r="D197" s="70" t="n">
        <f aca="false">'SG APP'!Q197</f>
        <v>-0.515</v>
      </c>
      <c r="E197" s="70" t="n">
        <f aca="false">'SG PUTT'!Q197</f>
        <v>0.00374999999999998</v>
      </c>
      <c r="F197" s="70" t="n">
        <f aca="false">'SG ARG'!Q197</f>
        <v>-0.14</v>
      </c>
      <c r="G197" s="70" t="n">
        <v>-0.31</v>
      </c>
      <c r="H197" s="58" t="n">
        <f aca="false">'Current Form'!L197</f>
        <v>-0.71</v>
      </c>
      <c r="I197" s="71" t="n">
        <v>-0.04</v>
      </c>
      <c r="J197" s="22" t="s">
        <v>137</v>
      </c>
      <c r="K197" s="22" t="s">
        <v>468</v>
      </c>
    </row>
    <row r="198" customFormat="false" ht="15.75" hidden="false" customHeight="true" outlineLevel="0" collapsed="false">
      <c r="A198" s="57" t="s">
        <v>341</v>
      </c>
      <c r="B198" s="69" t="n">
        <f aca="false">'SG OTT'!Q198</f>
        <v>-0.266666666666667</v>
      </c>
      <c r="C198" s="70" t="n">
        <f aca="false">Class!Q198</f>
        <v>0</v>
      </c>
      <c r="D198" s="70" t="n">
        <f aca="false">'SG APP'!Q198</f>
        <v>-0.015</v>
      </c>
      <c r="E198" s="70" t="n">
        <f aca="false">'SG PUTT'!Q198</f>
        <v>-0.161666666666667</v>
      </c>
      <c r="F198" s="70" t="n">
        <f aca="false">'SG ARG'!Q198</f>
        <v>-0.08</v>
      </c>
      <c r="G198" s="70" t="n">
        <v>0</v>
      </c>
      <c r="H198" s="58" t="n">
        <f aca="false">'Current Form'!L198</f>
        <v>-0.8175</v>
      </c>
      <c r="I198" s="71" t="n">
        <v>-0.03</v>
      </c>
      <c r="J198" s="22" t="s">
        <v>137</v>
      </c>
      <c r="K198" s="22" t="s">
        <v>468</v>
      </c>
    </row>
    <row r="199" customFormat="false" ht="15.75" hidden="false" customHeight="true" outlineLevel="0" collapsed="false">
      <c r="A199" s="59" t="s">
        <v>342</v>
      </c>
      <c r="B199" s="69" t="e">
        <f aca="false">'SG OTT'!Q199</f>
        <v>#VALUE!</v>
      </c>
      <c r="C199" s="70" t="e">
        <f aca="false">Class!Q199</f>
        <v>#VALUE!</v>
      </c>
      <c r="D199" s="70" t="e">
        <f aca="false">'SG APP'!Q199</f>
        <v>#VALUE!</v>
      </c>
      <c r="E199" s="70" t="e">
        <f aca="false">'SG PUTT'!Q199</f>
        <v>#VALUE!</v>
      </c>
      <c r="F199" s="70" t="e">
        <f aca="false">'SG ARG'!Q199</f>
        <v>#VALUE!</v>
      </c>
      <c r="G199" s="70"/>
      <c r="H199" s="58" t="e">
        <f aca="false">'Current Form'!L199</f>
        <v>#VALUE!</v>
      </c>
      <c r="I199" s="71"/>
      <c r="J199" s="22" t="s">
        <v>467</v>
      </c>
      <c r="K199" s="22" t="s">
        <v>468</v>
      </c>
    </row>
    <row r="200" customFormat="false" ht="15.75" hidden="false" customHeight="true" outlineLevel="0" collapsed="false">
      <c r="A200" s="59" t="s">
        <v>343</v>
      </c>
      <c r="B200" s="69" t="n">
        <f aca="false">'SG OTT'!Q200</f>
        <v>0.285</v>
      </c>
      <c r="C200" s="70" t="n">
        <f aca="false">Class!Q200</f>
        <v>0.03</v>
      </c>
      <c r="D200" s="70" t="n">
        <f aca="false">'SG APP'!Q200</f>
        <v>-0.67</v>
      </c>
      <c r="E200" s="70" t="n">
        <f aca="false">'SG PUTT'!Q200</f>
        <v>-0.055</v>
      </c>
      <c r="F200" s="70" t="n">
        <f aca="false">'SG ARG'!Q200</f>
        <v>-0.22</v>
      </c>
      <c r="G200" s="70"/>
      <c r="H200" s="58" t="e">
        <f aca="false">'Current Form'!L200</f>
        <v>#VALUE!</v>
      </c>
      <c r="I200" s="71"/>
      <c r="J200" s="22" t="s">
        <v>467</v>
      </c>
      <c r="K200" s="22" t="s">
        <v>468</v>
      </c>
    </row>
    <row r="201" customFormat="false" ht="15.75" hidden="false" customHeight="true" outlineLevel="0" collapsed="false">
      <c r="A201" s="57" t="s">
        <v>344</v>
      </c>
      <c r="B201" s="69" t="n">
        <f aca="false">'SG OTT'!Q201</f>
        <v>-1.19</v>
      </c>
      <c r="C201" s="70" t="n">
        <f aca="false">Class!Q201</f>
        <v>0</v>
      </c>
      <c r="D201" s="70" t="n">
        <f aca="false">'SG APP'!Q201</f>
        <v>-0.87</v>
      </c>
      <c r="E201" s="70" t="n">
        <f aca="false">'SG PUTT'!Q201</f>
        <v>-0.0983333333333333</v>
      </c>
      <c r="F201" s="70" t="n">
        <f aca="false">'SG ARG'!Q201</f>
        <v>0.215</v>
      </c>
      <c r="G201" s="70"/>
      <c r="H201" s="58" t="n">
        <f aca="false">'Current Form'!L201</f>
        <v>-2.58</v>
      </c>
      <c r="I201" s="71"/>
      <c r="J201" s="22" t="s">
        <v>467</v>
      </c>
      <c r="K201" s="22" t="s">
        <v>469</v>
      </c>
    </row>
    <row r="202" customFormat="false" ht="15.75" hidden="false" customHeight="true" outlineLevel="0" collapsed="false">
      <c r="A202" s="59" t="s">
        <v>345</v>
      </c>
      <c r="B202" s="69" t="e">
        <f aca="false">'SG OTT'!Q202</f>
        <v>#VALUE!</v>
      </c>
      <c r="C202" s="70" t="e">
        <f aca="false">Class!Q202</f>
        <v>#VALUE!</v>
      </c>
      <c r="D202" s="70" t="e">
        <f aca="false">'SG APP'!Q202</f>
        <v>#VALUE!</v>
      </c>
      <c r="E202" s="70" t="e">
        <f aca="false">'SG PUTT'!Q202</f>
        <v>#VALUE!</v>
      </c>
      <c r="F202" s="70" t="e">
        <f aca="false">'SG ARG'!Q202</f>
        <v>#VALUE!</v>
      </c>
      <c r="G202" s="70"/>
      <c r="H202" s="58" t="e">
        <f aca="false">'Current Form'!L202</f>
        <v>#VALUE!</v>
      </c>
      <c r="I202" s="71"/>
      <c r="J202" s="22" t="s">
        <v>467</v>
      </c>
      <c r="K202" s="22" t="s">
        <v>468</v>
      </c>
    </row>
    <row r="203" customFormat="false" ht="15.75" hidden="false" customHeight="true" outlineLevel="0" collapsed="false">
      <c r="A203" s="57" t="s">
        <v>346</v>
      </c>
      <c r="B203" s="69" t="n">
        <f aca="false">'SG OTT'!Q203</f>
        <v>-0.218888888888889</v>
      </c>
      <c r="C203" s="70" t="n">
        <f aca="false">Class!Q203</f>
        <v>0.225555555555556</v>
      </c>
      <c r="D203" s="70" t="n">
        <f aca="false">'SG APP'!Q203</f>
        <v>0.34</v>
      </c>
      <c r="E203" s="70" t="n">
        <f aca="false">'SG PUTT'!Q203</f>
        <v>-0.55</v>
      </c>
      <c r="F203" s="70" t="n">
        <f aca="false">'SG ARG'!Q203</f>
        <v>0.237777777777778</v>
      </c>
      <c r="G203" s="70" t="n">
        <v>0.17</v>
      </c>
      <c r="H203" s="58" t="n">
        <f aca="false">'Current Form'!L203</f>
        <v>0.162</v>
      </c>
      <c r="I203" s="71" t="n">
        <v>-0.04</v>
      </c>
      <c r="J203" s="22" t="s">
        <v>137</v>
      </c>
      <c r="K203" s="22" t="s">
        <v>468</v>
      </c>
    </row>
    <row r="204" customFormat="false" ht="15.75" hidden="false" customHeight="true" outlineLevel="0" collapsed="false">
      <c r="A204" s="59" t="s">
        <v>347</v>
      </c>
      <c r="B204" s="69" t="n">
        <f aca="false">'SG OTT'!Q204</f>
        <v>-0.364</v>
      </c>
      <c r="C204" s="70" t="n">
        <f aca="false">Class!Q204</f>
        <v>0</v>
      </c>
      <c r="D204" s="70" t="n">
        <f aca="false">'SG APP'!Q204</f>
        <v>-1.23</v>
      </c>
      <c r="E204" s="70" t="n">
        <f aca="false">'SG PUTT'!Q204</f>
        <v>-0.894</v>
      </c>
      <c r="F204" s="70" t="n">
        <f aca="false">'SG ARG'!Q204</f>
        <v>-0.314</v>
      </c>
      <c r="G204" s="70"/>
      <c r="H204" s="58" t="n">
        <f aca="false">'Current Form'!L204</f>
        <v>-2.20666666666667</v>
      </c>
      <c r="I204" s="71"/>
      <c r="J204" s="22" t="s">
        <v>467</v>
      </c>
      <c r="K204" s="22" t="s">
        <v>468</v>
      </c>
    </row>
    <row r="205" customFormat="false" ht="15.75" hidden="false" customHeight="true" outlineLevel="0" collapsed="false">
      <c r="A205" s="57" t="s">
        <v>348</v>
      </c>
      <c r="B205" s="69" t="n">
        <f aca="false">'SG OTT'!Q205</f>
        <v>0.681428571428572</v>
      </c>
      <c r="C205" s="70" t="n">
        <f aca="false">Class!Q205</f>
        <v>0.0342857142857143</v>
      </c>
      <c r="D205" s="70" t="n">
        <f aca="false">'SG APP'!Q205</f>
        <v>-0.62</v>
      </c>
      <c r="E205" s="70" t="n">
        <f aca="false">'SG PUTT'!Q205</f>
        <v>-0.724285714285714</v>
      </c>
      <c r="F205" s="70" t="n">
        <f aca="false">'SG ARG'!Q205</f>
        <v>0.0528571428571429</v>
      </c>
      <c r="G205" s="70" t="n">
        <v>0.05</v>
      </c>
      <c r="H205" s="58" t="n">
        <f aca="false">'Current Form'!L205</f>
        <v>-1.065</v>
      </c>
      <c r="I205" s="71" t="n">
        <v>-0.03</v>
      </c>
      <c r="J205" s="22" t="s">
        <v>137</v>
      </c>
      <c r="K205" s="22" t="s">
        <v>468</v>
      </c>
    </row>
    <row r="206" customFormat="false" ht="15.75" hidden="false" customHeight="true" outlineLevel="0" collapsed="false">
      <c r="A206" s="59" t="s">
        <v>349</v>
      </c>
      <c r="B206" s="69" t="n">
        <f aca="false">'SG OTT'!Q206</f>
        <v>0.209090909090909</v>
      </c>
      <c r="C206" s="70" t="n">
        <f aca="false">Class!Q206</f>
        <v>0.164545454545455</v>
      </c>
      <c r="D206" s="70" t="n">
        <f aca="false">'SG APP'!Q206</f>
        <v>0.0463636363636364</v>
      </c>
      <c r="E206" s="70" t="n">
        <f aca="false">'SG PUTT'!Q206</f>
        <v>-0.208181818181818</v>
      </c>
      <c r="F206" s="70" t="n">
        <f aca="false">'SG ARG'!Q206</f>
        <v>0.00454545454545455</v>
      </c>
      <c r="G206" s="70" t="n">
        <v>-0.19</v>
      </c>
      <c r="H206" s="58" t="n">
        <f aca="false">'Current Form'!L206</f>
        <v>-0.588571428571429</v>
      </c>
      <c r="I206" s="71" t="n">
        <v>-0.02</v>
      </c>
      <c r="J206" s="22" t="s">
        <v>137</v>
      </c>
      <c r="K206" s="22" t="s">
        <v>468</v>
      </c>
    </row>
    <row r="207" customFormat="false" ht="15.75" hidden="false" customHeight="true" outlineLevel="0" collapsed="false">
      <c r="A207" s="57" t="s">
        <v>350</v>
      </c>
      <c r="B207" s="69" t="n">
        <f aca="false">'SG OTT'!Q207</f>
        <v>0.6225</v>
      </c>
      <c r="C207" s="70" t="n">
        <f aca="false">Class!Q207</f>
        <v>0.34</v>
      </c>
      <c r="D207" s="70" t="n">
        <f aca="false">'SG APP'!Q207</f>
        <v>0.2575</v>
      </c>
      <c r="E207" s="70" t="n">
        <f aca="false">'SG PUTT'!Q207</f>
        <v>-0.2575</v>
      </c>
      <c r="F207" s="70" t="n">
        <f aca="false">'SG ARG'!Q207</f>
        <v>-0.0125</v>
      </c>
      <c r="G207" s="70" t="n">
        <v>-0.31</v>
      </c>
      <c r="H207" s="58" t="n">
        <f aca="false">'Current Form'!L207</f>
        <v>0.64</v>
      </c>
      <c r="I207" s="71" t="n">
        <v>-0.04</v>
      </c>
      <c r="J207" s="22" t="s">
        <v>137</v>
      </c>
      <c r="K207" s="22" t="s">
        <v>468</v>
      </c>
    </row>
    <row r="208" customFormat="false" ht="15.75" hidden="false" customHeight="true" outlineLevel="0" collapsed="false">
      <c r="A208" s="57" t="s">
        <v>351</v>
      </c>
      <c r="B208" s="69" t="n">
        <f aca="false">'SG OTT'!Q208</f>
        <v>0.548</v>
      </c>
      <c r="C208" s="70" t="n">
        <f aca="false">Class!Q208</f>
        <v>0.722</v>
      </c>
      <c r="D208" s="70" t="n">
        <f aca="false">'SG APP'!Q208</f>
        <v>0.12</v>
      </c>
      <c r="E208" s="70" t="n">
        <f aca="false">'SG PUTT'!Q208</f>
        <v>0.114</v>
      </c>
      <c r="F208" s="70" t="n">
        <f aca="false">'SG ARG'!Q208</f>
        <v>0.096</v>
      </c>
      <c r="G208" s="70"/>
      <c r="H208" s="58" t="n">
        <f aca="false">'Current Form'!L208</f>
        <v>1.15</v>
      </c>
      <c r="I208" s="71"/>
      <c r="J208" s="22" t="s">
        <v>467</v>
      </c>
      <c r="K208" s="22" t="s">
        <v>468</v>
      </c>
    </row>
    <row r="209" customFormat="false" ht="15.75" hidden="false" customHeight="true" outlineLevel="0" collapsed="false">
      <c r="A209" s="59" t="s">
        <v>352</v>
      </c>
      <c r="B209" s="69" t="n">
        <f aca="false">'SG OTT'!Q209</f>
        <v>-0.445</v>
      </c>
      <c r="C209" s="70" t="n">
        <f aca="false">Class!Q209</f>
        <v>0.05</v>
      </c>
      <c r="D209" s="70" t="n">
        <f aca="false">'SG APP'!Q209</f>
        <v>0.251666666666667</v>
      </c>
      <c r="E209" s="70" t="n">
        <f aca="false">'SG PUTT'!Q209</f>
        <v>-0.421666666666667</v>
      </c>
      <c r="F209" s="70" t="n">
        <f aca="false">'SG ARG'!Q209</f>
        <v>0.0533333333333333</v>
      </c>
      <c r="G209" s="70"/>
      <c r="H209" s="58" t="n">
        <f aca="false">'Current Form'!L209</f>
        <v>-0.73</v>
      </c>
      <c r="I209" s="71"/>
      <c r="J209" s="22" t="s">
        <v>467</v>
      </c>
      <c r="K209" s="22" t="s">
        <v>468</v>
      </c>
    </row>
    <row r="210" customFormat="false" ht="15.75" hidden="false" customHeight="true" outlineLevel="0" collapsed="false">
      <c r="A210" s="59" t="s">
        <v>353</v>
      </c>
      <c r="B210" s="69" t="n">
        <f aca="false">'SG OTT'!Q210</f>
        <v>-0.10625</v>
      </c>
      <c r="C210" s="70" t="n">
        <f aca="false">Class!Q210</f>
        <v>0.34</v>
      </c>
      <c r="D210" s="70" t="n">
        <f aca="false">'SG APP'!Q210</f>
        <v>-0.3425</v>
      </c>
      <c r="E210" s="70" t="n">
        <f aca="false">'SG PUTT'!Q210</f>
        <v>0.015</v>
      </c>
      <c r="F210" s="70" t="n">
        <f aca="false">'SG ARG'!Q210</f>
        <v>0.5325</v>
      </c>
      <c r="G210" s="70" t="n">
        <v>0.03</v>
      </c>
      <c r="H210" s="58" t="n">
        <f aca="false">'Current Form'!L210</f>
        <v>0.944</v>
      </c>
      <c r="I210" s="71" t="n">
        <v>0.03</v>
      </c>
      <c r="J210" s="22" t="s">
        <v>137</v>
      </c>
      <c r="K210" s="22" t="s">
        <v>468</v>
      </c>
    </row>
    <row r="211" customFormat="false" ht="15.75" hidden="false" customHeight="true" outlineLevel="0" collapsed="false">
      <c r="A211" s="59" t="s">
        <v>354</v>
      </c>
      <c r="B211" s="69" t="e">
        <f aca="false">'SG OTT'!Q211</f>
        <v>#VALUE!</v>
      </c>
      <c r="C211" s="70" t="e">
        <f aca="false">Class!Q211</f>
        <v>#VALUE!</v>
      </c>
      <c r="D211" s="70" t="e">
        <f aca="false">'SG APP'!Q211</f>
        <v>#VALUE!</v>
      </c>
      <c r="E211" s="70" t="e">
        <f aca="false">'SG PUTT'!Q211</f>
        <v>#VALUE!</v>
      </c>
      <c r="F211" s="70" t="e">
        <f aca="false">'SG ARG'!Q211</f>
        <v>#VALUE!</v>
      </c>
      <c r="G211" s="70"/>
      <c r="H211" s="58" t="e">
        <f aca="false">'Current Form'!L211</f>
        <v>#VALUE!</v>
      </c>
      <c r="I211" s="71"/>
      <c r="J211" s="22" t="s">
        <v>467</v>
      </c>
      <c r="K211" s="22" t="s">
        <v>468</v>
      </c>
    </row>
    <row r="212" customFormat="false" ht="15.75" hidden="false" customHeight="true" outlineLevel="0" collapsed="false">
      <c r="A212" s="59" t="s">
        <v>355</v>
      </c>
      <c r="B212" s="69" t="n">
        <f aca="false">'SG OTT'!Q212</f>
        <v>0.3925</v>
      </c>
      <c r="C212" s="70" t="n">
        <f aca="false">Class!Q212</f>
        <v>0.91</v>
      </c>
      <c r="D212" s="70" t="n">
        <f aca="false">'SG APP'!Q212</f>
        <v>0.02875</v>
      </c>
      <c r="E212" s="70" t="n">
        <f aca="false">'SG PUTT'!Q212</f>
        <v>0.25375</v>
      </c>
      <c r="F212" s="70" t="n">
        <f aca="false">'SG ARG'!Q212</f>
        <v>-0.0775</v>
      </c>
      <c r="G212" s="70" t="n">
        <v>0.16</v>
      </c>
      <c r="H212" s="58" t="n">
        <f aca="false">'Current Form'!L212</f>
        <v>0.525</v>
      </c>
      <c r="I212" s="71" t="n">
        <v>0.17</v>
      </c>
      <c r="J212" s="22" t="s">
        <v>137</v>
      </c>
      <c r="K212" s="22" t="s">
        <v>468</v>
      </c>
    </row>
    <row r="213" customFormat="false" ht="15.75" hidden="false" customHeight="true" outlineLevel="0" collapsed="false">
      <c r="A213" s="57" t="s">
        <v>356</v>
      </c>
      <c r="B213" s="69" t="n">
        <f aca="false">'SG OTT'!Q213</f>
        <v>0.43625</v>
      </c>
      <c r="C213" s="70" t="n">
        <f aca="false">Class!Q213</f>
        <v>0.2275</v>
      </c>
      <c r="D213" s="70" t="n">
        <f aca="false">'SG APP'!Q213</f>
        <v>-0.35875</v>
      </c>
      <c r="E213" s="70" t="n">
        <f aca="false">'SG PUTT'!Q213</f>
        <v>0.18875</v>
      </c>
      <c r="F213" s="70" t="n">
        <f aca="false">'SG ARG'!Q213</f>
        <v>-0.502857142857143</v>
      </c>
      <c r="G213" s="70" t="n">
        <v>-0.42</v>
      </c>
      <c r="H213" s="58" t="n">
        <f aca="false">'Current Form'!L213</f>
        <v>-1.042</v>
      </c>
      <c r="I213" s="71" t="n">
        <v>-0.04</v>
      </c>
      <c r="J213" s="22" t="s">
        <v>137</v>
      </c>
      <c r="K213" s="22" t="s">
        <v>468</v>
      </c>
    </row>
    <row r="214" customFormat="false" ht="15.75" hidden="false" customHeight="true" outlineLevel="0" collapsed="false">
      <c r="A214" s="59" t="s">
        <v>357</v>
      </c>
      <c r="B214" s="69" t="n">
        <f aca="false">'SG OTT'!Q214</f>
        <v>-0.431428571428571</v>
      </c>
      <c r="C214" s="70" t="n">
        <f aca="false">Class!Q214</f>
        <v>0.142857142857143</v>
      </c>
      <c r="D214" s="70" t="n">
        <f aca="false">'SG APP'!Q214</f>
        <v>-0.728571428571429</v>
      </c>
      <c r="E214" s="70" t="n">
        <f aca="false">'SG PUTT'!Q214</f>
        <v>0.371428571428571</v>
      </c>
      <c r="F214" s="70" t="n">
        <f aca="false">'SG ARG'!Q214</f>
        <v>0.0642857142857143</v>
      </c>
      <c r="G214" s="70" t="n">
        <v>0.05</v>
      </c>
      <c r="H214" s="58" t="n">
        <f aca="false">'Current Form'!L214</f>
        <v>-0.8475</v>
      </c>
      <c r="I214" s="71" t="n">
        <v>0.1</v>
      </c>
      <c r="J214" s="22" t="s">
        <v>137</v>
      </c>
      <c r="K214" s="22" t="s">
        <v>468</v>
      </c>
    </row>
    <row r="215" customFormat="false" ht="15.75" hidden="false" customHeight="true" outlineLevel="0" collapsed="false">
      <c r="A215" s="57" t="s">
        <v>358</v>
      </c>
      <c r="B215" s="69" t="n">
        <f aca="false">'SG OTT'!Q215</f>
        <v>-0.783333333333333</v>
      </c>
      <c r="C215" s="70" t="n">
        <f aca="false">Class!Q215</f>
        <v>0.0516666666666667</v>
      </c>
      <c r="D215" s="70" t="n">
        <f aca="false">'SG APP'!Q215</f>
        <v>-0.375</v>
      </c>
      <c r="E215" s="70" t="n">
        <f aca="false">'SG PUTT'!Q215</f>
        <v>-0.186666666666667</v>
      </c>
      <c r="F215" s="70" t="n">
        <f aca="false">'SG ARG'!Q215</f>
        <v>-0.311666666666667</v>
      </c>
      <c r="G215" s="70"/>
      <c r="H215" s="58" t="n">
        <f aca="false">'Current Form'!L215</f>
        <v>-2.935</v>
      </c>
      <c r="I215" s="71"/>
      <c r="J215" s="22" t="s">
        <v>467</v>
      </c>
      <c r="K215" s="22" t="s">
        <v>469</v>
      </c>
    </row>
    <row r="216" customFormat="false" ht="15.75" hidden="false" customHeight="true" outlineLevel="0" collapsed="false">
      <c r="A216" s="57" t="s">
        <v>359</v>
      </c>
      <c r="B216" s="69" t="n">
        <f aca="false">'SG OTT'!Q216</f>
        <v>0.354285714285714</v>
      </c>
      <c r="C216" s="70" t="n">
        <f aca="false">Class!Q216</f>
        <v>0.252857142857143</v>
      </c>
      <c r="D216" s="70" t="n">
        <f aca="false">'SG APP'!Q216</f>
        <v>-0.595714285714286</v>
      </c>
      <c r="E216" s="70" t="n">
        <f aca="false">'SG PUTT'!Q216</f>
        <v>0.222857142857143</v>
      </c>
      <c r="F216" s="70" t="n">
        <f aca="false">'SG ARG'!Q216</f>
        <v>0.0771428571428572</v>
      </c>
      <c r="G216" s="70"/>
      <c r="H216" s="58" t="n">
        <f aca="false">'Current Form'!L216</f>
        <v>-0.693333333333333</v>
      </c>
      <c r="I216" s="71"/>
      <c r="J216" s="22" t="s">
        <v>467</v>
      </c>
      <c r="K216" s="22" t="s">
        <v>469</v>
      </c>
    </row>
    <row r="217" customFormat="false" ht="15.75" hidden="false" customHeight="true" outlineLevel="0" collapsed="false">
      <c r="A217" s="57" t="s">
        <v>360</v>
      </c>
      <c r="B217" s="69" t="n">
        <f aca="false">'SG OTT'!Q217</f>
        <v>-0.852222222222222</v>
      </c>
      <c r="C217" s="70" t="n">
        <f aca="false">Class!Q217</f>
        <v>0.101111111111111</v>
      </c>
      <c r="D217" s="70" t="n">
        <f aca="false">'SG APP'!Q217</f>
        <v>0.277777777777778</v>
      </c>
      <c r="E217" s="70" t="n">
        <f aca="false">'SG PUTT'!Q217</f>
        <v>0.436666666666667</v>
      </c>
      <c r="F217" s="70" t="n">
        <f aca="false">'SG ARG'!Q217</f>
        <v>0.3425</v>
      </c>
      <c r="G217" s="70" t="n">
        <v>0.39</v>
      </c>
      <c r="H217" s="58" t="n">
        <f aca="false">'Current Form'!L217</f>
        <v>-0.41</v>
      </c>
      <c r="I217" s="71" t="n">
        <v>0.04</v>
      </c>
      <c r="J217" s="22" t="s">
        <v>137</v>
      </c>
      <c r="K217" s="22" t="s">
        <v>468</v>
      </c>
    </row>
    <row r="218" customFormat="false" ht="15.75" hidden="false" customHeight="true" outlineLevel="0" collapsed="false">
      <c r="A218" s="57" t="s">
        <v>361</v>
      </c>
      <c r="B218" s="69" t="n">
        <f aca="false">'SG OTT'!Q218</f>
        <v>0.668</v>
      </c>
      <c r="C218" s="70" t="n">
        <f aca="false">Class!Q218</f>
        <v>0.82</v>
      </c>
      <c r="D218" s="70" t="n">
        <f aca="false">'SG APP'!Q218</f>
        <v>0.552</v>
      </c>
      <c r="E218" s="70" t="n">
        <f aca="false">'SG PUTT'!Q218</f>
        <v>-0.036</v>
      </c>
      <c r="F218" s="70" t="n">
        <f aca="false">'SG ARG'!Q218</f>
        <v>0.13</v>
      </c>
      <c r="G218" s="70"/>
      <c r="H218" s="58" t="n">
        <f aca="false">'Current Form'!L218</f>
        <v>0.69</v>
      </c>
      <c r="I218" s="71"/>
      <c r="J218" s="22" t="s">
        <v>467</v>
      </c>
      <c r="K218" s="22" t="s">
        <v>468</v>
      </c>
    </row>
    <row r="219" customFormat="false" ht="15.75" hidden="false" customHeight="true" outlineLevel="0" collapsed="false">
      <c r="A219" s="57" t="s">
        <v>362</v>
      </c>
      <c r="B219" s="69" t="n">
        <f aca="false">'SG OTT'!Q219</f>
        <v>0.358571428571429</v>
      </c>
      <c r="C219" s="70" t="n">
        <f aca="false">Class!Q219</f>
        <v>0.787142857142857</v>
      </c>
      <c r="D219" s="70" t="n">
        <f aca="false">'SG APP'!Q219</f>
        <v>0.645714285714286</v>
      </c>
      <c r="E219" s="70" t="n">
        <f aca="false">'SG PUTT'!Q219</f>
        <v>0.08</v>
      </c>
      <c r="F219" s="70" t="n">
        <f aca="false">'SG ARG'!Q219</f>
        <v>0.155714285714286</v>
      </c>
      <c r="G219" s="70" t="n">
        <v>0.4</v>
      </c>
      <c r="H219" s="58" t="n">
        <f aca="false">'Current Form'!L219</f>
        <v>0.724</v>
      </c>
      <c r="I219" s="71" t="n">
        <v>0.07</v>
      </c>
      <c r="J219" s="22" t="s">
        <v>137</v>
      </c>
      <c r="K219" s="22" t="s">
        <v>468</v>
      </c>
    </row>
    <row r="220" customFormat="false" ht="15.75" hidden="false" customHeight="true" outlineLevel="0" collapsed="false">
      <c r="A220" s="59" t="s">
        <v>363</v>
      </c>
      <c r="B220" s="69" t="n">
        <f aca="false">'SG OTT'!Q220</f>
        <v>-0.28625</v>
      </c>
      <c r="C220" s="70" t="n">
        <f aca="false">Class!Q220</f>
        <v>0.02875</v>
      </c>
      <c r="D220" s="70" t="n">
        <f aca="false">'SG APP'!Q220</f>
        <v>-0.7575</v>
      </c>
      <c r="E220" s="70" t="n">
        <f aca="false">'SG PUTT'!Q220</f>
        <v>-0.32875</v>
      </c>
      <c r="F220" s="70" t="n">
        <f aca="false">'SG ARG'!Q220</f>
        <v>0.1575</v>
      </c>
      <c r="G220" s="70" t="n">
        <v>0</v>
      </c>
      <c r="H220" s="58" t="n">
        <f aca="false">'Current Form'!L220</f>
        <v>-1.224</v>
      </c>
      <c r="I220" s="71" t="n">
        <v>-0.01</v>
      </c>
      <c r="J220" s="22" t="s">
        <v>137</v>
      </c>
      <c r="K220" s="22" t="s">
        <v>468</v>
      </c>
    </row>
    <row r="221" customFormat="false" ht="15.75" hidden="false" customHeight="true" outlineLevel="0" collapsed="false">
      <c r="A221" s="57" t="s">
        <v>364</v>
      </c>
      <c r="B221" s="69" t="n">
        <f aca="false">'SG OTT'!Q221</f>
        <v>0.115714285714286</v>
      </c>
      <c r="C221" s="70" t="n">
        <f aca="false">Class!Q221</f>
        <v>0.0657142857142857</v>
      </c>
      <c r="D221" s="70" t="n">
        <f aca="false">'SG APP'!Q221</f>
        <v>-0.245714285714286</v>
      </c>
      <c r="E221" s="70" t="n">
        <f aca="false">'SG PUTT'!Q221</f>
        <v>-0.842857142857143</v>
      </c>
      <c r="F221" s="70" t="n">
        <f aca="false">'SG ARG'!Q221</f>
        <v>-0.124285714285714</v>
      </c>
      <c r="G221" s="70"/>
      <c r="H221" s="58" t="n">
        <f aca="false">'Current Form'!L221</f>
        <v>-1.29333333333333</v>
      </c>
      <c r="I221" s="71"/>
      <c r="J221" s="22" t="s">
        <v>467</v>
      </c>
      <c r="K221" s="22" t="s">
        <v>469</v>
      </c>
    </row>
    <row r="222" customFormat="false" ht="15.75" hidden="false" customHeight="true" outlineLevel="0" collapsed="false">
      <c r="A222" s="59" t="s">
        <v>365</v>
      </c>
      <c r="B222" s="69" t="e">
        <f aca="false">'SG OTT'!Q222</f>
        <v>#VALUE!</v>
      </c>
      <c r="C222" s="70" t="e">
        <f aca="false">Class!Q222</f>
        <v>#VALUE!</v>
      </c>
      <c r="D222" s="70" t="e">
        <f aca="false">'SG APP'!Q222</f>
        <v>#VALUE!</v>
      </c>
      <c r="E222" s="70" t="e">
        <f aca="false">'SG PUTT'!Q222</f>
        <v>#VALUE!</v>
      </c>
      <c r="F222" s="70" t="e">
        <f aca="false">'SG ARG'!Q222</f>
        <v>#VALUE!</v>
      </c>
      <c r="G222" s="70"/>
      <c r="H222" s="58" t="e">
        <f aca="false">'Current Form'!L222</f>
        <v>#VALUE!</v>
      </c>
      <c r="I222" s="71"/>
      <c r="J222" s="22" t="s">
        <v>467</v>
      </c>
      <c r="K222" s="22" t="s">
        <v>468</v>
      </c>
    </row>
    <row r="223" customFormat="false" ht="15.75" hidden="false" customHeight="true" outlineLevel="0" collapsed="false">
      <c r="A223" s="57" t="s">
        <v>366</v>
      </c>
      <c r="B223" s="69" t="n">
        <f aca="false">'SG OTT'!Q223</f>
        <v>-0.335</v>
      </c>
      <c r="C223" s="70" t="n">
        <f aca="false">Class!Q223</f>
        <v>0.5075</v>
      </c>
      <c r="D223" s="70" t="n">
        <f aca="false">'SG APP'!Q223</f>
        <v>0.665</v>
      </c>
      <c r="E223" s="70" t="n">
        <f aca="false">'SG PUTT'!Q223</f>
        <v>-0.32</v>
      </c>
      <c r="F223" s="70" t="n">
        <f aca="false">'SG ARG'!Q223</f>
        <v>0.4775</v>
      </c>
      <c r="G223" s="70"/>
      <c r="H223" s="58" t="n">
        <f aca="false">'Current Form'!L223</f>
        <v>0.18</v>
      </c>
      <c r="I223" s="71"/>
      <c r="J223" s="22" t="s">
        <v>467</v>
      </c>
      <c r="K223" s="22" t="s">
        <v>468</v>
      </c>
    </row>
    <row r="224" customFormat="false" ht="15.75" hidden="false" customHeight="true" outlineLevel="0" collapsed="false">
      <c r="A224" s="57" t="s">
        <v>367</v>
      </c>
      <c r="B224" s="69" t="n">
        <f aca="false">'SG OTT'!Q224</f>
        <v>0.714285714285714</v>
      </c>
      <c r="C224" s="70" t="n">
        <f aca="false">Class!Q224</f>
        <v>0.915714285714286</v>
      </c>
      <c r="D224" s="70" t="n">
        <f aca="false">'SG APP'!Q224</f>
        <v>0.364285714285714</v>
      </c>
      <c r="E224" s="70" t="n">
        <f aca="false">'SG PUTT'!Q224</f>
        <v>0.127142857142857</v>
      </c>
      <c r="F224" s="70" t="n">
        <f aca="false">'SG ARG'!Q224</f>
        <v>-0.155714285714286</v>
      </c>
      <c r="G224" s="70"/>
      <c r="H224" s="58" t="n">
        <f aca="false">'Current Form'!L224</f>
        <v>0.545</v>
      </c>
      <c r="I224" s="71"/>
      <c r="J224" s="22" t="s">
        <v>467</v>
      </c>
      <c r="K224" s="22" t="s">
        <v>468</v>
      </c>
    </row>
    <row r="225" customFormat="false" ht="15.75" hidden="false" customHeight="true" outlineLevel="0" collapsed="false">
      <c r="A225" s="59" t="s">
        <v>368</v>
      </c>
      <c r="B225" s="69" t="e">
        <f aca="false">'SG OTT'!Q225</f>
        <v>#DIV/0!</v>
      </c>
      <c r="C225" s="70" t="e">
        <f aca="false">Class!Q225</f>
        <v>#DIV/0!</v>
      </c>
      <c r="D225" s="70" t="e">
        <f aca="false">'SG APP'!Q225</f>
        <v>#DIV/0!</v>
      </c>
      <c r="E225" s="70" t="e">
        <f aca="false">'SG PUTT'!Q225</f>
        <v>#DIV/0!</v>
      </c>
      <c r="F225" s="70" t="e">
        <f aca="false">'SG ARG'!Q225</f>
        <v>#DIV/0!</v>
      </c>
      <c r="G225" s="70"/>
      <c r="H225" s="58" t="e">
        <f aca="false">'Current Form'!L225</f>
        <v>#DIV/0!</v>
      </c>
      <c r="I225" s="71"/>
      <c r="J225" s="22" t="s">
        <v>467</v>
      </c>
      <c r="K225" s="22" t="s">
        <v>468</v>
      </c>
    </row>
    <row r="226" customFormat="false" ht="15.75" hidden="false" customHeight="true" outlineLevel="0" collapsed="false">
      <c r="A226" s="57" t="s">
        <v>369</v>
      </c>
      <c r="B226" s="69" t="n">
        <f aca="false">'SG OTT'!Q226</f>
        <v>-0.392222222222222</v>
      </c>
      <c r="C226" s="70" t="n">
        <f aca="false">Class!Q226</f>
        <v>0.0266666666666667</v>
      </c>
      <c r="D226" s="70" t="n">
        <f aca="false">'SG APP'!Q226</f>
        <v>-0.688888888888889</v>
      </c>
      <c r="E226" s="70" t="n">
        <f aca="false">'SG PUTT'!Q226</f>
        <v>0.252222222222222</v>
      </c>
      <c r="F226" s="70" t="n">
        <f aca="false">'SG ARG'!Q226</f>
        <v>-0.175555555555556</v>
      </c>
      <c r="G226" s="70" t="n">
        <v>-0.24</v>
      </c>
      <c r="H226" s="58" t="n">
        <f aca="false">'Current Form'!L226</f>
        <v>-0.914</v>
      </c>
      <c r="I226" s="71" t="n">
        <v>0.04</v>
      </c>
      <c r="J226" s="22" t="s">
        <v>137</v>
      </c>
      <c r="K226" s="22" t="s">
        <v>468</v>
      </c>
    </row>
    <row r="227" customFormat="false" ht="15.75" hidden="false" customHeight="true" outlineLevel="0" collapsed="false">
      <c r="A227" s="59" t="s">
        <v>370</v>
      </c>
      <c r="B227" s="69" t="n">
        <f aca="false">'SG OTT'!Q227</f>
        <v>-0.268888888888889</v>
      </c>
      <c r="C227" s="70" t="n">
        <f aca="false">Class!Q227</f>
        <v>0.0266666666666667</v>
      </c>
      <c r="D227" s="70" t="n">
        <f aca="false">'SG APP'!Q227</f>
        <v>-0.618888888888889</v>
      </c>
      <c r="E227" s="70" t="n">
        <f aca="false">'SG PUTT'!Q227</f>
        <v>0.188888888888889</v>
      </c>
      <c r="F227" s="70" t="n">
        <f aca="false">'SG ARG'!Q227</f>
        <v>-0.262222222222222</v>
      </c>
      <c r="G227" s="70" t="n">
        <v>-0.19</v>
      </c>
      <c r="H227" s="58" t="n">
        <f aca="false">'Current Form'!L227</f>
        <v>-1.7225</v>
      </c>
      <c r="I227" s="71" t="n">
        <v>0.17</v>
      </c>
      <c r="J227" s="22" t="s">
        <v>137</v>
      </c>
      <c r="K227" s="22" t="s">
        <v>468</v>
      </c>
    </row>
    <row r="228" customFormat="false" ht="15.75" hidden="false" customHeight="true" outlineLevel="0" collapsed="false">
      <c r="A228" s="57" t="s">
        <v>371</v>
      </c>
      <c r="B228" s="69" t="n">
        <f aca="false">'SG OTT'!Q228</f>
        <v>-0.478333333333333</v>
      </c>
      <c r="C228" s="70" t="n">
        <f aca="false">Class!Q228</f>
        <v>0.173333333333333</v>
      </c>
      <c r="D228" s="70" t="n">
        <f aca="false">'SG APP'!Q228</f>
        <v>-0.256666666666667</v>
      </c>
      <c r="E228" s="70" t="n">
        <f aca="false">'SG PUTT'!Q228</f>
        <v>-0.33</v>
      </c>
      <c r="F228" s="70" t="n">
        <f aca="false">'SG ARG'!Q228</f>
        <v>-0.293333333333333</v>
      </c>
      <c r="G228" s="70"/>
      <c r="H228" s="58" t="n">
        <f aca="false">'Current Form'!L228</f>
        <v>-2.005</v>
      </c>
      <c r="I228" s="71"/>
      <c r="J228" s="22" t="s">
        <v>467</v>
      </c>
      <c r="K228" s="22" t="s">
        <v>469</v>
      </c>
    </row>
    <row r="229" customFormat="false" ht="15.75" hidden="false" customHeight="true" outlineLevel="0" collapsed="false">
      <c r="A229" s="59" t="s">
        <v>372</v>
      </c>
      <c r="B229" s="69" t="n">
        <f aca="false">'SG OTT'!Q229</f>
        <v>0.303333333333333</v>
      </c>
      <c r="C229" s="70" t="n">
        <f aca="false">Class!Q229</f>
        <v>0.728333333333333</v>
      </c>
      <c r="D229" s="70" t="n">
        <f aca="false">'SG APP'!Q229</f>
        <v>0.428333333333333</v>
      </c>
      <c r="E229" s="70" t="n">
        <f aca="false">'SG PUTT'!Q229</f>
        <v>0.205</v>
      </c>
      <c r="F229" s="70" t="n">
        <f aca="false">'SG ARG'!Q229</f>
        <v>-0.115</v>
      </c>
      <c r="G229" s="70"/>
      <c r="H229" s="58" t="n">
        <f aca="false">'Current Form'!L229</f>
        <v>1.06</v>
      </c>
      <c r="I229" s="71"/>
      <c r="J229" s="22" t="s">
        <v>467</v>
      </c>
      <c r="K229" s="22" t="s">
        <v>468</v>
      </c>
    </row>
    <row r="230" customFormat="false" ht="15.75" hidden="false" customHeight="true" outlineLevel="0" collapsed="false">
      <c r="A230" s="59" t="s">
        <v>373</v>
      </c>
      <c r="B230" s="69" t="n">
        <f aca="false">'SG OTT'!Q230</f>
        <v>-0.25</v>
      </c>
      <c r="C230" s="70" t="n">
        <f aca="false">Class!Q230</f>
        <v>0.62</v>
      </c>
      <c r="D230" s="70" t="n">
        <f aca="false">'SG APP'!Q230</f>
        <v>0.71</v>
      </c>
      <c r="E230" s="70" t="n">
        <f aca="false">'SG PUTT'!Q230</f>
        <v>0.19</v>
      </c>
      <c r="F230" s="70" t="e">
        <f aca="false">'SG ARG'!Q230</f>
        <v>#VALUE!</v>
      </c>
      <c r="G230" s="70"/>
      <c r="H230" s="58" t="e">
        <f aca="false">'Current Form'!L230</f>
        <v>#VALUE!</v>
      </c>
      <c r="I230" s="71"/>
      <c r="J230" s="22" t="s">
        <v>467</v>
      </c>
      <c r="K230" s="22" t="s">
        <v>468</v>
      </c>
    </row>
    <row r="231" customFormat="false" ht="15.75" hidden="false" customHeight="true" outlineLevel="0" collapsed="false">
      <c r="A231" s="57" t="s">
        <v>374</v>
      </c>
      <c r="B231" s="69" t="n">
        <f aca="false">'SG OTT'!Q231</f>
        <v>0.17</v>
      </c>
      <c r="C231" s="70" t="n">
        <f aca="false">Class!Q231</f>
        <v>0.401111111111111</v>
      </c>
      <c r="D231" s="70" t="n">
        <f aca="false">'SG APP'!Q231</f>
        <v>-0.167777777777778</v>
      </c>
      <c r="E231" s="70" t="n">
        <f aca="false">'SG PUTT'!Q231</f>
        <v>-0.00555555555555555</v>
      </c>
      <c r="F231" s="70" t="n">
        <f aca="false">'SG ARG'!Q231</f>
        <v>-0.06</v>
      </c>
      <c r="G231" s="70" t="n">
        <v>0</v>
      </c>
      <c r="H231" s="58" t="n">
        <f aca="false">'Current Form'!L231</f>
        <v>0.121666666666667</v>
      </c>
      <c r="I231" s="71" t="n">
        <v>-0.03</v>
      </c>
      <c r="J231" s="22" t="s">
        <v>137</v>
      </c>
      <c r="K231" s="22" t="s">
        <v>468</v>
      </c>
    </row>
    <row r="232" customFormat="false" ht="15.75" hidden="false" customHeight="true" outlineLevel="0" collapsed="false">
      <c r="A232" s="57" t="s">
        <v>375</v>
      </c>
      <c r="B232" s="69" t="n">
        <f aca="false">'SG OTT'!Q232</f>
        <v>-0.052</v>
      </c>
      <c r="C232" s="70" t="n">
        <f aca="false">Class!Q232</f>
        <v>0.08</v>
      </c>
      <c r="D232" s="70" t="n">
        <f aca="false">'SG APP'!Q232</f>
        <v>0.3</v>
      </c>
      <c r="E232" s="70" t="n">
        <f aca="false">'SG PUTT'!Q232</f>
        <v>-0.268</v>
      </c>
      <c r="F232" s="70" t="n">
        <f aca="false">'SG ARG'!Q232</f>
        <v>-0.218</v>
      </c>
      <c r="G232" s="70"/>
      <c r="H232" s="58" t="n">
        <f aca="false">'Current Form'!L232</f>
        <v>-0.45</v>
      </c>
      <c r="I232" s="71"/>
      <c r="J232" s="22" t="s">
        <v>467</v>
      </c>
      <c r="K232" s="22" t="s">
        <v>468</v>
      </c>
    </row>
    <row r="233" customFormat="false" ht="15.75" hidden="false" customHeight="true" outlineLevel="0" collapsed="false">
      <c r="A233" s="59" t="s">
        <v>376</v>
      </c>
      <c r="B233" s="69" t="n">
        <f aca="false">'SG OTT'!Q233</f>
        <v>0.38</v>
      </c>
      <c r="C233" s="70" t="n">
        <f aca="false">Class!Q233</f>
        <v>0</v>
      </c>
      <c r="D233" s="70" t="n">
        <f aca="false">'SG APP'!Q233</f>
        <v>-0.37</v>
      </c>
      <c r="E233" s="70" t="n">
        <f aca="false">'SG PUTT'!Q233</f>
        <v>-0.653333333333333</v>
      </c>
      <c r="F233" s="70" t="n">
        <f aca="false">'SG ARG'!Q233</f>
        <v>-0.478888888888889</v>
      </c>
      <c r="G233" s="70" t="n">
        <v>0.24</v>
      </c>
      <c r="H233" s="58" t="n">
        <f aca="false">'Current Form'!L233</f>
        <v>-1.36833333333333</v>
      </c>
      <c r="I233" s="71" t="n">
        <v>-0.04</v>
      </c>
      <c r="J233" s="22" t="s">
        <v>137</v>
      </c>
      <c r="K233" s="22" t="s">
        <v>468</v>
      </c>
    </row>
    <row r="234" customFormat="false" ht="15.75" hidden="false" customHeight="true" outlineLevel="0" collapsed="false">
      <c r="A234" s="59" t="s">
        <v>377</v>
      </c>
      <c r="B234" s="69" t="n">
        <f aca="false">'SG OTT'!Q234</f>
        <v>-0.115</v>
      </c>
      <c r="C234" s="70" t="n">
        <f aca="false">Class!Q234</f>
        <v>0.295</v>
      </c>
      <c r="D234" s="70" t="n">
        <f aca="false">'SG APP'!Q234</f>
        <v>0.605</v>
      </c>
      <c r="E234" s="70" t="n">
        <f aca="false">'SG PUTT'!Q234</f>
        <v>0.475</v>
      </c>
      <c r="F234" s="70" t="n">
        <f aca="false">'SG ARG'!Q234</f>
        <v>-0.16</v>
      </c>
      <c r="G234" s="70"/>
      <c r="H234" s="58" t="e">
        <f aca="false">'Current Form'!L234</f>
        <v>#VALUE!</v>
      </c>
      <c r="I234" s="71"/>
      <c r="J234" s="22" t="s">
        <v>467</v>
      </c>
      <c r="K234" s="22" t="s">
        <v>468</v>
      </c>
    </row>
    <row r="235" customFormat="false" ht="15.75" hidden="false" customHeight="true" outlineLevel="0" collapsed="false">
      <c r="A235" s="57" t="s">
        <v>378</v>
      </c>
      <c r="B235" s="69" t="n">
        <f aca="false">'SG OTT'!Q235</f>
        <v>-0.285</v>
      </c>
      <c r="C235" s="70" t="n">
        <f aca="false">Class!Q235</f>
        <v>0.075</v>
      </c>
      <c r="D235" s="70" t="n">
        <f aca="false">'SG APP'!Q235</f>
        <v>-0.121666666666667</v>
      </c>
      <c r="E235" s="70" t="n">
        <f aca="false">'SG PUTT'!Q235</f>
        <v>-0.0416666666666667</v>
      </c>
      <c r="F235" s="70" t="n">
        <f aca="false">'SG ARG'!Q235</f>
        <v>-0.05</v>
      </c>
      <c r="G235" s="70" t="n">
        <v>0.01</v>
      </c>
      <c r="H235" s="58" t="n">
        <f aca="false">'Current Form'!L235</f>
        <v>-0.473333333333333</v>
      </c>
      <c r="I235" s="71" t="n">
        <v>-0.04</v>
      </c>
      <c r="J235" s="22" t="s">
        <v>137</v>
      </c>
      <c r="K235" s="22" t="s">
        <v>468</v>
      </c>
    </row>
    <row r="236" customFormat="false" ht="15.75" hidden="false" customHeight="true" outlineLevel="0" collapsed="false">
      <c r="A236" s="59" t="s">
        <v>379</v>
      </c>
      <c r="B236" s="69" t="e">
        <f aca="false">'SG OTT'!Q236</f>
        <v>#DIV/0!</v>
      </c>
      <c r="C236" s="70" t="e">
        <f aca="false">Class!Q236</f>
        <v>#DIV/0!</v>
      </c>
      <c r="D236" s="70" t="e">
        <f aca="false">'SG APP'!Q236</f>
        <v>#DIV/0!</v>
      </c>
      <c r="E236" s="70" t="e">
        <f aca="false">'SG PUTT'!Q236</f>
        <v>#DIV/0!</v>
      </c>
      <c r="F236" s="70" t="e">
        <f aca="false">'SG ARG'!Q236</f>
        <v>#DIV/0!</v>
      </c>
      <c r="G236" s="70"/>
      <c r="H236" s="58" t="e">
        <f aca="false">'Current Form'!L236</f>
        <v>#DIV/0!</v>
      </c>
      <c r="I236" s="71"/>
      <c r="J236" s="22" t="s">
        <v>467</v>
      </c>
      <c r="K236" s="22" t="s">
        <v>468</v>
      </c>
    </row>
    <row r="237" customFormat="false" ht="15.75" hidden="false" customHeight="true" outlineLevel="0" collapsed="false">
      <c r="A237" s="59" t="s">
        <v>380</v>
      </c>
      <c r="B237" s="69" t="n">
        <f aca="false">'SG OTT'!Q237</f>
        <v>0.301666666666667</v>
      </c>
      <c r="C237" s="70" t="n">
        <f aca="false">Class!Q237</f>
        <v>0.0516666666666667</v>
      </c>
      <c r="D237" s="70" t="n">
        <f aca="false">'SG APP'!Q237</f>
        <v>-1.65833333333333</v>
      </c>
      <c r="E237" s="70" t="n">
        <f aca="false">'SG PUTT'!Q237</f>
        <v>0.02</v>
      </c>
      <c r="F237" s="70" t="n">
        <f aca="false">'SG ARG'!Q237</f>
        <v>0.163333333333333</v>
      </c>
      <c r="G237" s="70" t="n">
        <v>-0.38</v>
      </c>
      <c r="H237" s="58" t="n">
        <f aca="false">'Current Form'!L237</f>
        <v>-0.275</v>
      </c>
      <c r="I237" s="71" t="n">
        <v>-0.02</v>
      </c>
      <c r="J237" s="22" t="s">
        <v>137</v>
      </c>
      <c r="K237" s="22" t="s">
        <v>468</v>
      </c>
    </row>
    <row r="238" customFormat="false" ht="15.75" hidden="false" customHeight="true" outlineLevel="0" collapsed="false">
      <c r="A238" s="57" t="s">
        <v>381</v>
      </c>
      <c r="B238" s="69" t="n">
        <f aca="false">'SG OTT'!Q238</f>
        <v>0.181428571428571</v>
      </c>
      <c r="C238" s="70" t="n">
        <f aca="false">Class!Q238</f>
        <v>0.0657142857142857</v>
      </c>
      <c r="D238" s="70" t="n">
        <f aca="false">'SG APP'!Q238</f>
        <v>-0.155714285714286</v>
      </c>
      <c r="E238" s="70" t="n">
        <f aca="false">'SG PUTT'!Q238</f>
        <v>-0.692857142857143</v>
      </c>
      <c r="F238" s="70" t="n">
        <f aca="false">'SG ARG'!Q238</f>
        <v>0.01</v>
      </c>
      <c r="G238" s="70"/>
      <c r="H238" s="58" t="n">
        <f aca="false">'Current Form'!L238</f>
        <v>-0.476666666666667</v>
      </c>
      <c r="I238" s="71"/>
      <c r="J238" s="22" t="s">
        <v>467</v>
      </c>
      <c r="K238" s="22" t="s">
        <v>469</v>
      </c>
    </row>
    <row r="239" customFormat="false" ht="15.75" hidden="false" customHeight="true" outlineLevel="0" collapsed="false">
      <c r="A239" s="57" t="s">
        <v>382</v>
      </c>
      <c r="B239" s="69" t="n">
        <f aca="false">'SG OTT'!Q239</f>
        <v>0.763333333333333</v>
      </c>
      <c r="C239" s="70" t="n">
        <f aca="false">Class!Q239</f>
        <v>1.37666666666667</v>
      </c>
      <c r="D239" s="70" t="n">
        <f aca="false">'SG APP'!Q239</f>
        <v>0.09</v>
      </c>
      <c r="E239" s="70" t="n">
        <f aca="false">'SG PUTT'!Q239</f>
        <v>-0.0266666666666667</v>
      </c>
      <c r="F239" s="70" t="n">
        <f aca="false">'SG ARG'!Q239</f>
        <v>0.225</v>
      </c>
      <c r="G239" s="70"/>
      <c r="H239" s="58" t="n">
        <f aca="false">'Current Form'!L239</f>
        <v>1.325</v>
      </c>
      <c r="I239" s="71"/>
      <c r="J239" s="22" t="s">
        <v>467</v>
      </c>
      <c r="K239" s="22" t="s">
        <v>468</v>
      </c>
    </row>
    <row r="240" customFormat="false" ht="15.75" hidden="false" customHeight="true" outlineLevel="0" collapsed="false">
      <c r="A240" s="57" t="s">
        <v>383</v>
      </c>
      <c r="B240" s="69" t="n">
        <f aca="false">'SG OTT'!Q240</f>
        <v>0.791428571428572</v>
      </c>
      <c r="C240" s="70" t="n">
        <f aca="false">Class!Q240</f>
        <v>4.63857142857143</v>
      </c>
      <c r="D240" s="70" t="n">
        <f aca="false">'SG APP'!Q240</f>
        <v>1.23428571428571</v>
      </c>
      <c r="E240" s="70" t="n">
        <f aca="false">'SG PUTT'!Q240</f>
        <v>0.442857142857143</v>
      </c>
      <c r="F240" s="70" t="n">
        <f aca="false">'SG ARG'!Q240</f>
        <v>0.234285714285714</v>
      </c>
      <c r="G240" s="70"/>
      <c r="H240" s="58" t="n">
        <f aca="false">'Current Form'!L240</f>
        <v>2.845</v>
      </c>
      <c r="I240" s="71"/>
      <c r="J240" s="22" t="s">
        <v>467</v>
      </c>
      <c r="K240" s="22" t="s">
        <v>468</v>
      </c>
    </row>
    <row r="241" customFormat="false" ht="15.75" hidden="false" customHeight="true" outlineLevel="0" collapsed="false">
      <c r="A241" s="59" t="s">
        <v>384</v>
      </c>
      <c r="B241" s="69" t="n">
        <f aca="false">'SG OTT'!Q241</f>
        <v>-0.46875</v>
      </c>
      <c r="C241" s="70" t="n">
        <f aca="false">Class!Q241</f>
        <v>0</v>
      </c>
      <c r="D241" s="70" t="n">
        <f aca="false">'SG APP'!Q241</f>
        <v>-0.47375</v>
      </c>
      <c r="E241" s="70" t="n">
        <f aca="false">'SG PUTT'!Q241</f>
        <v>-0.48</v>
      </c>
      <c r="F241" s="70" t="n">
        <f aca="false">'SG ARG'!Q241</f>
        <v>-0.48875</v>
      </c>
      <c r="G241" s="70" t="n">
        <v>-0.07</v>
      </c>
      <c r="H241" s="58" t="n">
        <f aca="false">'Current Form'!L241</f>
        <v>-1.1925</v>
      </c>
      <c r="I241" s="71" t="n">
        <v>-0.04</v>
      </c>
      <c r="J241" s="22" t="s">
        <v>137</v>
      </c>
      <c r="K241" s="22" t="s">
        <v>468</v>
      </c>
    </row>
    <row r="242" customFormat="false" ht="15.75" hidden="false" customHeight="true" outlineLevel="0" collapsed="false">
      <c r="A242" s="57" t="s">
        <v>385</v>
      </c>
      <c r="B242" s="69" t="n">
        <f aca="false">'SG OTT'!Q242</f>
        <v>0.134285714285714</v>
      </c>
      <c r="C242" s="70" t="n">
        <f aca="false">Class!Q242</f>
        <v>0.162857142857143</v>
      </c>
      <c r="D242" s="70" t="n">
        <f aca="false">'SG APP'!Q242</f>
        <v>-0.0657142857142857</v>
      </c>
      <c r="E242" s="70" t="n">
        <f aca="false">'SG PUTT'!Q242</f>
        <v>-0.468571428571429</v>
      </c>
      <c r="F242" s="70" t="n">
        <f aca="false">'SG ARG'!Q242</f>
        <v>-0.245714285714286</v>
      </c>
      <c r="G242" s="70" t="n">
        <v>-0.19</v>
      </c>
      <c r="H242" s="58" t="n">
        <f aca="false">'Current Form'!L242</f>
        <v>-0.775</v>
      </c>
      <c r="I242" s="71" t="n">
        <v>0.06</v>
      </c>
      <c r="J242" s="22" t="s">
        <v>137</v>
      </c>
      <c r="K242" s="22" t="s">
        <v>468</v>
      </c>
    </row>
    <row r="243" customFormat="false" ht="15.75" hidden="false" customHeight="true" outlineLevel="0" collapsed="false">
      <c r="A243" s="59" t="s">
        <v>386</v>
      </c>
      <c r="B243" s="69" t="e">
        <f aca="false">'SG OTT'!Q243</f>
        <v>#DIV/0!</v>
      </c>
      <c r="C243" s="70" t="e">
        <f aca="false">Class!Q243</f>
        <v>#DIV/0!</v>
      </c>
      <c r="D243" s="70" t="e">
        <f aca="false">'SG APP'!Q243</f>
        <v>#DIV/0!</v>
      </c>
      <c r="E243" s="70" t="e">
        <f aca="false">'SG PUTT'!Q243</f>
        <v>#DIV/0!</v>
      </c>
      <c r="F243" s="70" t="e">
        <f aca="false">'SG ARG'!Q243</f>
        <v>#DIV/0!</v>
      </c>
      <c r="G243" s="70"/>
      <c r="H243" s="58" t="e">
        <f aca="false">'Current Form'!L243</f>
        <v>#DIV/0!</v>
      </c>
      <c r="I243" s="71"/>
      <c r="J243" s="22" t="s">
        <v>467</v>
      </c>
      <c r="K243" s="22" t="s">
        <v>468</v>
      </c>
    </row>
    <row r="244" customFormat="false" ht="15.75" hidden="false" customHeight="true" outlineLevel="0" collapsed="false">
      <c r="A244" s="57" t="s">
        <v>387</v>
      </c>
      <c r="B244" s="69" t="n">
        <f aca="false">'SG OTT'!Q244</f>
        <v>0.116666666666667</v>
      </c>
      <c r="C244" s="70" t="n">
        <f aca="false">Class!Q244</f>
        <v>0.0283333333333333</v>
      </c>
      <c r="D244" s="70" t="n">
        <f aca="false">'SG APP'!Q244</f>
        <v>-0.665</v>
      </c>
      <c r="E244" s="70" t="n">
        <f aca="false">'SG PUTT'!Q244</f>
        <v>-0.883333333333333</v>
      </c>
      <c r="F244" s="70" t="n">
        <f aca="false">'SG ARG'!Q244</f>
        <v>-0.448333333333333</v>
      </c>
      <c r="G244" s="70"/>
      <c r="H244" s="58" t="n">
        <f aca="false">'Current Form'!L244</f>
        <v>-0.43</v>
      </c>
      <c r="I244" s="71"/>
      <c r="J244" s="22" t="s">
        <v>467</v>
      </c>
      <c r="K244" s="22" t="s">
        <v>469</v>
      </c>
    </row>
    <row r="245" customFormat="false" ht="15.75" hidden="false" customHeight="true" outlineLevel="0" collapsed="false">
      <c r="A245" s="57" t="s">
        <v>388</v>
      </c>
      <c r="B245" s="69" t="n">
        <f aca="false">'SG OTT'!Q245</f>
        <v>0.301666666666667</v>
      </c>
      <c r="C245" s="70" t="n">
        <f aca="false">Class!Q245</f>
        <v>0.788333333333333</v>
      </c>
      <c r="D245" s="70" t="n">
        <f aca="false">'SG APP'!Q245</f>
        <v>0.331666666666667</v>
      </c>
      <c r="E245" s="70" t="n">
        <f aca="false">'SG PUTT'!Q245</f>
        <v>-0.0233333333333333</v>
      </c>
      <c r="F245" s="70" t="n">
        <f aca="false">'SG ARG'!Q245</f>
        <v>-0.115</v>
      </c>
      <c r="G245" s="70"/>
      <c r="H245" s="58" t="n">
        <f aca="false">'Current Form'!L245</f>
        <v>0.103333333333333</v>
      </c>
      <c r="I245" s="71"/>
      <c r="J245" s="22" t="s">
        <v>467</v>
      </c>
      <c r="K245" s="22" t="s">
        <v>468</v>
      </c>
    </row>
    <row r="246" customFormat="false" ht="15.75" hidden="false" customHeight="true" outlineLevel="0" collapsed="false">
      <c r="A246" s="59" t="s">
        <v>389</v>
      </c>
      <c r="B246" s="69" t="e">
        <f aca="false">'SG OTT'!Q246</f>
        <v>#DIV/0!</v>
      </c>
      <c r="C246" s="70" t="e">
        <f aca="false">Class!Q246</f>
        <v>#DIV/0!</v>
      </c>
      <c r="D246" s="70" t="e">
        <f aca="false">'SG APP'!Q246</f>
        <v>#DIV/0!</v>
      </c>
      <c r="E246" s="70" t="e">
        <f aca="false">'SG PUTT'!Q246</f>
        <v>#DIV/0!</v>
      </c>
      <c r="F246" s="70" t="e">
        <f aca="false">'SG ARG'!Q246</f>
        <v>#DIV/0!</v>
      </c>
      <c r="G246" s="70"/>
      <c r="H246" s="58" t="e">
        <f aca="false">'Current Form'!L246</f>
        <v>#DIV/0!</v>
      </c>
      <c r="I246" s="71"/>
      <c r="J246" s="22" t="s">
        <v>467</v>
      </c>
      <c r="K246" s="22" t="s">
        <v>468</v>
      </c>
    </row>
    <row r="247" customFormat="false" ht="15.75" hidden="false" customHeight="true" outlineLevel="0" collapsed="false">
      <c r="A247" s="59" t="s">
        <v>390</v>
      </c>
      <c r="B247" s="69" t="n">
        <f aca="false">'SG OTT'!Q247</f>
        <v>0.67</v>
      </c>
      <c r="C247" s="70" t="n">
        <f aca="false">Class!Q247</f>
        <v>0.0425</v>
      </c>
      <c r="D247" s="70" t="n">
        <f aca="false">'SG APP'!Q247</f>
        <v>-0.355</v>
      </c>
      <c r="E247" s="70" t="n">
        <f aca="false">'SG PUTT'!Q247</f>
        <v>-0.2425</v>
      </c>
      <c r="F247" s="70" t="n">
        <f aca="false">'SG ARG'!Q247</f>
        <v>-0.3425</v>
      </c>
      <c r="G247" s="70"/>
      <c r="H247" s="58" t="n">
        <f aca="false">'Current Form'!L247</f>
        <v>-0.64</v>
      </c>
      <c r="I247" s="71"/>
      <c r="J247" s="22" t="s">
        <v>467</v>
      </c>
      <c r="K247" s="22" t="s">
        <v>468</v>
      </c>
    </row>
    <row r="248" customFormat="false" ht="15.75" hidden="false" customHeight="true" outlineLevel="0" collapsed="false">
      <c r="A248" s="57" t="s">
        <v>391</v>
      </c>
      <c r="B248" s="69" t="n">
        <f aca="false">'SG OTT'!Q248</f>
        <v>-0.59</v>
      </c>
      <c r="C248" s="70" t="n">
        <f aca="false">Class!Q248</f>
        <v>0</v>
      </c>
      <c r="D248" s="70" t="n">
        <f aca="false">'SG APP'!Q248</f>
        <v>-1.255</v>
      </c>
      <c r="E248" s="70" t="n">
        <f aca="false">'SG PUTT'!Q248</f>
        <v>-0.3775</v>
      </c>
      <c r="F248" s="70" t="n">
        <f aca="false">'SG ARG'!Q248</f>
        <v>-0.6425</v>
      </c>
      <c r="G248" s="70"/>
      <c r="H248" s="58" t="n">
        <f aca="false">'Current Form'!L248</f>
        <v>-2.435</v>
      </c>
      <c r="I248" s="71"/>
      <c r="J248" s="22" t="s">
        <v>467</v>
      </c>
      <c r="K248" s="22" t="s">
        <v>469</v>
      </c>
    </row>
    <row r="249" customFormat="false" ht="15.75" hidden="false" customHeight="true" outlineLevel="0" collapsed="false">
      <c r="A249" s="59" t="s">
        <v>392</v>
      </c>
      <c r="B249" s="69" t="e">
        <f aca="false">'SG OTT'!Q249</f>
        <v>#DIV/0!</v>
      </c>
      <c r="C249" s="70" t="e">
        <f aca="false">Class!Q249</f>
        <v>#DIV/0!</v>
      </c>
      <c r="D249" s="70" t="e">
        <f aca="false">'SG APP'!Q249</f>
        <v>#DIV/0!</v>
      </c>
      <c r="E249" s="70" t="e">
        <f aca="false">'SG PUTT'!Q249</f>
        <v>#DIV/0!</v>
      </c>
      <c r="F249" s="70" t="e">
        <f aca="false">'SG ARG'!Q249</f>
        <v>#DIV/0!</v>
      </c>
      <c r="G249" s="70"/>
      <c r="H249" s="58" t="e">
        <f aca="false">'Current Form'!L249</f>
        <v>#DIV/0!</v>
      </c>
      <c r="I249" s="71"/>
      <c r="J249" s="22" t="s">
        <v>467</v>
      </c>
      <c r="K249" s="22" t="s">
        <v>468</v>
      </c>
    </row>
    <row r="250" customFormat="false" ht="15.75" hidden="false" customHeight="true" outlineLevel="0" collapsed="false">
      <c r="A250" s="59" t="s">
        <v>393</v>
      </c>
      <c r="B250" s="69" t="n">
        <f aca="false">'SG OTT'!Q250</f>
        <v>-0.0725</v>
      </c>
      <c r="C250" s="70" t="n">
        <f aca="false">Class!Q250</f>
        <v>0.08375</v>
      </c>
      <c r="D250" s="70" t="n">
        <f aca="false">'SG APP'!Q250</f>
        <v>-0.275</v>
      </c>
      <c r="E250" s="70" t="n">
        <f aca="false">'SG PUTT'!Q250</f>
        <v>0.2825</v>
      </c>
      <c r="F250" s="70" t="n">
        <f aca="false">'SG ARG'!Q250</f>
        <v>-0.1525</v>
      </c>
      <c r="G250" s="70" t="n">
        <v>0.15</v>
      </c>
      <c r="H250" s="58" t="n">
        <f aca="false">'Current Form'!L250</f>
        <v>-0.416666666666667</v>
      </c>
      <c r="I250" s="71" t="n">
        <v>-0.01</v>
      </c>
      <c r="J250" s="22" t="s">
        <v>137</v>
      </c>
      <c r="K250" s="22" t="s">
        <v>468</v>
      </c>
    </row>
    <row r="251" customFormat="false" ht="15.75" hidden="false" customHeight="true" outlineLevel="0" collapsed="false">
      <c r="A251" s="59" t="s">
        <v>394</v>
      </c>
      <c r="B251" s="69" t="n">
        <f aca="false">'SG OTT'!Q251</f>
        <v>-0.41</v>
      </c>
      <c r="C251" s="70" t="n">
        <f aca="false">Class!Q251</f>
        <v>0.0266666666666667</v>
      </c>
      <c r="D251" s="70" t="n">
        <f aca="false">'SG APP'!Q251</f>
        <v>-0.316666666666667</v>
      </c>
      <c r="E251" s="70" t="n">
        <f aca="false">'SG PUTT'!Q251</f>
        <v>0.186666666666667</v>
      </c>
      <c r="F251" s="70" t="n">
        <f aca="false">'SG ARG'!Q251</f>
        <v>-0.386666666666667</v>
      </c>
      <c r="G251" s="70" t="n">
        <v>-0.04</v>
      </c>
      <c r="H251" s="58" t="n">
        <f aca="false">'Current Form'!L251</f>
        <v>-0.84</v>
      </c>
      <c r="I251" s="71" t="n">
        <v>0.36</v>
      </c>
      <c r="J251" s="22" t="s">
        <v>137</v>
      </c>
      <c r="K251" s="22" t="s">
        <v>468</v>
      </c>
    </row>
    <row r="252" customFormat="false" ht="15.75" hidden="false" customHeight="true" outlineLevel="0" collapsed="false">
      <c r="A252" s="59" t="s">
        <v>395</v>
      </c>
      <c r="B252" s="69" t="n">
        <f aca="false">'SG OTT'!Q252</f>
        <v>-0.192857142857143</v>
      </c>
      <c r="C252" s="70" t="n">
        <f aca="false">Class!Q252</f>
        <v>0.205714285714286</v>
      </c>
      <c r="D252" s="70" t="n">
        <f aca="false">'SG APP'!Q252</f>
        <v>0.0685714285714286</v>
      </c>
      <c r="E252" s="70" t="n">
        <f aca="false">'SG PUTT'!Q252</f>
        <v>-0.341428571428571</v>
      </c>
      <c r="F252" s="70" t="n">
        <f aca="false">'SG ARG'!Q252</f>
        <v>0.117142857142857</v>
      </c>
      <c r="G252" s="70" t="n">
        <v>-0.07</v>
      </c>
      <c r="H252" s="58" t="n">
        <f aca="false">'Current Form'!L252</f>
        <v>0.1675</v>
      </c>
      <c r="I252" s="71" t="n">
        <v>0.01</v>
      </c>
      <c r="J252" s="22" t="s">
        <v>467</v>
      </c>
      <c r="K252" s="22" t="s">
        <v>468</v>
      </c>
    </row>
    <row r="253" customFormat="false" ht="15.75" hidden="false" customHeight="true" outlineLevel="0" collapsed="false">
      <c r="A253" s="57" t="s">
        <v>396</v>
      </c>
      <c r="B253" s="69" t="n">
        <f aca="false">'SG OTT'!Q253</f>
        <v>0.25625</v>
      </c>
      <c r="C253" s="70" t="n">
        <f aca="false">Class!Q253</f>
        <v>1.02625</v>
      </c>
      <c r="D253" s="70" t="n">
        <f aca="false">'SG APP'!Q253</f>
        <v>0.50375</v>
      </c>
      <c r="E253" s="70" t="n">
        <f aca="false">'SG PUTT'!Q253</f>
        <v>0.42125</v>
      </c>
      <c r="F253" s="70" t="n">
        <f aca="false">'SG ARG'!Q253</f>
        <v>-0.125</v>
      </c>
      <c r="G253" s="70" t="n">
        <v>0.05</v>
      </c>
      <c r="H253" s="58" t="n">
        <f aca="false">'Current Form'!L253</f>
        <v>-0.2975</v>
      </c>
      <c r="I253" s="71" t="n">
        <v>0.06</v>
      </c>
      <c r="J253" s="22" t="s">
        <v>137</v>
      </c>
      <c r="K253" s="22" t="s">
        <v>468</v>
      </c>
    </row>
    <row r="254" customFormat="false" ht="15.75" hidden="false" customHeight="true" outlineLevel="0" collapsed="false">
      <c r="A254" s="59" t="s">
        <v>397</v>
      </c>
      <c r="B254" s="69" t="n">
        <f aca="false">'SG OTT'!Q254</f>
        <v>-0.623333333333333</v>
      </c>
      <c r="C254" s="70" t="n">
        <f aca="false">Class!Q254</f>
        <v>0.373333333333333</v>
      </c>
      <c r="D254" s="70" t="n">
        <f aca="false">'SG APP'!Q254</f>
        <v>0.306666666666667</v>
      </c>
      <c r="E254" s="70" t="n">
        <f aca="false">'SG PUTT'!Q254</f>
        <v>1.08333333333333</v>
      </c>
      <c r="F254" s="70" t="n">
        <f aca="false">'SG ARG'!Q254</f>
        <v>0.645</v>
      </c>
      <c r="G254" s="70"/>
      <c r="H254" s="58" t="e">
        <f aca="false">'Current Form'!L254</f>
        <v>#VALUE!</v>
      </c>
      <c r="I254" s="71"/>
      <c r="J254" s="22" t="s">
        <v>467</v>
      </c>
      <c r="K254" s="22" t="s">
        <v>468</v>
      </c>
    </row>
    <row r="255" customFormat="false" ht="15.75" hidden="false" customHeight="true" outlineLevel="0" collapsed="false">
      <c r="A255" s="57" t="s">
        <v>398</v>
      </c>
      <c r="B255" s="69" t="n">
        <f aca="false">'SG OTT'!Q255</f>
        <v>0.41625</v>
      </c>
      <c r="C255" s="70" t="n">
        <f aca="false">Class!Q255</f>
        <v>0.4625</v>
      </c>
      <c r="D255" s="70" t="n">
        <f aca="false">'SG APP'!Q255</f>
        <v>0.49125</v>
      </c>
      <c r="E255" s="70" t="n">
        <f aca="false">'SG PUTT'!Q255</f>
        <v>-0.06875</v>
      </c>
      <c r="F255" s="70" t="n">
        <f aca="false">'SG ARG'!Q255</f>
        <v>-0.1775</v>
      </c>
      <c r="G255" s="70" t="n">
        <v>0.13</v>
      </c>
      <c r="H255" s="58" t="n">
        <f aca="false">'Current Form'!L255</f>
        <v>1.1475</v>
      </c>
      <c r="I255" s="71" t="n">
        <v>-0.04</v>
      </c>
      <c r="J255" s="22" t="s">
        <v>137</v>
      </c>
      <c r="K255" s="22" t="s">
        <v>468</v>
      </c>
    </row>
    <row r="256" customFormat="false" ht="15.75" hidden="false" customHeight="true" outlineLevel="0" collapsed="false">
      <c r="A256" s="57" t="s">
        <v>399</v>
      </c>
      <c r="B256" s="69" t="n">
        <f aca="false">'SG OTT'!Q256</f>
        <v>0.00714285714285714</v>
      </c>
      <c r="C256" s="70" t="n">
        <f aca="false">Class!Q256</f>
        <v>0.03</v>
      </c>
      <c r="D256" s="70" t="n">
        <f aca="false">'SG APP'!Q256</f>
        <v>0.541428571428572</v>
      </c>
      <c r="E256" s="70" t="n">
        <f aca="false">'SG PUTT'!Q256</f>
        <v>-0.995714285714286</v>
      </c>
      <c r="F256" s="70" t="n">
        <f aca="false">'SG ARG'!Q256</f>
        <v>-0.642857142857143</v>
      </c>
      <c r="G256" s="70" t="n">
        <v>0.2</v>
      </c>
      <c r="H256" s="58" t="n">
        <f aca="false">'Current Form'!L256</f>
        <v>-1.3275</v>
      </c>
      <c r="I256" s="71" t="n">
        <v>0.01</v>
      </c>
      <c r="J256" s="22" t="s">
        <v>137</v>
      </c>
      <c r="K256" s="22" t="s">
        <v>468</v>
      </c>
    </row>
    <row r="257" customFormat="false" ht="15.75" hidden="false" customHeight="true" outlineLevel="0" collapsed="false">
      <c r="A257" s="57" t="s">
        <v>400</v>
      </c>
      <c r="B257" s="69" t="n">
        <f aca="false">'SG OTT'!Q257</f>
        <v>-0.63</v>
      </c>
      <c r="C257" s="70" t="n">
        <f aca="false">Class!Q257</f>
        <v>0.185</v>
      </c>
      <c r="D257" s="70" t="n">
        <f aca="false">'SG APP'!Q257</f>
        <v>-0.06625</v>
      </c>
      <c r="E257" s="70" t="n">
        <f aca="false">'SG PUTT'!Q257</f>
        <v>0.17875</v>
      </c>
      <c r="F257" s="70" t="n">
        <f aca="false">'SG ARG'!Q257</f>
        <v>0.3075</v>
      </c>
      <c r="G257" s="70" t="n">
        <v>0.36</v>
      </c>
      <c r="H257" s="58" t="n">
        <f aca="false">'Current Form'!L257</f>
        <v>-0.2</v>
      </c>
      <c r="I257" s="71" t="n">
        <v>0.17</v>
      </c>
      <c r="J257" s="22" t="s">
        <v>137</v>
      </c>
      <c r="K257" s="22" t="s">
        <v>468</v>
      </c>
    </row>
    <row r="258" customFormat="false" ht="15.75" hidden="false" customHeight="true" outlineLevel="0" collapsed="false">
      <c r="A258" s="57" t="s">
        <v>401</v>
      </c>
      <c r="B258" s="69" t="n">
        <f aca="false">'SG OTT'!Q258</f>
        <v>0.2925</v>
      </c>
      <c r="C258" s="70" t="n">
        <f aca="false">Class!Q258</f>
        <v>0.96</v>
      </c>
      <c r="D258" s="70" t="n">
        <f aca="false">'SG APP'!Q258</f>
        <v>0.895</v>
      </c>
      <c r="E258" s="70" t="n">
        <f aca="false">'SG PUTT'!Q258</f>
        <v>-0.19125</v>
      </c>
      <c r="F258" s="70" t="n">
        <f aca="false">'SG ARG'!Q258</f>
        <v>0.3225</v>
      </c>
      <c r="G258" s="70"/>
      <c r="H258" s="58" t="n">
        <f aca="false">'Current Form'!L258</f>
        <v>1.045</v>
      </c>
      <c r="I258" s="71"/>
      <c r="J258" s="22" t="s">
        <v>467</v>
      </c>
      <c r="K258" s="22" t="s">
        <v>468</v>
      </c>
    </row>
    <row r="259" customFormat="false" ht="15.75" hidden="false" customHeight="true" outlineLevel="0" collapsed="false">
      <c r="A259" s="59" t="s">
        <v>402</v>
      </c>
      <c r="B259" s="69" t="n">
        <f aca="false">'SG OTT'!Q259</f>
        <v>0.35</v>
      </c>
      <c r="C259" s="70" t="n">
        <f aca="false">Class!Q259</f>
        <v>0.271111111111111</v>
      </c>
      <c r="D259" s="70" t="n">
        <f aca="false">'SG APP'!Q259</f>
        <v>-0.08</v>
      </c>
      <c r="E259" s="70" t="n">
        <f aca="false">'SG PUTT'!Q259</f>
        <v>-0.0266666666666667</v>
      </c>
      <c r="F259" s="70" t="n">
        <f aca="false">'SG ARG'!Q259</f>
        <v>-0.0122222222222222</v>
      </c>
      <c r="G259" s="70" t="n">
        <v>-0.09</v>
      </c>
      <c r="H259" s="58" t="n">
        <f aca="false">'Current Form'!L259</f>
        <v>-0.158</v>
      </c>
      <c r="I259" s="71" t="n">
        <v>0.04</v>
      </c>
      <c r="J259" s="22" t="s">
        <v>137</v>
      </c>
      <c r="K259" s="22" t="s">
        <v>468</v>
      </c>
    </row>
    <row r="260" customFormat="false" ht="15.75" hidden="false" customHeight="true" outlineLevel="0" collapsed="false">
      <c r="A260" s="59" t="s">
        <v>403</v>
      </c>
      <c r="B260" s="69" t="n">
        <f aca="false">'SG OTT'!Q260</f>
        <v>0.403333333333333</v>
      </c>
      <c r="C260" s="70" t="n">
        <f aca="false">Class!Q260</f>
        <v>0.0188888888888889</v>
      </c>
      <c r="D260" s="70" t="n">
        <f aca="false">'SG APP'!Q260</f>
        <v>-1.21555555555556</v>
      </c>
      <c r="E260" s="70" t="n">
        <f aca="false">'SG PUTT'!Q260</f>
        <v>-0.476666666666667</v>
      </c>
      <c r="F260" s="70" t="n">
        <f aca="false">'SG ARG'!Q260</f>
        <v>-0.142222222222222</v>
      </c>
      <c r="G260" s="70" t="n">
        <v>-0.16</v>
      </c>
      <c r="H260" s="58" t="n">
        <f aca="false">'Current Form'!L260</f>
        <v>-1.28833333333333</v>
      </c>
      <c r="I260" s="71" t="n">
        <v>-0.04</v>
      </c>
      <c r="J260" s="22" t="s">
        <v>467</v>
      </c>
      <c r="K260" s="22" t="s">
        <v>468</v>
      </c>
    </row>
    <row r="261" customFormat="false" ht="15.75" hidden="false" customHeight="true" outlineLevel="0" collapsed="false">
      <c r="A261" s="57" t="s">
        <v>404</v>
      </c>
      <c r="B261" s="69" t="n">
        <f aca="false">'SG OTT'!Q261</f>
        <v>-0.245</v>
      </c>
      <c r="C261" s="70" t="n">
        <f aca="false">Class!Q261</f>
        <v>0.1425</v>
      </c>
      <c r="D261" s="70" t="n">
        <f aca="false">'SG APP'!Q261</f>
        <v>-0.64</v>
      </c>
      <c r="E261" s="70" t="n">
        <f aca="false">'SG PUTT'!Q261</f>
        <v>-0.1675</v>
      </c>
      <c r="F261" s="70" t="n">
        <f aca="false">'SG ARG'!Q261</f>
        <v>0.03</v>
      </c>
      <c r="G261" s="70"/>
      <c r="H261" s="58" t="e">
        <f aca="false">'Current Form'!L261</f>
        <v>#VALUE!</v>
      </c>
      <c r="I261" s="71"/>
      <c r="J261" s="22" t="s">
        <v>467</v>
      </c>
      <c r="K261" s="22" t="s">
        <v>469</v>
      </c>
    </row>
    <row r="262" customFormat="false" ht="15.75" hidden="false" customHeight="true" outlineLevel="0" collapsed="false">
      <c r="A262" s="57" t="s">
        <v>405</v>
      </c>
      <c r="B262" s="69" t="n">
        <f aca="false">'SG OTT'!Q262</f>
        <v>0.093</v>
      </c>
      <c r="C262" s="70" t="n">
        <f aca="false">Class!Q262</f>
        <v>0.092</v>
      </c>
      <c r="D262" s="70" t="n">
        <f aca="false">'SG APP'!Q262</f>
        <v>-0.008</v>
      </c>
      <c r="E262" s="70" t="n">
        <f aca="false">'SG PUTT'!Q262</f>
        <v>-0.514</v>
      </c>
      <c r="F262" s="70" t="n">
        <f aca="false">'SG ARG'!Q262</f>
        <v>0.013</v>
      </c>
      <c r="G262" s="70" t="n">
        <v>-0.06</v>
      </c>
      <c r="H262" s="58" t="n">
        <f aca="false">'Current Form'!L262</f>
        <v>-0.881666666666667</v>
      </c>
      <c r="I262" s="71" t="n">
        <v>-0.06</v>
      </c>
      <c r="J262" s="22" t="s">
        <v>137</v>
      </c>
      <c r="K262" s="22" t="s">
        <v>468</v>
      </c>
    </row>
    <row r="263" customFormat="false" ht="15.75" hidden="false" customHeight="true" outlineLevel="0" collapsed="false">
      <c r="A263" s="57" t="s">
        <v>406</v>
      </c>
      <c r="B263" s="69" t="n">
        <f aca="false">'SG OTT'!Q263</f>
        <v>-0.111428571428571</v>
      </c>
      <c r="C263" s="70" t="n">
        <f aca="false">Class!Q263</f>
        <v>0.0314285714285714</v>
      </c>
      <c r="D263" s="70" t="n">
        <f aca="false">'SG APP'!Q263</f>
        <v>0.00142857142857144</v>
      </c>
      <c r="E263" s="70" t="n">
        <f aca="false">'SG PUTT'!Q263</f>
        <v>-0.435714285714286</v>
      </c>
      <c r="F263" s="70" t="n">
        <f aca="false">'SG ARG'!Q263</f>
        <v>-0.3</v>
      </c>
      <c r="G263" s="70" t="n">
        <v>0.09</v>
      </c>
      <c r="H263" s="58" t="n">
        <f aca="false">'Current Form'!L263</f>
        <v>-0.915</v>
      </c>
      <c r="I263" s="71" t="n">
        <v>0</v>
      </c>
      <c r="J263" s="22" t="s">
        <v>137</v>
      </c>
      <c r="K263" s="22" t="s">
        <v>468</v>
      </c>
    </row>
    <row r="264" customFormat="false" ht="15.75" hidden="false" customHeight="true" outlineLevel="0" collapsed="false">
      <c r="A264" s="59" t="s">
        <v>407</v>
      </c>
      <c r="B264" s="69" t="n">
        <f aca="false">'SG OTT'!Q264</f>
        <v>0.0883333333333333</v>
      </c>
      <c r="C264" s="70" t="n">
        <f aca="false">Class!Q264</f>
        <v>0.118333333333333</v>
      </c>
      <c r="D264" s="70" t="n">
        <f aca="false">'SG APP'!Q264</f>
        <v>-0.11</v>
      </c>
      <c r="E264" s="70" t="n">
        <f aca="false">'SG PUTT'!Q264</f>
        <v>-0.316666666666667</v>
      </c>
      <c r="F264" s="70" t="n">
        <f aca="false">'SG ARG'!Q264</f>
        <v>-0.298333333333333</v>
      </c>
      <c r="G264" s="70" t="n">
        <v>0.14</v>
      </c>
      <c r="H264" s="58" t="n">
        <f aca="false">'Current Form'!L264</f>
        <v>0.11</v>
      </c>
      <c r="I264" s="71" t="n">
        <v>0.15</v>
      </c>
      <c r="J264" s="22" t="s">
        <v>137</v>
      </c>
      <c r="K264" s="22" t="s">
        <v>468</v>
      </c>
    </row>
    <row r="265" customFormat="false" ht="15.75" hidden="false" customHeight="true" outlineLevel="0" collapsed="false">
      <c r="A265" s="57" t="s">
        <v>408</v>
      </c>
      <c r="B265" s="69" t="n">
        <f aca="false">'SG OTT'!Q265</f>
        <v>-1.105</v>
      </c>
      <c r="C265" s="70" t="n">
        <f aca="false">Class!Q265</f>
        <v>0</v>
      </c>
      <c r="D265" s="70" t="n">
        <f aca="false">'SG APP'!Q265</f>
        <v>-1.565</v>
      </c>
      <c r="E265" s="70" t="n">
        <f aca="false">'SG PUTT'!Q265</f>
        <v>-0.655</v>
      </c>
      <c r="F265" s="70" t="n">
        <f aca="false">'SG ARG'!Q265</f>
        <v>-0.015</v>
      </c>
      <c r="G265" s="70"/>
      <c r="H265" s="58" t="n">
        <f aca="false">'Current Form'!L265</f>
        <v>-1.8</v>
      </c>
      <c r="I265" s="71"/>
      <c r="J265" s="22" t="s">
        <v>467</v>
      </c>
      <c r="K265" s="22" t="s">
        <v>469</v>
      </c>
    </row>
    <row r="266" customFormat="false" ht="15.75" hidden="false" customHeight="true" outlineLevel="0" collapsed="false">
      <c r="A266" s="59" t="s">
        <v>409</v>
      </c>
      <c r="B266" s="69" t="n">
        <f aca="false">'SG OTT'!Q266</f>
        <v>0.153333333333333</v>
      </c>
      <c r="C266" s="70" t="n">
        <f aca="false">Class!Q266</f>
        <v>0.713333333333333</v>
      </c>
      <c r="D266" s="70" t="n">
        <f aca="false">'SG APP'!Q266</f>
        <v>0.513333333333333</v>
      </c>
      <c r="E266" s="70" t="n">
        <f aca="false">'SG PUTT'!Q266</f>
        <v>0.0544444444444444</v>
      </c>
      <c r="F266" s="70" t="n">
        <f aca="false">'SG ARG'!Q266</f>
        <v>0.254444444444445</v>
      </c>
      <c r="G266" s="70" t="n">
        <v>-0.04</v>
      </c>
      <c r="H266" s="58" t="n">
        <f aca="false">'Current Form'!L266</f>
        <v>1.05833333333333</v>
      </c>
      <c r="I266" s="71" t="n">
        <v>-0.04</v>
      </c>
      <c r="J266" s="22" t="s">
        <v>137</v>
      </c>
      <c r="K266" s="22" t="s">
        <v>468</v>
      </c>
    </row>
    <row r="267" customFormat="false" ht="15.75" hidden="false" customHeight="true" outlineLevel="0" collapsed="false">
      <c r="A267" s="57" t="s">
        <v>410</v>
      </c>
      <c r="B267" s="69" t="n">
        <f aca="false">'SG OTT'!Q267</f>
        <v>0.02</v>
      </c>
      <c r="C267" s="70" t="n">
        <f aca="false">Class!Q267</f>
        <v>0.08</v>
      </c>
      <c r="D267" s="70" t="n">
        <f aca="false">'SG APP'!Q267</f>
        <v>-0.415</v>
      </c>
      <c r="E267" s="70" t="n">
        <f aca="false">'SG PUTT'!Q267</f>
        <v>-0.14</v>
      </c>
      <c r="F267" s="70" t="n">
        <f aca="false">'SG ARG'!Q267</f>
        <v>-0.298333333333333</v>
      </c>
      <c r="G267" s="70"/>
      <c r="H267" s="58" t="n">
        <f aca="false">'Current Form'!L267</f>
        <v>-0.166666666666667</v>
      </c>
      <c r="I267" s="71"/>
      <c r="J267" s="22" t="s">
        <v>467</v>
      </c>
      <c r="K267" s="22" t="s">
        <v>469</v>
      </c>
    </row>
    <row r="268" customFormat="false" ht="15.75" hidden="false" customHeight="true" outlineLevel="0" collapsed="false">
      <c r="A268" s="59" t="s">
        <v>411</v>
      </c>
      <c r="B268" s="69" t="n">
        <f aca="false">'SG OTT'!Q268</f>
        <v>-0.6975</v>
      </c>
      <c r="C268" s="70" t="n">
        <f aca="false">Class!Q268</f>
        <v>0</v>
      </c>
      <c r="D268" s="70" t="n">
        <f aca="false">'SG APP'!Q268</f>
        <v>-0.19875</v>
      </c>
      <c r="E268" s="70" t="n">
        <f aca="false">'SG PUTT'!Q268</f>
        <v>-0.0925</v>
      </c>
      <c r="F268" s="70" t="n">
        <f aca="false">'SG ARG'!Q268</f>
        <v>-0.13125</v>
      </c>
      <c r="G268" s="70" t="n">
        <v>0.13</v>
      </c>
      <c r="H268" s="58" t="n">
        <f aca="false">'Current Form'!L268</f>
        <v>-1.302</v>
      </c>
      <c r="I268" s="71" t="n">
        <v>0.1</v>
      </c>
      <c r="J268" s="22" t="s">
        <v>137</v>
      </c>
      <c r="K268" s="22" t="s">
        <v>468</v>
      </c>
    </row>
    <row r="269" customFormat="false" ht="15.75" hidden="false" customHeight="true" outlineLevel="0" collapsed="false">
      <c r="A269" s="57" t="s">
        <v>412</v>
      </c>
      <c r="B269" s="69" t="n">
        <f aca="false">'SG OTT'!Q269</f>
        <v>0.621666666666667</v>
      </c>
      <c r="C269" s="70" t="n">
        <f aca="false">Class!Q269</f>
        <v>0.21</v>
      </c>
      <c r="D269" s="70" t="n">
        <f aca="false">'SG APP'!Q269</f>
        <v>-0.525</v>
      </c>
      <c r="E269" s="70" t="n">
        <f aca="false">'SG PUTT'!Q269</f>
        <v>-0.341666666666667</v>
      </c>
      <c r="F269" s="70" t="n">
        <f aca="false">'SG ARG'!Q269</f>
        <v>0.00333333333333333</v>
      </c>
      <c r="G269" s="70" t="n">
        <v>-0.21</v>
      </c>
      <c r="H269" s="58" t="n">
        <f aca="false">'Current Form'!L269</f>
        <v>-0.6675</v>
      </c>
      <c r="I269" s="71" t="n">
        <v>-0.04</v>
      </c>
      <c r="J269" s="22" t="s">
        <v>137</v>
      </c>
      <c r="K269" s="22" t="s">
        <v>468</v>
      </c>
    </row>
    <row r="270" customFormat="false" ht="15.75" hidden="false" customHeight="true" outlineLevel="0" collapsed="false">
      <c r="A270" s="57" t="s">
        <v>413</v>
      </c>
      <c r="B270" s="69" t="n">
        <f aca="false">'SG OTT'!Q270</f>
        <v>-0.42</v>
      </c>
      <c r="C270" s="70" t="n">
        <f aca="false">Class!Q270</f>
        <v>0</v>
      </c>
      <c r="D270" s="70" t="n">
        <f aca="false">'SG APP'!Q270</f>
        <v>-0.744</v>
      </c>
      <c r="E270" s="70" t="n">
        <f aca="false">'SG PUTT'!Q270</f>
        <v>-1.578</v>
      </c>
      <c r="F270" s="70" t="n">
        <f aca="false">'SG ARG'!Q270</f>
        <v>-0.178</v>
      </c>
      <c r="G270" s="70"/>
      <c r="H270" s="58" t="n">
        <f aca="false">'Current Form'!L270</f>
        <v>-2.625</v>
      </c>
      <c r="I270" s="71"/>
      <c r="J270" s="22" t="s">
        <v>467</v>
      </c>
      <c r="K270" s="22" t="s">
        <v>469</v>
      </c>
    </row>
    <row r="271" customFormat="false" ht="15.75" hidden="false" customHeight="true" outlineLevel="0" collapsed="false">
      <c r="A271" s="57" t="s">
        <v>414</v>
      </c>
      <c r="B271" s="69" t="n">
        <f aca="false">'SG OTT'!Q271</f>
        <v>-0.172222222222222</v>
      </c>
      <c r="C271" s="70" t="n">
        <f aca="false">Class!Q271</f>
        <v>0.39</v>
      </c>
      <c r="D271" s="70" t="n">
        <f aca="false">'SG APP'!Q271</f>
        <v>-0.0533333333333333</v>
      </c>
      <c r="E271" s="70" t="n">
        <f aca="false">'SG PUTT'!Q271</f>
        <v>0.723333333333333</v>
      </c>
      <c r="F271" s="70" t="n">
        <f aca="false">'SG ARG'!Q271</f>
        <v>0.0233333333333333</v>
      </c>
      <c r="G271" s="70" t="n">
        <v>0.13</v>
      </c>
      <c r="H271" s="58" t="n">
        <f aca="false">'Current Form'!L271</f>
        <v>0.09</v>
      </c>
      <c r="I271" s="71" t="n">
        <v>0.12</v>
      </c>
      <c r="J271" s="22" t="s">
        <v>137</v>
      </c>
      <c r="K271" s="22" t="s">
        <v>468</v>
      </c>
    </row>
    <row r="272" customFormat="false" ht="15.75" hidden="false" customHeight="true" outlineLevel="0" collapsed="false">
      <c r="A272" s="57" t="s">
        <v>415</v>
      </c>
      <c r="B272" s="69" t="n">
        <f aca="false">'SG OTT'!Q272</f>
        <v>-0.0977777777777778</v>
      </c>
      <c r="C272" s="70" t="n">
        <f aca="false">Class!Q272</f>
        <v>0.116666666666667</v>
      </c>
      <c r="D272" s="70" t="n">
        <f aca="false">'SG APP'!Q272</f>
        <v>0.284444444444444</v>
      </c>
      <c r="E272" s="70" t="n">
        <f aca="false">'SG PUTT'!Q272</f>
        <v>0.00333333333333333</v>
      </c>
      <c r="F272" s="70" t="n">
        <f aca="false">'SG ARG'!Q272</f>
        <v>0.203333333333333</v>
      </c>
      <c r="G272" s="70" t="n">
        <v>-0.11</v>
      </c>
      <c r="H272" s="58" t="n">
        <f aca="false">'Current Form'!L272</f>
        <v>0.506</v>
      </c>
      <c r="I272" s="71" t="n">
        <v>-0.05</v>
      </c>
      <c r="J272" s="22" t="s">
        <v>137</v>
      </c>
      <c r="K272" s="22" t="s">
        <v>468</v>
      </c>
    </row>
    <row r="273" customFormat="false" ht="15.75" hidden="false" customHeight="true" outlineLevel="0" collapsed="false">
      <c r="A273" s="57" t="s">
        <v>416</v>
      </c>
      <c r="B273" s="69" t="n">
        <f aca="false">'SG OTT'!Q273</f>
        <v>0.465</v>
      </c>
      <c r="C273" s="70" t="n">
        <f aca="false">Class!Q273</f>
        <v>0.93125</v>
      </c>
      <c r="D273" s="70" t="n">
        <f aca="false">'SG APP'!Q273</f>
        <v>0.33375</v>
      </c>
      <c r="E273" s="70" t="n">
        <f aca="false">'SG PUTT'!Q273</f>
        <v>0.26875</v>
      </c>
      <c r="F273" s="70" t="n">
        <f aca="false">'SG ARG'!Q273</f>
        <v>0.61375</v>
      </c>
      <c r="G273" s="70" t="n">
        <v>-0.04</v>
      </c>
      <c r="H273" s="58" t="n">
        <f aca="false">'Current Form'!L273</f>
        <v>1.545</v>
      </c>
      <c r="I273" s="71" t="n">
        <v>0.02</v>
      </c>
      <c r="J273" s="22" t="s">
        <v>137</v>
      </c>
      <c r="K273" s="22" t="s">
        <v>468</v>
      </c>
    </row>
    <row r="274" customFormat="false" ht="15.75" hidden="false" customHeight="true" outlineLevel="0" collapsed="false">
      <c r="A274" s="59" t="s">
        <v>417</v>
      </c>
      <c r="B274" s="69" t="n">
        <f aca="false">'SG OTT'!Q274</f>
        <v>0.16375</v>
      </c>
      <c r="C274" s="70" t="n">
        <f aca="false">Class!Q274</f>
        <v>0.52</v>
      </c>
      <c r="D274" s="70" t="n">
        <f aca="false">'SG APP'!Q274</f>
        <v>0.475</v>
      </c>
      <c r="E274" s="70" t="n">
        <f aca="false">'SG PUTT'!Q274</f>
        <v>-0.21375</v>
      </c>
      <c r="F274" s="70" t="n">
        <f aca="false">'SG ARG'!Q274</f>
        <v>-0.19875</v>
      </c>
      <c r="G274" s="70" t="n">
        <v>0.02</v>
      </c>
      <c r="H274" s="58" t="n">
        <f aca="false">'Current Form'!L274</f>
        <v>1.11</v>
      </c>
      <c r="I274" s="71" t="n">
        <v>0.08</v>
      </c>
      <c r="J274" s="22" t="s">
        <v>137</v>
      </c>
      <c r="K274" s="22" t="s">
        <v>468</v>
      </c>
    </row>
    <row r="275" customFormat="false" ht="15.75" hidden="false" customHeight="true" outlineLevel="0" collapsed="false">
      <c r="A275" s="57" t="s">
        <v>418</v>
      </c>
      <c r="B275" s="69" t="n">
        <f aca="false">'SG OTT'!Q275</f>
        <v>0.518333333333333</v>
      </c>
      <c r="C275" s="70" t="n">
        <f aca="false">Class!Q275</f>
        <v>0.726666666666667</v>
      </c>
      <c r="D275" s="70" t="n">
        <f aca="false">'SG APP'!Q275</f>
        <v>0.0733333333333334</v>
      </c>
      <c r="E275" s="70" t="n">
        <f aca="false">'SG PUTT'!Q275</f>
        <v>-0.208333333333333</v>
      </c>
      <c r="F275" s="70" t="n">
        <f aca="false">'SG ARG'!Q275</f>
        <v>0.308333333333333</v>
      </c>
      <c r="G275" s="70"/>
      <c r="H275" s="58" t="n">
        <f aca="false">'Current Form'!L275</f>
        <v>1.18</v>
      </c>
      <c r="I275" s="71"/>
      <c r="J275" s="22" t="s">
        <v>467</v>
      </c>
      <c r="K275" s="22" t="s">
        <v>468</v>
      </c>
    </row>
    <row r="276" customFormat="false" ht="15.75" hidden="false" customHeight="true" outlineLevel="0" collapsed="false">
      <c r="A276" s="59" t="s">
        <v>419</v>
      </c>
      <c r="B276" s="69" t="e">
        <f aca="false">'SG OTT'!Q276</f>
        <v>#DIV/0!</v>
      </c>
      <c r="C276" s="70" t="e">
        <f aca="false">Class!Q276</f>
        <v>#DIV/0!</v>
      </c>
      <c r="D276" s="70" t="e">
        <f aca="false">'SG APP'!Q276</f>
        <v>#DIV/0!</v>
      </c>
      <c r="E276" s="70" t="e">
        <f aca="false">'SG PUTT'!Q276</f>
        <v>#DIV/0!</v>
      </c>
      <c r="F276" s="70" t="e">
        <f aca="false">'SG ARG'!Q276</f>
        <v>#DIV/0!</v>
      </c>
      <c r="G276" s="70"/>
      <c r="H276" s="58" t="e">
        <f aca="false">'Current Form'!L276</f>
        <v>#DIV/0!</v>
      </c>
      <c r="I276" s="71"/>
      <c r="J276" s="22" t="s">
        <v>467</v>
      </c>
      <c r="K276" s="22" t="s">
        <v>468</v>
      </c>
    </row>
    <row r="277" customFormat="false" ht="15.75" hidden="false" customHeight="true" outlineLevel="0" collapsed="false">
      <c r="A277" s="59" t="s">
        <v>420</v>
      </c>
      <c r="B277" s="69" t="n">
        <f aca="false">'SG OTT'!Q277</f>
        <v>-0.37</v>
      </c>
      <c r="C277" s="70" t="n">
        <f aca="false">Class!Q277</f>
        <v>0</v>
      </c>
      <c r="D277" s="70" t="n">
        <f aca="false">'SG APP'!Q277</f>
        <v>-2.105</v>
      </c>
      <c r="E277" s="70" t="n">
        <f aca="false">'SG PUTT'!Q277</f>
        <v>-0.99</v>
      </c>
      <c r="F277" s="70" t="n">
        <f aca="false">'SG ARG'!Q277</f>
        <v>-0.17</v>
      </c>
      <c r="G277" s="70"/>
      <c r="H277" s="58" t="n">
        <f aca="false">'Current Form'!L277</f>
        <v>-3.81</v>
      </c>
      <c r="I277" s="71"/>
      <c r="J277" s="22" t="s">
        <v>467</v>
      </c>
      <c r="K277" s="22" t="s">
        <v>468</v>
      </c>
    </row>
    <row r="278" customFormat="false" ht="15.75" hidden="false" customHeight="true" outlineLevel="0" collapsed="false">
      <c r="A278" s="59" t="s">
        <v>421</v>
      </c>
      <c r="B278" s="69" t="n">
        <f aca="false">'SG OTT'!Q278</f>
        <v>0.288888888888889</v>
      </c>
      <c r="C278" s="70" t="n">
        <f aca="false">Class!Q278</f>
        <v>0.0255555555555556</v>
      </c>
      <c r="D278" s="70" t="n">
        <f aca="false">'SG APP'!Q278</f>
        <v>-1.03</v>
      </c>
      <c r="E278" s="70" t="n">
        <f aca="false">'SG PUTT'!Q278</f>
        <v>-1.05111111111111</v>
      </c>
      <c r="F278" s="70" t="n">
        <f aca="false">'SG ARG'!Q278</f>
        <v>-0.00222222222222222</v>
      </c>
      <c r="G278" s="70" t="n">
        <v>-0.24</v>
      </c>
      <c r="H278" s="58" t="n">
        <f aca="false">'Current Form'!L278</f>
        <v>-1.26833333333333</v>
      </c>
      <c r="I278" s="71" t="n">
        <v>-0.04</v>
      </c>
      <c r="J278" s="22" t="s">
        <v>137</v>
      </c>
      <c r="K278" s="22" t="s">
        <v>468</v>
      </c>
    </row>
    <row r="279" customFormat="false" ht="15.75" hidden="false" customHeight="true" outlineLevel="0" collapsed="false">
      <c r="A279" s="59" t="s">
        <v>422</v>
      </c>
      <c r="B279" s="69" t="n">
        <f aca="false">'SG OTT'!Q279</f>
        <v>-0.58</v>
      </c>
      <c r="C279" s="70" t="n">
        <f aca="false">Class!Q279</f>
        <v>0</v>
      </c>
      <c r="D279" s="70" t="n">
        <f aca="false">'SG APP'!Q279</f>
        <v>-0.19</v>
      </c>
      <c r="E279" s="70" t="n">
        <f aca="false">'SG PUTT'!Q279</f>
        <v>0.6</v>
      </c>
      <c r="F279" s="70" t="e">
        <f aca="false">'SG ARG'!Q279</f>
        <v>#VALUE!</v>
      </c>
      <c r="G279" s="70"/>
      <c r="H279" s="58" t="e">
        <f aca="false">'Current Form'!L279</f>
        <v>#VALUE!</v>
      </c>
      <c r="I279" s="71"/>
      <c r="J279" s="22" t="s">
        <v>467</v>
      </c>
      <c r="K279" s="22" t="s">
        <v>468</v>
      </c>
    </row>
    <row r="280" customFormat="false" ht="15.75" hidden="false" customHeight="true" outlineLevel="0" collapsed="false">
      <c r="A280" s="57" t="s">
        <v>423</v>
      </c>
      <c r="B280" s="69" t="n">
        <f aca="false">'SG OTT'!Q280</f>
        <v>-0.473333333333333</v>
      </c>
      <c r="C280" s="70" t="n">
        <f aca="false">Class!Q280</f>
        <v>0.16</v>
      </c>
      <c r="D280" s="70" t="n">
        <f aca="false">'SG APP'!Q280</f>
        <v>-0.288333333333333</v>
      </c>
      <c r="E280" s="70" t="n">
        <f aca="false">'SG PUTT'!Q280</f>
        <v>0.06</v>
      </c>
      <c r="F280" s="70" t="n">
        <f aca="false">'SG ARG'!Q280</f>
        <v>-0.106666666666667</v>
      </c>
      <c r="G280" s="70"/>
      <c r="H280" s="58" t="n">
        <f aca="false">'Current Form'!L280</f>
        <v>-1.705</v>
      </c>
      <c r="I280" s="71"/>
      <c r="J280" s="22" t="s">
        <v>467</v>
      </c>
      <c r="K280" s="22" t="s">
        <v>469</v>
      </c>
    </row>
    <row r="281" customFormat="false" ht="15.75" hidden="false" customHeight="true" outlineLevel="0" collapsed="false">
      <c r="A281" s="57" t="s">
        <v>424</v>
      </c>
      <c r="B281" s="69" t="n">
        <f aca="false">'SG OTT'!Q281</f>
        <v>-0.23</v>
      </c>
      <c r="C281" s="70" t="n">
        <f aca="false">Class!Q281</f>
        <v>0.151428571428571</v>
      </c>
      <c r="D281" s="70" t="n">
        <f aca="false">'SG APP'!Q281</f>
        <v>-0.172857142857143</v>
      </c>
      <c r="E281" s="70" t="n">
        <f aca="false">'SG PUTT'!Q281</f>
        <v>0.488571428571429</v>
      </c>
      <c r="F281" s="70" t="n">
        <f aca="false">'SG ARG'!Q281</f>
        <v>0.191428571428571</v>
      </c>
      <c r="G281" s="70" t="n">
        <v>-0.12</v>
      </c>
      <c r="H281" s="58" t="n">
        <f aca="false">'Current Form'!L281</f>
        <v>0.1525</v>
      </c>
      <c r="I281" s="71" t="n">
        <v>-0.02</v>
      </c>
      <c r="J281" s="22" t="s">
        <v>137</v>
      </c>
      <c r="K281" s="22" t="s">
        <v>468</v>
      </c>
    </row>
    <row r="282" customFormat="false" ht="15.75" hidden="false" customHeight="true" outlineLevel="0" collapsed="false">
      <c r="A282" s="59" t="s">
        <v>425</v>
      </c>
      <c r="B282" s="69" t="n">
        <f aca="false">'SG OTT'!Q282</f>
        <v>0.15</v>
      </c>
      <c r="C282" s="70" t="n">
        <f aca="false">Class!Q282</f>
        <v>0.025</v>
      </c>
      <c r="D282" s="70" t="n">
        <f aca="false">'SG APP'!Q282</f>
        <v>-0.7375</v>
      </c>
      <c r="E282" s="70" t="n">
        <f aca="false">'SG PUTT'!Q282</f>
        <v>-0.575</v>
      </c>
      <c r="F282" s="70" t="n">
        <f aca="false">'SG ARG'!Q282</f>
        <v>0.09</v>
      </c>
      <c r="G282" s="70" t="n">
        <v>-0.07</v>
      </c>
      <c r="H282" s="58" t="n">
        <f aca="false">'Current Form'!L282</f>
        <v>-1.236</v>
      </c>
      <c r="I282" s="71" t="n">
        <v>-0.04</v>
      </c>
      <c r="J282" s="22" t="s">
        <v>137</v>
      </c>
      <c r="K282" s="22" t="s">
        <v>468</v>
      </c>
    </row>
    <row r="283" customFormat="false" ht="15.75" hidden="false" customHeight="true" outlineLevel="0" collapsed="false">
      <c r="A283" s="57" t="s">
        <v>426</v>
      </c>
      <c r="B283" s="69" t="n">
        <f aca="false">'SG OTT'!Q283</f>
        <v>-0.748333333333333</v>
      </c>
      <c r="C283" s="70" t="n">
        <f aca="false">Class!Q283</f>
        <v>0</v>
      </c>
      <c r="D283" s="70" t="n">
        <f aca="false">'SG APP'!Q283</f>
        <v>-1.31833333333333</v>
      </c>
      <c r="E283" s="70" t="n">
        <f aca="false">'SG PUTT'!Q283</f>
        <v>0.501666666666667</v>
      </c>
      <c r="F283" s="70" t="n">
        <f aca="false">'SG ARG'!Q283</f>
        <v>-0.546666666666667</v>
      </c>
      <c r="G283" s="70"/>
      <c r="H283" s="58" t="n">
        <f aca="false">'Current Form'!L283</f>
        <v>-1.90666666666667</v>
      </c>
      <c r="I283" s="71"/>
      <c r="J283" s="22" t="s">
        <v>467</v>
      </c>
      <c r="K283" s="22" t="s">
        <v>469</v>
      </c>
    </row>
    <row r="284" customFormat="false" ht="15.75" hidden="false" customHeight="true" outlineLevel="0" collapsed="false">
      <c r="A284" s="59" t="s">
        <v>427</v>
      </c>
      <c r="B284" s="69" t="n">
        <f aca="false">'SG OTT'!Q284</f>
        <v>0.361666666666667</v>
      </c>
      <c r="C284" s="70" t="n">
        <f aca="false">Class!Q284</f>
        <v>0</v>
      </c>
      <c r="D284" s="70" t="n">
        <f aca="false">'SG APP'!Q284</f>
        <v>-0.52</v>
      </c>
      <c r="E284" s="70" t="n">
        <f aca="false">'SG PUTT'!Q284</f>
        <v>-0.356666666666667</v>
      </c>
      <c r="F284" s="70" t="n">
        <f aca="false">'SG ARG'!Q284</f>
        <v>0.14</v>
      </c>
      <c r="G284" s="70"/>
      <c r="H284" s="58" t="n">
        <f aca="false">'Current Form'!L284</f>
        <v>-0.15</v>
      </c>
      <c r="I284" s="71"/>
      <c r="J284" s="22" t="s">
        <v>467</v>
      </c>
      <c r="K284" s="22" t="s">
        <v>468</v>
      </c>
    </row>
    <row r="285" customFormat="false" ht="15.75" hidden="false" customHeight="true" outlineLevel="0" collapsed="false">
      <c r="A285" s="59" t="s">
        <v>428</v>
      </c>
      <c r="B285" s="69" t="e">
        <f aca="false">'SG OTT'!Q285</f>
        <v>#DIV/0!</v>
      </c>
      <c r="C285" s="70" t="e">
        <f aca="false">Class!Q285</f>
        <v>#DIV/0!</v>
      </c>
      <c r="D285" s="70" t="e">
        <f aca="false">'SG APP'!Q285</f>
        <v>#DIV/0!</v>
      </c>
      <c r="E285" s="70" t="e">
        <f aca="false">'SG PUTT'!Q285</f>
        <v>#DIV/0!</v>
      </c>
      <c r="F285" s="70" t="e">
        <f aca="false">'SG ARG'!Q285</f>
        <v>#DIV/0!</v>
      </c>
      <c r="G285" s="70"/>
      <c r="H285" s="58" t="e">
        <f aca="false">'Current Form'!L285</f>
        <v>#DIV/0!</v>
      </c>
      <c r="I285" s="71"/>
      <c r="J285" s="22" t="s">
        <v>467</v>
      </c>
      <c r="K285" s="22" t="s">
        <v>468</v>
      </c>
    </row>
    <row r="286" customFormat="false" ht="15.75" hidden="false" customHeight="true" outlineLevel="0" collapsed="false">
      <c r="A286" s="59" t="s">
        <v>429</v>
      </c>
      <c r="B286" s="69" t="n">
        <f aca="false">'SG OTT'!Q286</f>
        <v>0.21</v>
      </c>
      <c r="C286" s="70" t="n">
        <f aca="false">Class!Q286</f>
        <v>0</v>
      </c>
      <c r="D286" s="70" t="n">
        <f aca="false">'SG APP'!Q286</f>
        <v>-2.01666666666667</v>
      </c>
      <c r="E286" s="70" t="n">
        <f aca="false">'SG PUTT'!Q286</f>
        <v>-0.0866666666666667</v>
      </c>
      <c r="F286" s="70" t="n">
        <f aca="false">'SG ARG'!Q286</f>
        <v>-0.0233333333333333</v>
      </c>
      <c r="G286" s="70"/>
      <c r="H286" s="58" t="e">
        <f aca="false">'Current Form'!L286</f>
        <v>#VALUE!</v>
      </c>
      <c r="I286" s="71"/>
      <c r="J286" s="22" t="s">
        <v>467</v>
      </c>
      <c r="K286" s="22" t="s">
        <v>468</v>
      </c>
    </row>
    <row r="287" customFormat="false" ht="15.75" hidden="false" customHeight="true" outlineLevel="0" collapsed="false">
      <c r="A287" s="57" t="s">
        <v>430</v>
      </c>
      <c r="B287" s="69" t="n">
        <f aca="false">'SG OTT'!Q287</f>
        <v>-0.405714285714286</v>
      </c>
      <c r="C287" s="70" t="n">
        <f aca="false">Class!Q287</f>
        <v>0.08</v>
      </c>
      <c r="D287" s="70" t="n">
        <f aca="false">'SG APP'!Q287</f>
        <v>-0.138571428571429</v>
      </c>
      <c r="E287" s="70" t="n">
        <f aca="false">'SG PUTT'!Q287</f>
        <v>-0.292857142857143</v>
      </c>
      <c r="F287" s="70" t="n">
        <f aca="false">'SG ARG'!Q287</f>
        <v>0.164285714285714</v>
      </c>
      <c r="G287" s="70" t="n">
        <v>-0.17</v>
      </c>
      <c r="H287" s="58" t="n">
        <f aca="false">'Current Form'!L287</f>
        <v>-0.295</v>
      </c>
      <c r="I287" s="71" t="n">
        <v>0.02</v>
      </c>
      <c r="J287" s="22" t="s">
        <v>137</v>
      </c>
      <c r="K287" s="22" t="s">
        <v>468</v>
      </c>
      <c r="Q287" s="72"/>
    </row>
    <row r="288" customFormat="false" ht="15.75" hidden="false" customHeight="true" outlineLevel="0" collapsed="false">
      <c r="A288" s="59" t="s">
        <v>431</v>
      </c>
      <c r="B288" s="69" t="n">
        <f aca="false">'SG OTT'!Q288</f>
        <v>-0.755714285714286</v>
      </c>
      <c r="C288" s="70" t="n">
        <f aca="false">Class!Q288</f>
        <v>0.0185714285714286</v>
      </c>
      <c r="D288" s="70" t="n">
        <f aca="false">'SG APP'!Q288</f>
        <v>-0.332857142857143</v>
      </c>
      <c r="E288" s="70" t="n">
        <f aca="false">'SG PUTT'!Q288</f>
        <v>0.335714285714286</v>
      </c>
      <c r="F288" s="70" t="n">
        <f aca="false">'SG ARG'!Q288</f>
        <v>0.135714285714286</v>
      </c>
      <c r="G288" s="70" t="n">
        <v>-0.03</v>
      </c>
      <c r="H288" s="58" t="n">
        <f aca="false">'Current Form'!L288</f>
        <v>-0.945</v>
      </c>
      <c r="I288" s="71" t="n">
        <v>0.25</v>
      </c>
      <c r="J288" s="22" t="s">
        <v>137</v>
      </c>
      <c r="K288" s="22" t="s">
        <v>468</v>
      </c>
    </row>
    <row r="289" customFormat="false" ht="15.75" hidden="false" customHeight="true" outlineLevel="0" collapsed="false">
      <c r="A289" s="57" t="s">
        <v>432</v>
      </c>
      <c r="B289" s="69" t="n">
        <f aca="false">'SG OTT'!Q289</f>
        <v>-0.0328571428571429</v>
      </c>
      <c r="C289" s="70" t="n">
        <f aca="false">Class!Q289</f>
        <v>0.0657142857142857</v>
      </c>
      <c r="D289" s="70" t="n">
        <f aca="false">'SG APP'!Q289</f>
        <v>-0.642857142857143</v>
      </c>
      <c r="E289" s="70" t="n">
        <f aca="false">'SG PUTT'!Q289</f>
        <v>-0.154285714285714</v>
      </c>
      <c r="F289" s="70" t="n">
        <f aca="false">'SG ARG'!Q289</f>
        <v>-0.0571428571428572</v>
      </c>
      <c r="G289" s="70"/>
      <c r="H289" s="58" t="n">
        <f aca="false">'Current Form'!L289</f>
        <v>0.37</v>
      </c>
      <c r="I289" s="71"/>
      <c r="J289" s="22" t="s">
        <v>467</v>
      </c>
      <c r="K289" s="22" t="s">
        <v>469</v>
      </c>
    </row>
    <row r="290" customFormat="false" ht="15.75" hidden="false" customHeight="true" outlineLevel="0" collapsed="false">
      <c r="A290" s="59" t="s">
        <v>433</v>
      </c>
      <c r="B290" s="69" t="n">
        <f aca="false">'SG OTT'!Q290</f>
        <v>-0.09375</v>
      </c>
      <c r="C290" s="70" t="n">
        <f aca="false">Class!Q290</f>
        <v>0.02</v>
      </c>
      <c r="D290" s="70" t="n">
        <f aca="false">'SG APP'!Q290</f>
        <v>-0.5225</v>
      </c>
      <c r="E290" s="70" t="n">
        <f aca="false">'SG PUTT'!Q290</f>
        <v>-0.61625</v>
      </c>
      <c r="F290" s="70" t="n">
        <f aca="false">'SG ARG'!Q290</f>
        <v>-0.52125</v>
      </c>
      <c r="G290" s="70" t="n">
        <v>-0.22</v>
      </c>
      <c r="H290" s="58" t="n">
        <f aca="false">'Current Form'!L290</f>
        <v>-1.958</v>
      </c>
      <c r="I290" s="71" t="n">
        <v>-0.03</v>
      </c>
      <c r="J290" s="22" t="s">
        <v>137</v>
      </c>
      <c r="K290" s="22" t="s">
        <v>468</v>
      </c>
    </row>
    <row r="291" customFormat="false" ht="15.75" hidden="false" customHeight="true" outlineLevel="0" collapsed="false">
      <c r="A291" s="57" t="s">
        <v>434</v>
      </c>
      <c r="B291" s="69" t="n">
        <f aca="false">'SG OTT'!Q291</f>
        <v>0.2</v>
      </c>
      <c r="C291" s="70" t="n">
        <f aca="false">Class!Q291</f>
        <v>0.538571428571429</v>
      </c>
      <c r="D291" s="70" t="n">
        <f aca="false">'SG APP'!Q291</f>
        <v>0.777142857142857</v>
      </c>
      <c r="E291" s="70" t="n">
        <f aca="false">'SG PUTT'!Q291</f>
        <v>-0.0985714285714286</v>
      </c>
      <c r="F291" s="70" t="n">
        <f aca="false">'SG ARG'!Q291</f>
        <v>0.32</v>
      </c>
      <c r="G291" s="70" t="n">
        <v>0</v>
      </c>
      <c r="H291" s="58" t="n">
        <f aca="false">'Current Form'!L291</f>
        <v>0.89</v>
      </c>
      <c r="I291" s="71" t="n">
        <v>0.07</v>
      </c>
      <c r="J291" s="22" t="s">
        <v>137</v>
      </c>
      <c r="K291" s="22" t="s">
        <v>468</v>
      </c>
    </row>
    <row r="292" customFormat="false" ht="15.75" hidden="false" customHeight="true" outlineLevel="0" collapsed="false">
      <c r="A292" s="57" t="s">
        <v>435</v>
      </c>
      <c r="B292" s="69" t="n">
        <f aca="false">'SG OTT'!Q292</f>
        <v>0.106</v>
      </c>
      <c r="C292" s="70" t="n">
        <f aca="false">Class!Q292</f>
        <v>0.082</v>
      </c>
      <c r="D292" s="70" t="n">
        <f aca="false">'SG APP'!Q292</f>
        <v>0.588</v>
      </c>
      <c r="E292" s="70" t="n">
        <f aca="false">'SG PUTT'!Q292</f>
        <v>-0.902</v>
      </c>
      <c r="F292" s="70" t="n">
        <f aca="false">'SG ARG'!Q292</f>
        <v>-0.026</v>
      </c>
      <c r="G292" s="70"/>
      <c r="H292" s="58" t="n">
        <f aca="false">'Current Form'!L292</f>
        <v>-0.355</v>
      </c>
      <c r="I292" s="71"/>
      <c r="J292" s="22" t="s">
        <v>467</v>
      </c>
      <c r="K292" s="22" t="s">
        <v>468</v>
      </c>
    </row>
    <row r="293" customFormat="false" ht="15.75" hidden="false" customHeight="true" outlineLevel="0" collapsed="false">
      <c r="A293" s="59" t="s">
        <v>436</v>
      </c>
      <c r="B293" s="69" t="e">
        <f aca="false">'SG OTT'!Q293</f>
        <v>#DIV/0!</v>
      </c>
      <c r="C293" s="70" t="e">
        <f aca="false">Class!Q293</f>
        <v>#DIV/0!</v>
      </c>
      <c r="D293" s="70" t="e">
        <f aca="false">'SG APP'!Q293</f>
        <v>#DIV/0!</v>
      </c>
      <c r="E293" s="70" t="e">
        <f aca="false">'SG PUTT'!Q293</f>
        <v>#DIV/0!</v>
      </c>
      <c r="F293" s="70" t="e">
        <f aca="false">'SG ARG'!Q293</f>
        <v>#DIV/0!</v>
      </c>
      <c r="G293" s="70"/>
      <c r="H293" s="58" t="e">
        <f aca="false">'Current Form'!L293</f>
        <v>#DIV/0!</v>
      </c>
      <c r="I293" s="71"/>
      <c r="J293" s="22" t="s">
        <v>467</v>
      </c>
      <c r="K293" s="22" t="s">
        <v>468</v>
      </c>
    </row>
    <row r="294" customFormat="false" ht="15.75" hidden="false" customHeight="true" outlineLevel="0" collapsed="false">
      <c r="A294" s="59" t="s">
        <v>437</v>
      </c>
      <c r="B294" s="69" t="n">
        <f aca="false">'SG OTT'!Q294</f>
        <v>-0.72125</v>
      </c>
      <c r="C294" s="70" t="n">
        <f aca="false">Class!Q294</f>
        <v>0</v>
      </c>
      <c r="D294" s="70" t="n">
        <f aca="false">'SG APP'!Q294</f>
        <v>-0.885</v>
      </c>
      <c r="E294" s="70" t="n">
        <f aca="false">'SG PUTT'!Q294</f>
        <v>0.18375</v>
      </c>
      <c r="F294" s="70" t="n">
        <f aca="false">'SG ARG'!Q294</f>
        <v>0.09625</v>
      </c>
      <c r="G294" s="70" t="n">
        <v>-0.26</v>
      </c>
      <c r="H294" s="58" t="n">
        <f aca="false">'Current Form'!L294</f>
        <v>-1.02</v>
      </c>
      <c r="I294" s="71" t="n">
        <v>0</v>
      </c>
      <c r="J294" s="22" t="s">
        <v>137</v>
      </c>
      <c r="K294" s="22" t="s">
        <v>468</v>
      </c>
    </row>
    <row r="295" customFormat="false" ht="15.75" hidden="false" customHeight="true" outlineLevel="0" collapsed="false">
      <c r="A295" s="59" t="s">
        <v>438</v>
      </c>
      <c r="B295" s="69" t="e">
        <f aca="false">'SG OTT'!Q295</f>
        <v>#DIV/0!</v>
      </c>
      <c r="C295" s="70" t="e">
        <f aca="false">Class!Q295</f>
        <v>#DIV/0!</v>
      </c>
      <c r="D295" s="70" t="e">
        <f aca="false">'SG APP'!Q295</f>
        <v>#DIV/0!</v>
      </c>
      <c r="E295" s="70" t="e">
        <f aca="false">'SG PUTT'!Q295</f>
        <v>#DIV/0!</v>
      </c>
      <c r="F295" s="70" t="e">
        <f aca="false">'SG ARG'!Q295</f>
        <v>#DIV/0!</v>
      </c>
      <c r="G295" s="70"/>
      <c r="H295" s="58" t="e">
        <f aca="false">'Current Form'!L295</f>
        <v>#DIV/0!</v>
      </c>
      <c r="I295" s="71"/>
      <c r="J295" s="22" t="s">
        <v>467</v>
      </c>
      <c r="K295" s="22" t="s">
        <v>468</v>
      </c>
    </row>
    <row r="296" customFormat="false" ht="15.75" hidden="false" customHeight="true" outlineLevel="0" collapsed="false">
      <c r="A296" s="59" t="s">
        <v>439</v>
      </c>
      <c r="B296" s="69" t="e">
        <f aca="false">'SG OTT'!Q296</f>
        <v>#DIV/0!</v>
      </c>
      <c r="C296" s="70" t="e">
        <f aca="false">Class!Q296</f>
        <v>#DIV/0!</v>
      </c>
      <c r="D296" s="70" t="e">
        <f aca="false">'SG APP'!Q296</f>
        <v>#DIV/0!</v>
      </c>
      <c r="E296" s="70" t="e">
        <f aca="false">'SG PUTT'!Q296</f>
        <v>#DIV/0!</v>
      </c>
      <c r="F296" s="70" t="e">
        <f aca="false">'SG ARG'!Q296</f>
        <v>#DIV/0!</v>
      </c>
      <c r="G296" s="70"/>
      <c r="H296" s="58" t="e">
        <f aca="false">'Current Form'!L296</f>
        <v>#DIV/0!</v>
      </c>
      <c r="I296" s="71"/>
      <c r="J296" s="22" t="s">
        <v>467</v>
      </c>
      <c r="K296" s="22" t="s">
        <v>468</v>
      </c>
    </row>
    <row r="297" customFormat="false" ht="15.75" hidden="false" customHeight="true" outlineLevel="0" collapsed="false">
      <c r="A297" s="57" t="s">
        <v>440</v>
      </c>
      <c r="B297" s="69" t="n">
        <f aca="false">'SG OTT'!Q297</f>
        <v>-0.0314285714285714</v>
      </c>
      <c r="C297" s="70" t="n">
        <f aca="false">Class!Q297</f>
        <v>0.308571428571429</v>
      </c>
      <c r="D297" s="70" t="n">
        <f aca="false">'SG APP'!Q297</f>
        <v>-0.28</v>
      </c>
      <c r="E297" s="70" t="n">
        <f aca="false">'SG PUTT'!Q297</f>
        <v>0.0471428571428571</v>
      </c>
      <c r="F297" s="70" t="n">
        <f aca="false">'SG ARG'!Q297</f>
        <v>0.338571428571429</v>
      </c>
      <c r="G297" s="70"/>
      <c r="H297" s="58" t="n">
        <f aca="false">'Current Form'!L297</f>
        <v>-0.37</v>
      </c>
      <c r="I297" s="71"/>
      <c r="J297" s="22" t="s">
        <v>467</v>
      </c>
      <c r="K297" s="22" t="s">
        <v>469</v>
      </c>
    </row>
    <row r="298" customFormat="false" ht="15.75" hidden="false" customHeight="true" outlineLevel="0" collapsed="false">
      <c r="A298" s="57" t="s">
        <v>441</v>
      </c>
      <c r="B298" s="69" t="n">
        <f aca="false">'SG OTT'!Q298</f>
        <v>-0.668333333333333</v>
      </c>
      <c r="C298" s="70" t="n">
        <f aca="false">Class!Q298</f>
        <v>0.14</v>
      </c>
      <c r="D298" s="70" t="n">
        <f aca="false">'SG APP'!Q298</f>
        <v>-0.133333333333333</v>
      </c>
      <c r="E298" s="70" t="n">
        <f aca="false">'SG PUTT'!Q298</f>
        <v>0.32</v>
      </c>
      <c r="F298" s="70" t="n">
        <f aca="false">'SG ARG'!Q298</f>
        <v>-0.361666666666667</v>
      </c>
      <c r="G298" s="70"/>
      <c r="H298" s="58" t="n">
        <f aca="false">'Current Form'!L298</f>
        <v>-1.295</v>
      </c>
      <c r="I298" s="71"/>
      <c r="J298" s="22" t="s">
        <v>467</v>
      </c>
      <c r="K298" s="22" t="s">
        <v>468</v>
      </c>
    </row>
    <row r="299" customFormat="false" ht="15.75" hidden="false" customHeight="true" outlineLevel="0" collapsed="false">
      <c r="A299" s="59" t="s">
        <v>442</v>
      </c>
      <c r="B299" s="69" t="n">
        <f aca="false">'SG OTT'!Q299</f>
        <v>-0.281666666666667</v>
      </c>
      <c r="C299" s="70" t="n">
        <f aca="false">Class!Q299</f>
        <v>0.111666666666667</v>
      </c>
      <c r="D299" s="70" t="n">
        <f aca="false">'SG APP'!Q299</f>
        <v>0.413333333333333</v>
      </c>
      <c r="E299" s="70" t="n">
        <f aca="false">'SG PUTT'!Q299</f>
        <v>-0.77</v>
      </c>
      <c r="F299" s="70" t="n">
        <f aca="false">'SG ARG'!Q299</f>
        <v>0.09</v>
      </c>
      <c r="G299" s="70" t="n">
        <v>-0.09</v>
      </c>
      <c r="H299" s="58" t="n">
        <f aca="false">'Current Form'!L299</f>
        <v>-0.25</v>
      </c>
      <c r="I299" s="71" t="n">
        <v>0.05</v>
      </c>
      <c r="J299" s="22" t="s">
        <v>137</v>
      </c>
      <c r="K299" s="22" t="s">
        <v>468</v>
      </c>
    </row>
    <row r="300" customFormat="false" ht="15.75" hidden="false" customHeight="true" outlineLevel="0" collapsed="false">
      <c r="A300" s="59" t="s">
        <v>443</v>
      </c>
      <c r="B300" s="69" t="n">
        <f aca="false">'SG OTT'!Q300</f>
        <v>0.624285714285714</v>
      </c>
      <c r="C300" s="70" t="n">
        <f aca="false">Class!Q300</f>
        <v>0.625714285714286</v>
      </c>
      <c r="D300" s="70" t="n">
        <f aca="false">'SG APP'!Q300</f>
        <v>0.135714285714286</v>
      </c>
      <c r="E300" s="70" t="n">
        <f aca="false">'SG PUTT'!Q300</f>
        <v>0.0614285714285714</v>
      </c>
      <c r="F300" s="70" t="n">
        <f aca="false">'SG ARG'!Q300</f>
        <v>-0.302857142857143</v>
      </c>
      <c r="G300" s="70"/>
      <c r="H300" s="58" t="n">
        <f aca="false">'Current Form'!L300</f>
        <v>0.0133333333333333</v>
      </c>
      <c r="I300" s="71"/>
      <c r="J300" s="22" t="s">
        <v>467</v>
      </c>
      <c r="K300" s="22" t="s">
        <v>468</v>
      </c>
    </row>
    <row r="301" customFormat="false" ht="15.75" hidden="false" customHeight="true" outlineLevel="0" collapsed="false">
      <c r="A301" s="57" t="s">
        <v>444</v>
      </c>
      <c r="B301" s="69" t="n">
        <f aca="false">'SG OTT'!Q301</f>
        <v>-0.82</v>
      </c>
      <c r="C301" s="70" t="n">
        <f aca="false">Class!Q301</f>
        <v>0.0625</v>
      </c>
      <c r="D301" s="70" t="n">
        <f aca="false">'SG APP'!Q301</f>
        <v>-0.7175</v>
      </c>
      <c r="E301" s="70" t="n">
        <f aca="false">'SG PUTT'!Q301</f>
        <v>1.035</v>
      </c>
      <c r="F301" s="70" t="n">
        <f aca="false">'SG ARG'!Q301</f>
        <v>0.0525</v>
      </c>
      <c r="G301" s="70"/>
      <c r="H301" s="58" t="n">
        <f aca="false">'Current Form'!L301</f>
        <v>-0.92</v>
      </c>
      <c r="I301" s="71"/>
      <c r="J301" s="22" t="s">
        <v>467</v>
      </c>
      <c r="K301" s="22" t="s">
        <v>469</v>
      </c>
    </row>
    <row r="302" customFormat="false" ht="15.75" hidden="false" customHeight="true" outlineLevel="0" collapsed="false">
      <c r="A302" s="59" t="s">
        <v>445</v>
      </c>
      <c r="B302" s="69" t="e">
        <f aca="false">'SG OTT'!Q302</f>
        <v>#VALUE!</v>
      </c>
      <c r="C302" s="70" t="e">
        <f aca="false">Class!Q302</f>
        <v>#VALUE!</v>
      </c>
      <c r="D302" s="70" t="e">
        <f aca="false">'SG APP'!Q302</f>
        <v>#VALUE!</v>
      </c>
      <c r="E302" s="70" t="e">
        <f aca="false">'SG PUTT'!Q302</f>
        <v>#VALUE!</v>
      </c>
      <c r="F302" s="70" t="e">
        <f aca="false">'SG ARG'!Q302</f>
        <v>#VALUE!</v>
      </c>
      <c r="G302" s="70"/>
      <c r="H302" s="58" t="e">
        <f aca="false">'Current Form'!L302</f>
        <v>#VALUE!</v>
      </c>
      <c r="I302" s="71"/>
      <c r="J302" s="22" t="s">
        <v>467</v>
      </c>
      <c r="K302" s="22" t="s">
        <v>468</v>
      </c>
    </row>
    <row r="303" customFormat="false" ht="15.75" hidden="false" customHeight="true" outlineLevel="0" collapsed="false">
      <c r="A303" s="59" t="s">
        <v>446</v>
      </c>
      <c r="B303" s="69" t="n">
        <f aca="false">'SG OTT'!Q303</f>
        <v>-0.742222222222222</v>
      </c>
      <c r="C303" s="70" t="n">
        <f aca="false">Class!Q303</f>
        <v>0.0211111111111111</v>
      </c>
      <c r="D303" s="70" t="n">
        <f aca="false">'SG APP'!Q303</f>
        <v>0.0177777777777778</v>
      </c>
      <c r="E303" s="70" t="n">
        <f aca="false">'SG PUTT'!Q303</f>
        <v>-0.221111111111111</v>
      </c>
      <c r="F303" s="70" t="n">
        <f aca="false">'SG ARG'!Q303</f>
        <v>-0.171111111111111</v>
      </c>
      <c r="G303" s="70" t="n">
        <v>0.06</v>
      </c>
      <c r="H303" s="58" t="n">
        <f aca="false">'Current Form'!L303</f>
        <v>-0.716666666666667</v>
      </c>
      <c r="I303" s="71" t="n">
        <v>-0.06</v>
      </c>
      <c r="J303" s="22" t="s">
        <v>137</v>
      </c>
      <c r="K303" s="22" t="s">
        <v>468</v>
      </c>
    </row>
    <row r="304" customFormat="false" ht="15.75" hidden="false" customHeight="true" outlineLevel="0" collapsed="false">
      <c r="A304" s="59" t="s">
        <v>447</v>
      </c>
      <c r="B304" s="69" t="e">
        <f aca="false">'SG OTT'!Q304</f>
        <v>#DIV/0!</v>
      </c>
      <c r="C304" s="70" t="e">
        <f aca="false">Class!Q304</f>
        <v>#DIV/0!</v>
      </c>
      <c r="D304" s="70" t="e">
        <f aca="false">'SG APP'!Q304</f>
        <v>#DIV/0!</v>
      </c>
      <c r="E304" s="70" t="e">
        <f aca="false">'SG PUTT'!Q304</f>
        <v>#DIV/0!</v>
      </c>
      <c r="F304" s="70" t="e">
        <f aca="false">'SG ARG'!Q304</f>
        <v>#DIV/0!</v>
      </c>
      <c r="G304" s="70"/>
      <c r="H304" s="58" t="e">
        <f aca="false">'Current Form'!L304</f>
        <v>#DIV/0!</v>
      </c>
      <c r="I304" s="71"/>
      <c r="J304" s="22" t="s">
        <v>467</v>
      </c>
      <c r="K304" s="22" t="s">
        <v>468</v>
      </c>
    </row>
    <row r="305" customFormat="false" ht="15.75" hidden="false" customHeight="true" outlineLevel="0" collapsed="false">
      <c r="A305" s="57" t="s">
        <v>448</v>
      </c>
      <c r="B305" s="69" t="n">
        <f aca="false">'SG OTT'!Q305</f>
        <v>0.255555555555556</v>
      </c>
      <c r="C305" s="70" t="n">
        <f aca="false">Class!Q305</f>
        <v>0.134444444444444</v>
      </c>
      <c r="D305" s="70" t="n">
        <f aca="false">'SG APP'!Q305</f>
        <v>-0.432222222222222</v>
      </c>
      <c r="E305" s="70" t="n">
        <f aca="false">'SG PUTT'!Q305</f>
        <v>-0.0666666666666667</v>
      </c>
      <c r="F305" s="70" t="n">
        <f aca="false">'SG ARG'!Q305</f>
        <v>0.09375</v>
      </c>
      <c r="G305" s="70"/>
      <c r="H305" s="58" t="n">
        <f aca="false">'Current Form'!L305</f>
        <v>-0.08</v>
      </c>
      <c r="I305" s="71"/>
      <c r="J305" s="22" t="s">
        <v>467</v>
      </c>
      <c r="K305" s="22" t="s">
        <v>468</v>
      </c>
    </row>
    <row r="306" customFormat="false" ht="15.75" hidden="false" customHeight="true" outlineLevel="0" collapsed="false">
      <c r="A306" s="59" t="s">
        <v>449</v>
      </c>
      <c r="B306" s="69" t="n">
        <f aca="false">'SG OTT'!Q306</f>
        <v>0.792857142857143</v>
      </c>
      <c r="C306" s="70" t="n">
        <f aca="false">Class!Q306</f>
        <v>2.75285714285714</v>
      </c>
      <c r="D306" s="70" t="n">
        <f aca="false">'SG APP'!Q306</f>
        <v>0.74</v>
      </c>
      <c r="E306" s="70" t="n">
        <f aca="false">'SG PUTT'!Q306</f>
        <v>-0.308571428571429</v>
      </c>
      <c r="F306" s="70" t="n">
        <f aca="false">'SG ARG'!Q306</f>
        <v>0.231428571428571</v>
      </c>
      <c r="G306" s="70" t="n">
        <v>-0.09</v>
      </c>
      <c r="H306" s="58" t="n">
        <f aca="false">'Current Form'!L306</f>
        <v>0.855</v>
      </c>
      <c r="I306" s="71" t="n">
        <v>0.08</v>
      </c>
      <c r="J306" s="22" t="s">
        <v>137</v>
      </c>
      <c r="K306" s="22" t="s">
        <v>468</v>
      </c>
    </row>
    <row r="307" customFormat="false" ht="15.75" hidden="false" customHeight="true" outlineLevel="0" collapsed="false">
      <c r="A307" s="59" t="s">
        <v>450</v>
      </c>
      <c r="B307" s="69" t="n">
        <f aca="false">'SG OTT'!Q307</f>
        <v>0.305</v>
      </c>
      <c r="C307" s="70" t="n">
        <f aca="false">Class!Q307</f>
        <v>0</v>
      </c>
      <c r="D307" s="70" t="n">
        <f aca="false">'SG APP'!Q307</f>
        <v>-0.045</v>
      </c>
      <c r="E307" s="70" t="n">
        <f aca="false">'SG PUTT'!Q307</f>
        <v>-0.61</v>
      </c>
      <c r="F307" s="70" t="n">
        <f aca="false">'SG ARG'!Q307</f>
        <v>-0.465</v>
      </c>
      <c r="G307" s="70"/>
      <c r="H307" s="58" t="e">
        <f aca="false">'Current Form'!L307</f>
        <v>#VALUE!</v>
      </c>
      <c r="I307" s="71"/>
      <c r="J307" s="22" t="s">
        <v>467</v>
      </c>
      <c r="K307" s="22" t="s">
        <v>468</v>
      </c>
    </row>
    <row r="308" customFormat="false" ht="15.75" hidden="false" customHeight="true" outlineLevel="0" collapsed="false">
      <c r="A308" s="60" t="s">
        <v>451</v>
      </c>
      <c r="B308" s="69" t="n">
        <f aca="false">'SG OTT'!Q308</f>
        <v>0.43125</v>
      </c>
      <c r="C308" s="70" t="n">
        <f aca="false">Class!Q308</f>
        <v>0.365</v>
      </c>
      <c r="D308" s="70" t="n">
        <f aca="false">'SG APP'!Q308</f>
        <v>0.17</v>
      </c>
      <c r="E308" s="70" t="n">
        <f aca="false">'SG PUTT'!Q308</f>
        <v>0.03125</v>
      </c>
      <c r="F308" s="70" t="n">
        <f aca="false">'SG ARG'!Q308</f>
        <v>0.0225</v>
      </c>
      <c r="G308" s="70" t="n">
        <v>-0.08</v>
      </c>
      <c r="H308" s="58" t="n">
        <f aca="false">'Current Form'!L308</f>
        <v>1.364</v>
      </c>
      <c r="I308" s="71" t="n">
        <v>-0.06</v>
      </c>
      <c r="J308" s="22" t="s">
        <v>137</v>
      </c>
      <c r="K308" s="22" t="s">
        <v>468</v>
      </c>
    </row>
    <row r="309" customFormat="false" ht="15.75" hidden="false" customHeight="true" outlineLevel="0" collapsed="false">
      <c r="A309" s="59" t="s">
        <v>452</v>
      </c>
      <c r="B309" s="69" t="e">
        <f aca="false">'SG OTT'!Q309</f>
        <v>#DIV/0!</v>
      </c>
      <c r="C309" s="70" t="e">
        <f aca="false">Class!Q309</f>
        <v>#DIV/0!</v>
      </c>
      <c r="D309" s="70" t="e">
        <f aca="false">'SG APP'!Q309</f>
        <v>#DIV/0!</v>
      </c>
      <c r="E309" s="70" t="e">
        <f aca="false">'SG PUTT'!Q309</f>
        <v>#VALUE!</v>
      </c>
      <c r="F309" s="70" t="e">
        <f aca="false">'SG ARG'!Q309</f>
        <v>#DIV/0!</v>
      </c>
      <c r="G309" s="70"/>
      <c r="H309" s="58" t="e">
        <f aca="false">'Current Form'!L309</f>
        <v>#DIV/0!</v>
      </c>
      <c r="I309" s="71"/>
      <c r="J309" s="22" t="s">
        <v>467</v>
      </c>
      <c r="K309" s="22" t="s">
        <v>468</v>
      </c>
    </row>
  </sheetData>
  <conditionalFormatting sqref="H2:H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55" activeCellId="0" sqref="G15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9" t="s">
        <v>146</v>
      </c>
      <c r="B2" s="69" t="n">
        <f aca="false">'SG OTT'!Q2</f>
        <v>0.665</v>
      </c>
      <c r="C2" s="70" t="n">
        <f aca="false">Class!Q2</f>
        <v>1.28</v>
      </c>
      <c r="D2" s="70" t="n">
        <f aca="false">'SG APP'!Q2</f>
        <v>0.783333333333333</v>
      </c>
      <c r="E2" s="70" t="n">
        <f aca="false">'SG PUTT'!Q2</f>
        <v>0.00833333333333333</v>
      </c>
      <c r="F2" s="70" t="n">
        <f aca="false">'SG ARG'!Q2</f>
        <v>0.2</v>
      </c>
      <c r="G2" s="70" t="n">
        <v>-0.05</v>
      </c>
      <c r="H2" s="58" t="n">
        <f aca="false">'Current Form'!L2</f>
        <v>0.85</v>
      </c>
      <c r="I2" s="71" t="n">
        <v>0.05</v>
      </c>
      <c r="J2" s="22" t="s">
        <v>467</v>
      </c>
      <c r="K2" s="22" t="s">
        <v>468</v>
      </c>
    </row>
    <row r="3" customFormat="false" ht="15.75" hidden="false" customHeight="true" outlineLevel="0" collapsed="false">
      <c r="A3" s="59" t="s">
        <v>147</v>
      </c>
      <c r="B3" s="69" t="n">
        <f aca="false">'SG OTT'!Q3</f>
        <v>-0.29</v>
      </c>
      <c r="C3" s="70" t="n">
        <f aca="false">Class!Q3</f>
        <v>0.325</v>
      </c>
      <c r="D3" s="70" t="n">
        <f aca="false">'SG APP'!Q3</f>
        <v>-0.0416666666666667</v>
      </c>
      <c r="E3" s="70" t="n">
        <f aca="false">'SG PUTT'!Q3</f>
        <v>0.745</v>
      </c>
      <c r="F3" s="70" t="n">
        <f aca="false">'SG ARG'!Q3</f>
        <v>-0.195</v>
      </c>
      <c r="G3" s="70" t="n">
        <v>-0.05</v>
      </c>
      <c r="H3" s="58" t="n">
        <f aca="false">'Current Form'!L3</f>
        <v>0.175</v>
      </c>
      <c r="I3" s="71" t="n">
        <v>0.03</v>
      </c>
      <c r="J3" s="22" t="s">
        <v>467</v>
      </c>
      <c r="K3" s="22" t="s">
        <v>468</v>
      </c>
    </row>
    <row r="4" customFormat="false" ht="15.75" hidden="false" customHeight="true" outlineLevel="0" collapsed="false">
      <c r="A4" s="59" t="s">
        <v>148</v>
      </c>
      <c r="B4" s="69" t="n">
        <f aca="false">'SG OTT'!Q4</f>
        <v>0.436666666666667</v>
      </c>
      <c r="C4" s="70" t="n">
        <f aca="false">Class!Q4</f>
        <v>0.246666666666667</v>
      </c>
      <c r="D4" s="70" t="n">
        <f aca="false">'SG APP'!Q4</f>
        <v>-0.251666666666667</v>
      </c>
      <c r="E4" s="70" t="n">
        <f aca="false">'SG PUTT'!Q4</f>
        <v>-0.756666666666667</v>
      </c>
      <c r="F4" s="70" t="n">
        <f aca="false">'SG ARG'!Q4</f>
        <v>0.105</v>
      </c>
      <c r="G4" s="70" t="n">
        <v>0.1</v>
      </c>
      <c r="H4" s="58" t="n">
        <f aca="false">'Current Form'!L4</f>
        <v>0.293333333333333</v>
      </c>
      <c r="I4" s="71" t="n">
        <v>-0.04</v>
      </c>
      <c r="J4" s="22" t="s">
        <v>467</v>
      </c>
      <c r="K4" s="22" t="s">
        <v>468</v>
      </c>
    </row>
    <row r="5" customFormat="false" ht="15.75" hidden="false" customHeight="true" outlineLevel="0" collapsed="false">
      <c r="A5" s="59" t="s">
        <v>149</v>
      </c>
      <c r="B5" s="69" t="n">
        <f aca="false">'SG OTT'!Q5</f>
        <v>0.075</v>
      </c>
      <c r="C5" s="70" t="n">
        <f aca="false">Class!Q5</f>
        <v>0.34875</v>
      </c>
      <c r="D5" s="70" t="n">
        <f aca="false">'SG APP'!Q5</f>
        <v>0.3925</v>
      </c>
      <c r="E5" s="70" t="n">
        <f aca="false">'SG PUTT'!Q5</f>
        <v>0.17625</v>
      </c>
      <c r="F5" s="70" t="n">
        <f aca="false">'SG ARG'!Q5</f>
        <v>0.00625</v>
      </c>
      <c r="G5" s="70" t="n">
        <v>-0.05</v>
      </c>
      <c r="H5" s="58" t="n">
        <f aca="false">'Current Form'!L5</f>
        <v>0.124</v>
      </c>
      <c r="I5" s="71" t="n">
        <v>-0.04</v>
      </c>
      <c r="J5" s="22" t="s">
        <v>467</v>
      </c>
      <c r="K5" s="22" t="s">
        <v>468</v>
      </c>
    </row>
    <row r="6" customFormat="false" ht="15.75" hidden="false" customHeight="true" outlineLevel="0" collapsed="false">
      <c r="A6" s="59" t="s">
        <v>155</v>
      </c>
      <c r="B6" s="69" t="n">
        <f aca="false">'SG OTT'!Q11</f>
        <v>0.202</v>
      </c>
      <c r="C6" s="70" t="n">
        <f aca="false">Class!Q11</f>
        <v>0.032</v>
      </c>
      <c r="D6" s="70" t="n">
        <f aca="false">'SG APP'!Q11</f>
        <v>0.032</v>
      </c>
      <c r="E6" s="70" t="n">
        <f aca="false">'SG PUTT'!Q11</f>
        <v>-0.762</v>
      </c>
      <c r="F6" s="70" t="n">
        <f aca="false">'SG ARG'!Q11</f>
        <v>-0.264</v>
      </c>
      <c r="G6" s="70" t="n">
        <v>-0.08</v>
      </c>
      <c r="H6" s="58" t="n">
        <f aca="false">'Current Form'!L11</f>
        <v>-1.25</v>
      </c>
      <c r="I6" s="71" t="n">
        <v>-0.04</v>
      </c>
      <c r="J6" s="22" t="s">
        <v>467</v>
      </c>
      <c r="K6" s="22" t="s">
        <v>468</v>
      </c>
    </row>
    <row r="7" customFormat="false" ht="15.75" hidden="false" customHeight="true" outlineLevel="0" collapsed="false">
      <c r="A7" s="59" t="s">
        <v>157</v>
      </c>
      <c r="B7" s="69" t="n">
        <f aca="false">'SG OTT'!Q13</f>
        <v>0.746666666666667</v>
      </c>
      <c r="C7" s="70" t="n">
        <f aca="false">Class!Q13</f>
        <v>0.465555555555556</v>
      </c>
      <c r="D7" s="70" t="n">
        <f aca="false">'SG APP'!Q13</f>
        <v>0.322222222222222</v>
      </c>
      <c r="E7" s="70" t="n">
        <f aca="false">'SG PUTT'!Q13</f>
        <v>0.0277777777777778</v>
      </c>
      <c r="F7" s="70" t="n">
        <f aca="false">'SG ARG'!Q13</f>
        <v>-0.32</v>
      </c>
      <c r="G7" s="70" t="n">
        <v>0.15</v>
      </c>
      <c r="H7" s="58" t="n">
        <f aca="false">'Current Form'!L13</f>
        <v>0.858333333333333</v>
      </c>
      <c r="I7" s="71" t="n">
        <v>-0.04</v>
      </c>
      <c r="J7" s="22" t="s">
        <v>467</v>
      </c>
      <c r="K7" s="22" t="s">
        <v>468</v>
      </c>
    </row>
    <row r="8" customFormat="false" ht="15.75" hidden="false" customHeight="true" outlineLevel="0" collapsed="false">
      <c r="A8" s="59" t="s">
        <v>160</v>
      </c>
      <c r="B8" s="69" t="n">
        <f aca="false">'SG OTT'!Q16</f>
        <v>-0.074</v>
      </c>
      <c r="C8" s="70" t="n">
        <f aca="false">Class!Q16</f>
        <v>0.024</v>
      </c>
      <c r="D8" s="70" t="n">
        <f aca="false">'SG APP'!Q16</f>
        <v>0.852</v>
      </c>
      <c r="E8" s="70" t="n">
        <f aca="false">'SG PUTT'!Q16</f>
        <v>-0.614</v>
      </c>
      <c r="F8" s="70" t="n">
        <f aca="false">'SG ARG'!Q16</f>
        <v>-0.518</v>
      </c>
      <c r="G8" s="70" t="n">
        <v>-0.07</v>
      </c>
      <c r="H8" s="58" t="n">
        <f aca="false">'Current Form'!L16</f>
        <v>-0.21</v>
      </c>
      <c r="I8" s="71" t="n">
        <v>0.03</v>
      </c>
      <c r="J8" s="22" t="s">
        <v>467</v>
      </c>
      <c r="K8" s="22" t="s">
        <v>468</v>
      </c>
      <c r="R8" s="18"/>
    </row>
    <row r="9" customFormat="false" ht="15.75" hidden="false" customHeight="true" outlineLevel="0" collapsed="false">
      <c r="A9" s="59" t="s">
        <v>164</v>
      </c>
      <c r="B9" s="69" t="n">
        <f aca="false">'SG OTT'!Q20</f>
        <v>-0.444</v>
      </c>
      <c r="C9" s="70" t="n">
        <f aca="false">Class!Q20</f>
        <v>0.005</v>
      </c>
      <c r="D9" s="70" t="n">
        <f aca="false">'SG APP'!Q20</f>
        <v>-0.037</v>
      </c>
      <c r="E9" s="70" t="n">
        <f aca="false">'SG PUTT'!Q20</f>
        <v>-0.502</v>
      </c>
      <c r="F9" s="70" t="n">
        <f aca="false">'SG ARG'!Q20</f>
        <v>-0.073</v>
      </c>
      <c r="G9" s="70" t="n">
        <v>-0.23</v>
      </c>
      <c r="H9" s="58" t="n">
        <f aca="false">'Current Form'!L20</f>
        <v>-0.785</v>
      </c>
      <c r="I9" s="71" t="n">
        <v>-0.04</v>
      </c>
      <c r="J9" s="22" t="s">
        <v>467</v>
      </c>
      <c r="K9" s="22" t="s">
        <v>468</v>
      </c>
    </row>
    <row r="10" customFormat="false" ht="15.75" hidden="false" customHeight="true" outlineLevel="0" collapsed="false">
      <c r="A10" s="59" t="s">
        <v>166</v>
      </c>
      <c r="B10" s="69" t="n">
        <f aca="false">'SG OTT'!Q22</f>
        <v>0.115</v>
      </c>
      <c r="C10" s="70" t="n">
        <f aca="false">Class!Q22</f>
        <v>0.135</v>
      </c>
      <c r="D10" s="70" t="n">
        <f aca="false">'SG APP'!Q22</f>
        <v>0.0475</v>
      </c>
      <c r="E10" s="70" t="n">
        <f aca="false">'SG PUTT'!Q22</f>
        <v>-0.42</v>
      </c>
      <c r="F10" s="70" t="n">
        <f aca="false">'SG ARG'!Q22</f>
        <v>-0.21</v>
      </c>
      <c r="G10" s="70" t="n">
        <v>-0.04</v>
      </c>
      <c r="H10" s="58" t="n">
        <f aca="false">'Current Form'!L22</f>
        <v>-0.305</v>
      </c>
      <c r="I10" s="71" t="n">
        <v>-0.01</v>
      </c>
      <c r="J10" s="22" t="s">
        <v>467</v>
      </c>
      <c r="K10" s="22" t="s">
        <v>468</v>
      </c>
    </row>
    <row r="11" customFormat="false" ht="15.75" hidden="false" customHeight="true" outlineLevel="0" collapsed="false">
      <c r="A11" s="59" t="s">
        <v>167</v>
      </c>
      <c r="B11" s="69" t="n">
        <f aca="false">'SG OTT'!Q23</f>
        <v>0.298333333333333</v>
      </c>
      <c r="C11" s="70" t="n">
        <f aca="false">Class!Q23</f>
        <v>0.855</v>
      </c>
      <c r="D11" s="70" t="n">
        <f aca="false">'SG APP'!Q23</f>
        <v>0.64</v>
      </c>
      <c r="E11" s="70" t="n">
        <f aca="false">'SG PUTT'!Q23</f>
        <v>0.343333333333333</v>
      </c>
      <c r="F11" s="70" t="n">
        <f aca="false">'SG ARG'!Q23</f>
        <v>0.125</v>
      </c>
      <c r="G11" s="70" t="n">
        <v>-0.11</v>
      </c>
      <c r="H11" s="58" t="n">
        <f aca="false">'Current Form'!L23</f>
        <v>1.395</v>
      </c>
      <c r="I11" s="71" t="n">
        <v>0</v>
      </c>
      <c r="J11" s="22" t="s">
        <v>467</v>
      </c>
      <c r="K11" s="22" t="s">
        <v>468</v>
      </c>
    </row>
    <row r="12" customFormat="false" ht="15.75" hidden="false" customHeight="true" outlineLevel="0" collapsed="false">
      <c r="A12" s="59" t="s">
        <v>169</v>
      </c>
      <c r="B12" s="69" t="n">
        <f aca="false">'SG OTT'!Q25</f>
        <v>0.121428571428571</v>
      </c>
      <c r="C12" s="70" t="n">
        <f aca="false">Class!Q25</f>
        <v>0.174285714285714</v>
      </c>
      <c r="D12" s="70" t="n">
        <f aca="false">'SG APP'!Q25</f>
        <v>-0.0414285714285714</v>
      </c>
      <c r="E12" s="70" t="n">
        <f aca="false">'SG PUTT'!Q25</f>
        <v>0.0385714285714286</v>
      </c>
      <c r="F12" s="70" t="n">
        <f aca="false">'SG ARG'!Q25</f>
        <v>0.26</v>
      </c>
      <c r="G12" s="70" t="n">
        <v>0.01</v>
      </c>
      <c r="H12" s="58" t="n">
        <f aca="false">'Current Form'!L25</f>
        <v>0.436666666666667</v>
      </c>
      <c r="I12" s="71" t="n">
        <v>-0.04</v>
      </c>
      <c r="J12" s="22" t="s">
        <v>467</v>
      </c>
      <c r="K12" s="22" t="s">
        <v>468</v>
      </c>
    </row>
    <row r="13" customFormat="false" ht="15.75" hidden="false" customHeight="true" outlineLevel="0" collapsed="false">
      <c r="A13" s="59" t="s">
        <v>170</v>
      </c>
      <c r="B13" s="69" t="n">
        <f aca="false">'SG OTT'!Q26</f>
        <v>0.3825</v>
      </c>
      <c r="C13" s="70" t="n">
        <f aca="false">Class!Q26</f>
        <v>0.55</v>
      </c>
      <c r="D13" s="70" t="n">
        <f aca="false">'SG APP'!Q26</f>
        <v>0.3175</v>
      </c>
      <c r="E13" s="70" t="n">
        <f aca="false">'SG PUTT'!Q26</f>
        <v>-0.20375</v>
      </c>
      <c r="F13" s="70" t="n">
        <f aca="false">'SG ARG'!Q26</f>
        <v>0.37</v>
      </c>
      <c r="G13" s="70" t="n">
        <v>-0.12</v>
      </c>
      <c r="H13" s="58" t="n">
        <f aca="false">'Current Form'!L26</f>
        <v>1.146</v>
      </c>
      <c r="I13" s="71" t="n">
        <v>-0.02</v>
      </c>
      <c r="J13" s="22" t="s">
        <v>467</v>
      </c>
      <c r="K13" s="22" t="s">
        <v>468</v>
      </c>
    </row>
    <row r="14" customFormat="false" ht="15.75" hidden="false" customHeight="true" outlineLevel="0" collapsed="false">
      <c r="A14" s="59" t="s">
        <v>171</v>
      </c>
      <c r="B14" s="69" t="n">
        <f aca="false">'SG OTT'!Q27</f>
        <v>0.292857142857143</v>
      </c>
      <c r="C14" s="70" t="n">
        <f aca="false">Class!Q27</f>
        <v>0.787142857142857</v>
      </c>
      <c r="D14" s="70" t="n">
        <f aca="false">'SG APP'!Q27</f>
        <v>0.557142857142857</v>
      </c>
      <c r="E14" s="70" t="n">
        <f aca="false">'SG PUTT'!Q27</f>
        <v>0.377142857142857</v>
      </c>
      <c r="F14" s="70" t="n">
        <f aca="false">'SG ARG'!Q27</f>
        <v>-0.0842857142857143</v>
      </c>
      <c r="G14" s="70" t="n">
        <v>-0.02</v>
      </c>
      <c r="H14" s="58" t="n">
        <f aca="false">'Current Form'!L27</f>
        <v>1.19666666666667</v>
      </c>
      <c r="I14" s="71" t="n">
        <v>-0.04</v>
      </c>
      <c r="J14" s="22" t="s">
        <v>467</v>
      </c>
      <c r="K14" s="22" t="s">
        <v>468</v>
      </c>
    </row>
    <row r="15" customFormat="false" ht="15.75" hidden="false" customHeight="true" outlineLevel="0" collapsed="false">
      <c r="A15" s="59" t="s">
        <v>176</v>
      </c>
      <c r="B15" s="69" t="n">
        <f aca="false">'SG OTT'!Q32</f>
        <v>0.06</v>
      </c>
      <c r="C15" s="70" t="n">
        <f aca="false">Class!Q32</f>
        <v>2.89857142857143</v>
      </c>
      <c r="D15" s="70" t="n">
        <f aca="false">'SG APP'!Q32</f>
        <v>0.217142857142857</v>
      </c>
      <c r="E15" s="70" t="n">
        <f aca="false">'SG PUTT'!Q32</f>
        <v>0.882857142857143</v>
      </c>
      <c r="F15" s="70" t="n">
        <f aca="false">'SG ARG'!Q32</f>
        <v>0.462857142857143</v>
      </c>
      <c r="G15" s="70" t="n">
        <v>-0.02</v>
      </c>
      <c r="H15" s="58" t="n">
        <f aca="false">'Current Form'!L32</f>
        <v>2.012</v>
      </c>
      <c r="I15" s="71" t="n">
        <v>0.1</v>
      </c>
      <c r="J15" s="22" t="s">
        <v>467</v>
      </c>
      <c r="K15" s="22" t="s">
        <v>468</v>
      </c>
    </row>
    <row r="16" customFormat="false" ht="15.75" hidden="false" customHeight="true" outlineLevel="0" collapsed="false">
      <c r="A16" s="59" t="s">
        <v>177</v>
      </c>
      <c r="B16" s="69" t="n">
        <f aca="false">'SG OTT'!Q33</f>
        <v>-0.258888888888889</v>
      </c>
      <c r="C16" s="70" t="n">
        <f aca="false">Class!Q33</f>
        <v>0.532222222222222</v>
      </c>
      <c r="D16" s="70" t="n">
        <f aca="false">'SG APP'!Q33</f>
        <v>0.132222222222222</v>
      </c>
      <c r="E16" s="70" t="n">
        <f aca="false">'SG PUTT'!Q33</f>
        <v>0.736666666666667</v>
      </c>
      <c r="F16" s="70" t="n">
        <f aca="false">'SG ARG'!Q33</f>
        <v>0.304444444444444</v>
      </c>
      <c r="G16" s="70" t="n">
        <v>-0.04</v>
      </c>
      <c r="H16" s="58" t="n">
        <f aca="false">'Current Form'!L33</f>
        <v>0.321666666666667</v>
      </c>
      <c r="I16" s="71" t="n">
        <v>0.01</v>
      </c>
      <c r="J16" s="22" t="s">
        <v>467</v>
      </c>
      <c r="K16" s="22" t="s">
        <v>468</v>
      </c>
    </row>
    <row r="17" customFormat="false" ht="15.75" hidden="false" customHeight="true" outlineLevel="0" collapsed="false">
      <c r="A17" s="59" t="s">
        <v>179</v>
      </c>
      <c r="B17" s="69" t="n">
        <f aca="false">'SG OTT'!Q35</f>
        <v>0.2</v>
      </c>
      <c r="C17" s="70" t="n">
        <f aca="false">Class!Q35</f>
        <v>0.54</v>
      </c>
      <c r="D17" s="70" t="n">
        <f aca="false">'SG APP'!Q35</f>
        <v>0.522222222222222</v>
      </c>
      <c r="E17" s="70" t="n">
        <f aca="false">'SG PUTT'!Q35</f>
        <v>-0.0388888888888889</v>
      </c>
      <c r="F17" s="70" t="n">
        <f aca="false">'SG ARG'!Q35</f>
        <v>-0.00888888888888889</v>
      </c>
      <c r="G17" s="70" t="n">
        <v>-0.19</v>
      </c>
      <c r="H17" s="58" t="n">
        <f aca="false">'Current Form'!L35</f>
        <v>0.745</v>
      </c>
      <c r="I17" s="71" t="n">
        <v>0.05</v>
      </c>
      <c r="J17" s="22" t="s">
        <v>467</v>
      </c>
      <c r="K17" s="22" t="s">
        <v>468</v>
      </c>
    </row>
    <row r="18" customFormat="false" ht="15.75" hidden="false" customHeight="true" outlineLevel="0" collapsed="false">
      <c r="A18" s="59" t="s">
        <v>180</v>
      </c>
      <c r="B18" s="69" t="n">
        <f aca="false">'SG OTT'!Q36</f>
        <v>0.214545454545455</v>
      </c>
      <c r="C18" s="70" t="n">
        <f aca="false">Class!Q36</f>
        <v>0.26</v>
      </c>
      <c r="D18" s="70" t="n">
        <f aca="false">'SG APP'!Q36</f>
        <v>-0.631818181818182</v>
      </c>
      <c r="E18" s="70" t="n">
        <f aca="false">'SG PUTT'!Q36</f>
        <v>0.141818181818182</v>
      </c>
      <c r="F18" s="70" t="n">
        <f aca="false">'SG ARG'!Q36</f>
        <v>-0.192727272727273</v>
      </c>
      <c r="G18" s="70" t="n">
        <v>0.08</v>
      </c>
      <c r="H18" s="58" t="n">
        <f aca="false">'Current Form'!L36</f>
        <v>-1.4</v>
      </c>
      <c r="I18" s="71" t="n">
        <v>-0.04</v>
      </c>
      <c r="J18" s="22" t="s">
        <v>467</v>
      </c>
      <c r="K18" s="22" t="s">
        <v>468</v>
      </c>
    </row>
    <row r="19" customFormat="false" ht="15.75" hidden="false" customHeight="true" outlineLevel="0" collapsed="false">
      <c r="A19" s="59" t="s">
        <v>182</v>
      </c>
      <c r="B19" s="69" t="n">
        <f aca="false">'SG OTT'!Q38</f>
        <v>-0.0514285714285714</v>
      </c>
      <c r="C19" s="70" t="n">
        <f aca="false">Class!Q38</f>
        <v>0.0728571428571429</v>
      </c>
      <c r="D19" s="70" t="n">
        <f aca="false">'SG APP'!Q38</f>
        <v>-0.324285714285714</v>
      </c>
      <c r="E19" s="70" t="n">
        <f aca="false">'SG PUTT'!Q38</f>
        <v>-0.375714285714286</v>
      </c>
      <c r="F19" s="70" t="n">
        <f aca="false">'SG ARG'!Q38</f>
        <v>-0.102857142857143</v>
      </c>
      <c r="G19" s="70" t="n">
        <v>-0.05</v>
      </c>
      <c r="H19" s="58" t="n">
        <f aca="false">'Current Form'!L38</f>
        <v>-2.37333333333333</v>
      </c>
      <c r="I19" s="71" t="n">
        <v>-0.02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9" t="s">
        <v>185</v>
      </c>
      <c r="B20" s="69" t="n">
        <f aca="false">'SG OTT'!Q41</f>
        <v>-0.523333333333333</v>
      </c>
      <c r="C20" s="70" t="n">
        <f aca="false">Class!Q41</f>
        <v>0</v>
      </c>
      <c r="D20" s="70" t="n">
        <f aca="false">'SG APP'!Q41</f>
        <v>-0.443333333333333</v>
      </c>
      <c r="E20" s="70" t="n">
        <f aca="false">'SG PUTT'!Q41</f>
        <v>-0.21</v>
      </c>
      <c r="F20" s="70" t="n">
        <f aca="false">'SG ARG'!Q41</f>
        <v>-0.408333333333333</v>
      </c>
      <c r="G20" s="70" t="n">
        <v>0.2</v>
      </c>
      <c r="H20" s="58" t="n">
        <f aca="false">'Current Form'!L41</f>
        <v>-2.43333333333333</v>
      </c>
      <c r="I20" s="71" t="n">
        <v>0</v>
      </c>
      <c r="J20" s="22" t="s">
        <v>467</v>
      </c>
      <c r="K20" s="22" t="s">
        <v>468</v>
      </c>
    </row>
    <row r="21" customFormat="false" ht="15.75" hidden="false" customHeight="true" outlineLevel="0" collapsed="false">
      <c r="A21" s="59" t="s">
        <v>188</v>
      </c>
      <c r="B21" s="69" t="n">
        <f aca="false">'SG OTT'!Q44</f>
        <v>0.488333333333333</v>
      </c>
      <c r="C21" s="70" t="n">
        <f aca="false">Class!Q44</f>
        <v>0.295</v>
      </c>
      <c r="D21" s="70" t="n">
        <f aca="false">'SG APP'!Q44</f>
        <v>-0.958333333333333</v>
      </c>
      <c r="E21" s="70" t="n">
        <f aca="false">'SG PUTT'!Q44</f>
        <v>0.223333333333333</v>
      </c>
      <c r="F21" s="70" t="n">
        <f aca="false">'SG ARG'!Q44</f>
        <v>0.161666666666667</v>
      </c>
      <c r="G21" s="70" t="n">
        <v>0.27</v>
      </c>
      <c r="H21" s="58" t="n">
        <f aca="false">'Current Form'!L44</f>
        <v>-0.37</v>
      </c>
      <c r="I21" s="71" t="n">
        <v>0.04</v>
      </c>
      <c r="J21" s="22" t="s">
        <v>467</v>
      </c>
      <c r="K21" s="22" t="s">
        <v>468</v>
      </c>
    </row>
    <row r="22" customFormat="false" ht="15.75" hidden="false" customHeight="true" outlineLevel="0" collapsed="false">
      <c r="A22" s="59" t="s">
        <v>197</v>
      </c>
      <c r="B22" s="69" t="n">
        <f aca="false">'SG OTT'!Q53</f>
        <v>-0.0642857142857143</v>
      </c>
      <c r="C22" s="70" t="n">
        <f aca="false">Class!Q53</f>
        <v>0.0771428571428572</v>
      </c>
      <c r="D22" s="70" t="n">
        <f aca="false">'SG APP'!Q53</f>
        <v>0.111428571428571</v>
      </c>
      <c r="E22" s="70" t="n">
        <f aca="false">'SG PUTT'!Q53</f>
        <v>-1.02714285714286</v>
      </c>
      <c r="F22" s="70" t="n">
        <f aca="false">'SG ARG'!Q53</f>
        <v>0.212857142857143</v>
      </c>
      <c r="G22" s="70" t="n">
        <v>0.07</v>
      </c>
      <c r="H22" s="58" t="n">
        <f aca="false">'Current Form'!L53</f>
        <v>-0.24</v>
      </c>
      <c r="I22" s="71" t="n">
        <v>-0.04</v>
      </c>
      <c r="J22" s="22" t="s">
        <v>467</v>
      </c>
      <c r="K22" s="22" t="s">
        <v>468</v>
      </c>
    </row>
    <row r="23" customFormat="false" ht="15.75" hidden="false" customHeight="true" outlineLevel="0" collapsed="false">
      <c r="A23" s="59" t="s">
        <v>198</v>
      </c>
      <c r="B23" s="69" t="n">
        <f aca="false">'SG OTT'!Q54</f>
        <v>-0.0255555555555556</v>
      </c>
      <c r="C23" s="70" t="n">
        <f aca="false">Class!Q54</f>
        <v>0.288888888888889</v>
      </c>
      <c r="D23" s="70" t="n">
        <f aca="false">'SG APP'!Q54</f>
        <v>0.183333333333333</v>
      </c>
      <c r="E23" s="70" t="n">
        <f aca="false">'SG PUTT'!Q54</f>
        <v>0.211111111111111</v>
      </c>
      <c r="F23" s="70" t="n">
        <f aca="false">'SG ARG'!Q54</f>
        <v>0.01</v>
      </c>
      <c r="G23" s="70" t="n">
        <v>-0.1</v>
      </c>
      <c r="H23" s="58" t="n">
        <f aca="false">'Current Form'!L54</f>
        <v>0.404</v>
      </c>
      <c r="I23" s="71" t="n">
        <v>0.01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199</v>
      </c>
      <c r="B24" s="69" t="n">
        <f aca="false">'SG OTT'!Q55</f>
        <v>-0.29375</v>
      </c>
      <c r="C24" s="70" t="n">
        <f aca="false">Class!Q55</f>
        <v>0.17</v>
      </c>
      <c r="D24" s="70" t="n">
        <f aca="false">'SG APP'!Q55</f>
        <v>0.04625</v>
      </c>
      <c r="E24" s="70" t="n">
        <f aca="false">'SG PUTT'!Q55</f>
        <v>0.495</v>
      </c>
      <c r="F24" s="70" t="n">
        <f aca="false">'SG ARG'!Q55</f>
        <v>-0.2375</v>
      </c>
      <c r="G24" s="70" t="n">
        <v>0</v>
      </c>
      <c r="H24" s="58" t="n">
        <f aca="false">'Current Form'!L55</f>
        <v>0.084</v>
      </c>
      <c r="I24" s="71" t="n">
        <v>-0.01</v>
      </c>
      <c r="J24" s="22" t="s">
        <v>467</v>
      </c>
      <c r="K24" s="22" t="s">
        <v>468</v>
      </c>
    </row>
    <row r="25" customFormat="false" ht="15.75" hidden="false" customHeight="true" outlineLevel="0" collapsed="false">
      <c r="A25" s="59" t="s">
        <v>200</v>
      </c>
      <c r="B25" s="69" t="n">
        <f aca="false">'SG OTT'!Q56</f>
        <v>-0.434285714285714</v>
      </c>
      <c r="C25" s="70" t="n">
        <f aca="false">Class!Q56</f>
        <v>0.174</v>
      </c>
      <c r="D25" s="70" t="n">
        <f aca="false">'SG APP'!Q56</f>
        <v>0.278571428571429</v>
      </c>
      <c r="E25" s="70" t="n">
        <f aca="false">'SG PUTT'!Q56</f>
        <v>-0.212857142857143</v>
      </c>
      <c r="F25" s="70" t="n">
        <f aca="false">'SG ARG'!Q56</f>
        <v>0.03</v>
      </c>
      <c r="G25" s="70" t="n">
        <v>-0.05</v>
      </c>
      <c r="H25" s="58" t="n">
        <f aca="false">'Current Form'!L56</f>
        <v>0.306666666666667</v>
      </c>
      <c r="I25" s="71" t="n">
        <v>0.04</v>
      </c>
      <c r="J25" s="22" t="s">
        <v>467</v>
      </c>
      <c r="K25" s="22" t="s">
        <v>468</v>
      </c>
    </row>
    <row r="26" customFormat="false" ht="15.75" hidden="false" customHeight="true" outlineLevel="0" collapsed="false">
      <c r="A26" s="59" t="s">
        <v>201</v>
      </c>
      <c r="B26" s="69" t="n">
        <f aca="false">'SG OTT'!Q57</f>
        <v>0.3275</v>
      </c>
      <c r="C26" s="70" t="n">
        <f aca="false">Class!Q57</f>
        <v>0.20875</v>
      </c>
      <c r="D26" s="70" t="n">
        <f aca="false">'SG APP'!Q57</f>
        <v>-0.27625</v>
      </c>
      <c r="E26" s="70" t="n">
        <f aca="false">'SG PUTT'!Q57</f>
        <v>-0.2025</v>
      </c>
      <c r="F26" s="70" t="n">
        <f aca="false">'SG ARG'!Q57</f>
        <v>0.4575</v>
      </c>
      <c r="G26" s="70" t="n">
        <v>-0.14</v>
      </c>
      <c r="H26" s="58" t="n">
        <f aca="false">'Current Form'!L57</f>
        <v>0.038</v>
      </c>
      <c r="I26" s="71" t="n">
        <v>0.06</v>
      </c>
      <c r="J26" s="22" t="s">
        <v>467</v>
      </c>
      <c r="K26" s="22" t="s">
        <v>468</v>
      </c>
    </row>
    <row r="27" customFormat="false" ht="15.75" hidden="false" customHeight="true" outlineLevel="0" collapsed="false">
      <c r="A27" s="59" t="s">
        <v>203</v>
      </c>
      <c r="B27" s="69" t="n">
        <f aca="false">'SG OTT'!Q59</f>
        <v>0.29</v>
      </c>
      <c r="C27" s="70" t="n">
        <f aca="false">Class!Q59</f>
        <v>0.141666666666667</v>
      </c>
      <c r="D27" s="70" t="n">
        <f aca="false">'SG APP'!Q59</f>
        <v>0.336666666666667</v>
      </c>
      <c r="E27" s="70" t="n">
        <f aca="false">'SG PUTT'!Q59</f>
        <v>-0.0766666666666667</v>
      </c>
      <c r="F27" s="70" t="n">
        <f aca="false">'SG ARG'!Q59</f>
        <v>-0.0933333333333333</v>
      </c>
      <c r="G27" s="70" t="n">
        <v>-0.17</v>
      </c>
      <c r="H27" s="58" t="n">
        <f aca="false">'Current Form'!L59</f>
        <v>0.495</v>
      </c>
      <c r="I27" s="71" t="n">
        <v>0.09</v>
      </c>
      <c r="J27" s="22" t="s">
        <v>467</v>
      </c>
      <c r="K27" s="22" t="s">
        <v>468</v>
      </c>
    </row>
    <row r="28" customFormat="false" ht="15.75" hidden="false" customHeight="true" outlineLevel="0" collapsed="false">
      <c r="A28" s="59" t="s">
        <v>207</v>
      </c>
      <c r="B28" s="69" t="n">
        <f aca="false">'SG OTT'!Q63</f>
        <v>0.58</v>
      </c>
      <c r="C28" s="70" t="n">
        <f aca="false">Class!Q63</f>
        <v>1.07625</v>
      </c>
      <c r="D28" s="70" t="n">
        <f aca="false">'SG APP'!Q63</f>
        <v>1.02625</v>
      </c>
      <c r="E28" s="70" t="n">
        <f aca="false">'SG PUTT'!Q63</f>
        <v>-0.25</v>
      </c>
      <c r="F28" s="70" t="n">
        <f aca="false">'SG ARG'!Q63</f>
        <v>-0.01125</v>
      </c>
      <c r="G28" s="70" t="n">
        <v>-0.21</v>
      </c>
      <c r="H28" s="58" t="n">
        <f aca="false">'Current Form'!L63</f>
        <v>0.984</v>
      </c>
      <c r="I28" s="71" t="n">
        <v>-0.03</v>
      </c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208</v>
      </c>
      <c r="B29" s="69" t="n">
        <f aca="false">'SG OTT'!Q64</f>
        <v>0.0933333333333333</v>
      </c>
      <c r="C29" s="70" t="n">
        <f aca="false">Class!Q64</f>
        <v>2.18333333333333</v>
      </c>
      <c r="D29" s="70" t="n">
        <f aca="false">'SG APP'!Q64</f>
        <v>0.946666666666667</v>
      </c>
      <c r="E29" s="70" t="n">
        <f aca="false">'SG PUTT'!Q64</f>
        <v>0.13</v>
      </c>
      <c r="F29" s="70" t="n">
        <f aca="false">'SG ARG'!Q64</f>
        <v>0.67</v>
      </c>
      <c r="G29" s="70" t="n">
        <v>-0.25</v>
      </c>
      <c r="H29" s="58" t="n">
        <f aca="false">'Current Form'!L64</f>
        <v>2.085</v>
      </c>
      <c r="I29" s="71" t="n">
        <v>0.14</v>
      </c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209</v>
      </c>
      <c r="B30" s="69" t="n">
        <f aca="false">'SG OTT'!Q65</f>
        <v>0.631428571428572</v>
      </c>
      <c r="C30" s="70" t="n">
        <f aca="false">Class!Q65</f>
        <v>1.95857142857143</v>
      </c>
      <c r="D30" s="70" t="n">
        <f aca="false">'SG APP'!Q65</f>
        <v>0.475714285714286</v>
      </c>
      <c r="E30" s="70" t="n">
        <f aca="false">'SG PUTT'!Q65</f>
        <v>0.512857142857143</v>
      </c>
      <c r="F30" s="70" t="n">
        <f aca="false">'SG ARG'!Q65</f>
        <v>0.42</v>
      </c>
      <c r="G30" s="70" t="n">
        <v>-0.29</v>
      </c>
      <c r="H30" s="58" t="n">
        <f aca="false">'Current Form'!L65</f>
        <v>2.1675</v>
      </c>
      <c r="I30" s="71" t="n">
        <v>0.14</v>
      </c>
      <c r="J30" s="22" t="s">
        <v>467</v>
      </c>
      <c r="K30" s="22" t="s">
        <v>468</v>
      </c>
    </row>
    <row r="31" customFormat="false" ht="15.75" hidden="false" customHeight="true" outlineLevel="0" collapsed="false">
      <c r="A31" s="59" t="s">
        <v>211</v>
      </c>
      <c r="B31" s="69" t="n">
        <f aca="false">'SG OTT'!Q67</f>
        <v>-0.3</v>
      </c>
      <c r="C31" s="70" t="n">
        <f aca="false">Class!Q67</f>
        <v>0.024</v>
      </c>
      <c r="D31" s="70" t="n">
        <f aca="false">'SG APP'!Q67</f>
        <v>-0.136</v>
      </c>
      <c r="E31" s="70" t="n">
        <f aca="false">'SG PUTT'!Q67</f>
        <v>-0.314</v>
      </c>
      <c r="F31" s="70" t="n">
        <f aca="false">'SG ARG'!Q67</f>
        <v>-0.198</v>
      </c>
      <c r="G31" s="70" t="n">
        <v>0.21</v>
      </c>
      <c r="H31" s="58" t="n">
        <f aca="false">'Current Form'!L67</f>
        <v>-0.85</v>
      </c>
      <c r="I31" s="71" t="n">
        <v>0.19</v>
      </c>
      <c r="J31" s="22" t="s">
        <v>467</v>
      </c>
      <c r="K31" s="22" t="s">
        <v>468</v>
      </c>
    </row>
    <row r="32" customFormat="false" ht="15.75" hidden="false" customHeight="true" outlineLevel="0" collapsed="false">
      <c r="A32" s="59" t="s">
        <v>213</v>
      </c>
      <c r="B32" s="69" t="n">
        <f aca="false">'SG OTT'!Q69</f>
        <v>0.451428571428571</v>
      </c>
      <c r="C32" s="70" t="n">
        <f aca="false">Class!Q69</f>
        <v>0.701428571428571</v>
      </c>
      <c r="D32" s="70" t="n">
        <f aca="false">'SG APP'!Q69</f>
        <v>0.507142857142857</v>
      </c>
      <c r="E32" s="70" t="n">
        <f aca="false">'SG PUTT'!Q69</f>
        <v>0.225714285714286</v>
      </c>
      <c r="F32" s="70" t="n">
        <f aca="false">'SG ARG'!Q69</f>
        <v>-0.0857142857142857</v>
      </c>
      <c r="G32" s="70" t="n">
        <v>0.12</v>
      </c>
      <c r="H32" s="58" t="n">
        <f aca="false">'Current Form'!L69</f>
        <v>1.585</v>
      </c>
      <c r="I32" s="71" t="n">
        <v>0.07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9" t="s">
        <v>214</v>
      </c>
      <c r="B33" s="69" t="n">
        <f aca="false">'SG OTT'!Q70</f>
        <v>-0.201666666666667</v>
      </c>
      <c r="C33" s="70" t="n">
        <f aca="false">Class!Q70</f>
        <v>0.00833333333333333</v>
      </c>
      <c r="D33" s="70" t="n">
        <f aca="false">'SG APP'!Q70</f>
        <v>-0.491666666666667</v>
      </c>
      <c r="E33" s="70" t="n">
        <f aca="false">'SG PUTT'!Q70</f>
        <v>-0.423333333333333</v>
      </c>
      <c r="F33" s="70" t="n">
        <f aca="false">'SG ARG'!Q70</f>
        <v>0.251666666666667</v>
      </c>
      <c r="G33" s="70" t="n">
        <v>0.23</v>
      </c>
      <c r="H33" s="58" t="n">
        <f aca="false">'Current Form'!L70</f>
        <v>-0.25</v>
      </c>
      <c r="I33" s="71" t="n">
        <v>-0.01</v>
      </c>
      <c r="J33" s="22" t="s">
        <v>467</v>
      </c>
      <c r="K33" s="22" t="s">
        <v>468</v>
      </c>
    </row>
    <row r="34" customFormat="false" ht="15.75" hidden="false" customHeight="true" outlineLevel="0" collapsed="false">
      <c r="A34" s="59" t="s">
        <v>217</v>
      </c>
      <c r="B34" s="69" t="n">
        <f aca="false">'SG OTT'!Q73</f>
        <v>0.34</v>
      </c>
      <c r="C34" s="70" t="n">
        <f aca="false">Class!Q73</f>
        <v>0.782222222222222</v>
      </c>
      <c r="D34" s="70" t="n">
        <f aca="false">'SG APP'!Q73</f>
        <v>0.258888888888889</v>
      </c>
      <c r="E34" s="70" t="n">
        <f aca="false">'SG PUTT'!Q73</f>
        <v>0.45</v>
      </c>
      <c r="F34" s="70" t="n">
        <f aca="false">'SG ARG'!Q73</f>
        <v>-0.0144444444444445</v>
      </c>
      <c r="G34" s="70" t="n">
        <v>-0.13</v>
      </c>
      <c r="H34" s="58" t="n">
        <f aca="false">'Current Form'!L73</f>
        <v>1.238</v>
      </c>
      <c r="I34" s="71" t="n">
        <v>-0.03</v>
      </c>
      <c r="J34" s="22" t="s">
        <v>467</v>
      </c>
      <c r="K34" s="22" t="s">
        <v>468</v>
      </c>
    </row>
    <row r="35" customFormat="false" ht="15.75" hidden="false" customHeight="true" outlineLevel="0" collapsed="false">
      <c r="A35" s="59" t="s">
        <v>218</v>
      </c>
      <c r="B35" s="69" t="n">
        <f aca="false">'SG OTT'!Q74</f>
        <v>0.584285714285714</v>
      </c>
      <c r="C35" s="70" t="n">
        <f aca="false">Class!Q74</f>
        <v>0.555714285714286</v>
      </c>
      <c r="D35" s="70" t="n">
        <f aca="false">'SG APP'!Q74</f>
        <v>0.164285714285714</v>
      </c>
      <c r="E35" s="70" t="n">
        <f aca="false">'SG PUTT'!Q74</f>
        <v>0.0385714285714286</v>
      </c>
      <c r="F35" s="70" t="n">
        <f aca="false">'SG ARG'!Q74</f>
        <v>0.197142857142857</v>
      </c>
      <c r="G35" s="70" t="n">
        <v>-0.12</v>
      </c>
      <c r="H35" s="58" t="n">
        <f aca="false">'Current Form'!L74</f>
        <v>1.27</v>
      </c>
      <c r="I35" s="71" t="n">
        <v>0.01</v>
      </c>
      <c r="J35" s="22" t="s">
        <v>467</v>
      </c>
      <c r="K35" s="22" t="s">
        <v>468</v>
      </c>
    </row>
    <row r="36" customFormat="false" ht="15.75" hidden="false" customHeight="true" outlineLevel="0" collapsed="false">
      <c r="A36" s="59" t="s">
        <v>223</v>
      </c>
      <c r="B36" s="69" t="n">
        <f aca="false">'SG OTT'!Q79</f>
        <v>0.79625</v>
      </c>
      <c r="C36" s="70" t="n">
        <f aca="false">Class!Q79</f>
        <v>1.08</v>
      </c>
      <c r="D36" s="70" t="n">
        <f aca="false">'SG APP'!Q79</f>
        <v>0.4575</v>
      </c>
      <c r="E36" s="70" t="n">
        <f aca="false">'SG PUTT'!Q79</f>
        <v>0.5575</v>
      </c>
      <c r="F36" s="70" t="n">
        <f aca="false">'SG ARG'!Q79</f>
        <v>-0.16875</v>
      </c>
      <c r="G36" s="70" t="n">
        <v>0.12</v>
      </c>
      <c r="H36" s="58" t="n">
        <f aca="false">'Current Form'!L79</f>
        <v>1.454</v>
      </c>
      <c r="I36" s="71" t="n">
        <v>0.02</v>
      </c>
      <c r="J36" s="22" t="s">
        <v>467</v>
      </c>
      <c r="K36" s="22" t="s">
        <v>468</v>
      </c>
    </row>
    <row r="37" customFormat="false" ht="15.75" hidden="false" customHeight="true" outlineLevel="0" collapsed="false">
      <c r="A37" s="59" t="s">
        <v>224</v>
      </c>
      <c r="B37" s="69" t="n">
        <f aca="false">'SG OTT'!Q80</f>
        <v>0.244545454545455</v>
      </c>
      <c r="C37" s="70" t="n">
        <f aca="false">Class!Q80</f>
        <v>0.251818181818182</v>
      </c>
      <c r="D37" s="70" t="n">
        <f aca="false">'SG APP'!Q80</f>
        <v>-0.648181818181818</v>
      </c>
      <c r="E37" s="70" t="n">
        <f aca="false">'SG PUTT'!Q80</f>
        <v>0.283636363636364</v>
      </c>
      <c r="F37" s="70" t="n">
        <f aca="false">'SG ARG'!Q80</f>
        <v>0.0309090909090909</v>
      </c>
      <c r="G37" s="70" t="n">
        <v>0.1</v>
      </c>
      <c r="H37" s="58" t="n">
        <f aca="false">'Current Form'!L80</f>
        <v>-0.143333333333333</v>
      </c>
      <c r="I37" s="71" t="n">
        <v>0.01</v>
      </c>
      <c r="J37" s="22" t="s">
        <v>467</v>
      </c>
      <c r="K37" s="22" t="s">
        <v>468</v>
      </c>
    </row>
    <row r="38" customFormat="false" ht="15.75" hidden="false" customHeight="true" outlineLevel="0" collapsed="false">
      <c r="A38" s="59" t="s">
        <v>228</v>
      </c>
      <c r="B38" s="69" t="n">
        <f aca="false">'SG OTT'!Q84</f>
        <v>-0.038</v>
      </c>
      <c r="C38" s="70" t="n">
        <f aca="false">Class!Q84</f>
        <v>0.016</v>
      </c>
      <c r="D38" s="70" t="n">
        <f aca="false">'SG APP'!Q84</f>
        <v>-0.866</v>
      </c>
      <c r="E38" s="70" t="n">
        <f aca="false">'SG PUTT'!Q84</f>
        <v>-0.226</v>
      </c>
      <c r="F38" s="70" t="n">
        <f aca="false">'SG ARG'!Q84</f>
        <v>0.094</v>
      </c>
      <c r="G38" s="70" t="n">
        <v>-0.02</v>
      </c>
      <c r="H38" s="58" t="n">
        <f aca="false">'Current Form'!L84</f>
        <v>-0.71</v>
      </c>
      <c r="I38" s="71" t="n">
        <v>-0.02</v>
      </c>
      <c r="J38" s="22" t="s">
        <v>467</v>
      </c>
      <c r="K38" s="22" t="s">
        <v>468</v>
      </c>
    </row>
    <row r="39" customFormat="false" ht="15.75" hidden="false" customHeight="true" outlineLevel="0" collapsed="false">
      <c r="A39" s="59" t="s">
        <v>229</v>
      </c>
      <c r="B39" s="69" t="n">
        <f aca="false">'SG OTT'!Q85</f>
        <v>0.44</v>
      </c>
      <c r="C39" s="70" t="n">
        <f aca="false">Class!Q85</f>
        <v>0</v>
      </c>
      <c r="D39" s="70" t="n">
        <f aca="false">'SG APP'!Q85</f>
        <v>-0.597142857142857</v>
      </c>
      <c r="E39" s="70" t="n">
        <f aca="false">'SG PUTT'!Q85</f>
        <v>-0.951666666666667</v>
      </c>
      <c r="F39" s="70" t="n">
        <f aca="false">'SG ARG'!Q85</f>
        <v>-0.327142857142857</v>
      </c>
      <c r="G39" s="70" t="n">
        <v>-0.08</v>
      </c>
      <c r="H39" s="58" t="n">
        <f aca="false">'Current Form'!L85</f>
        <v>-1.12666666666667</v>
      </c>
      <c r="I39" s="71" t="n">
        <v>0</v>
      </c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233</v>
      </c>
      <c r="B40" s="69" t="n">
        <f aca="false">'SG OTT'!Q89</f>
        <v>-0.512</v>
      </c>
      <c r="C40" s="70" t="n">
        <f aca="false">Class!Q89</f>
        <v>0.306</v>
      </c>
      <c r="D40" s="70" t="n">
        <f aca="false">'SG APP'!Q89</f>
        <v>0.1</v>
      </c>
      <c r="E40" s="70" t="n">
        <f aca="false">'SG PUTT'!Q89</f>
        <v>-0.032</v>
      </c>
      <c r="F40" s="70" t="n">
        <f aca="false">'SG ARG'!Q89</f>
        <v>0.411</v>
      </c>
      <c r="G40" s="70" t="n">
        <v>-0.04</v>
      </c>
      <c r="H40" s="58" t="n">
        <f aca="false">'Current Form'!L89</f>
        <v>-0.156666666666667</v>
      </c>
      <c r="I40" s="71" t="n">
        <v>0.03</v>
      </c>
      <c r="J40" s="22" t="s">
        <v>467</v>
      </c>
      <c r="K40" s="22" t="s">
        <v>468</v>
      </c>
    </row>
    <row r="41" customFormat="false" ht="15.75" hidden="false" customHeight="true" outlineLevel="0" collapsed="false">
      <c r="A41" s="59" t="s">
        <v>235</v>
      </c>
      <c r="B41" s="69" t="n">
        <f aca="false">'SG OTT'!Q91</f>
        <v>-0.117777777777778</v>
      </c>
      <c r="C41" s="70" t="n">
        <f aca="false">Class!Q91</f>
        <v>0.322222222222222</v>
      </c>
      <c r="D41" s="70" t="n">
        <f aca="false">'SG APP'!Q91</f>
        <v>0.263333333333333</v>
      </c>
      <c r="E41" s="70" t="n">
        <f aca="false">'SG PUTT'!Q91</f>
        <v>0.431111111111111</v>
      </c>
      <c r="F41" s="70" t="n">
        <f aca="false">'SG ARG'!Q91</f>
        <v>0.0588888888888889</v>
      </c>
      <c r="G41" s="70" t="n">
        <v>-0.2</v>
      </c>
      <c r="H41" s="58" t="n">
        <f aca="false">'Current Form'!L91</f>
        <v>0.586</v>
      </c>
      <c r="I41" s="71" t="n">
        <v>0.04</v>
      </c>
      <c r="J41" s="22" t="s">
        <v>467</v>
      </c>
      <c r="K41" s="22" t="s">
        <v>468</v>
      </c>
    </row>
    <row r="42" customFormat="false" ht="15.75" hidden="false" customHeight="true" outlineLevel="0" collapsed="false">
      <c r="A42" s="59" t="s">
        <v>236</v>
      </c>
      <c r="B42" s="69" t="n">
        <f aca="false">'SG OTT'!Q92</f>
        <v>-0.746666666666667</v>
      </c>
      <c r="C42" s="70" t="n">
        <f aca="false">Class!Q92</f>
        <v>0</v>
      </c>
      <c r="D42" s="70" t="n">
        <f aca="false">'SG APP'!Q92</f>
        <v>-0.00333333333333333</v>
      </c>
      <c r="E42" s="70" t="n">
        <f aca="false">'SG PUTT'!Q92</f>
        <v>-1.08333333333333</v>
      </c>
      <c r="F42" s="70" t="n">
        <f aca="false">'SG ARG'!Q92</f>
        <v>0.33</v>
      </c>
      <c r="G42" s="70" t="n">
        <v>0.07</v>
      </c>
      <c r="H42" s="58" t="n">
        <f aca="false">'Current Form'!L92</f>
        <v>-2.65</v>
      </c>
      <c r="I42" s="71" t="n">
        <v>0.12</v>
      </c>
      <c r="J42" s="22" t="s">
        <v>467</v>
      </c>
      <c r="K42" s="22" t="s">
        <v>468</v>
      </c>
    </row>
    <row r="43" customFormat="false" ht="15.75" hidden="false" customHeight="true" outlineLevel="0" collapsed="false">
      <c r="A43" s="59" t="s">
        <v>238</v>
      </c>
      <c r="B43" s="69" t="n">
        <f aca="false">'SG OTT'!Q94</f>
        <v>0.185</v>
      </c>
      <c r="C43" s="70" t="n">
        <f aca="false">Class!Q94</f>
        <v>2.025</v>
      </c>
      <c r="D43" s="70" t="n">
        <f aca="false">'SG APP'!Q94</f>
        <v>0.85</v>
      </c>
      <c r="E43" s="70" t="n">
        <f aca="false">'SG PUTT'!Q94</f>
        <v>0.505</v>
      </c>
      <c r="F43" s="70" t="n">
        <f aca="false">'SG ARG'!Q94</f>
        <v>0.49</v>
      </c>
      <c r="G43" s="70" t="n">
        <v>-0.02</v>
      </c>
      <c r="H43" s="58" t="e">
        <f aca="false">'Current Form'!L94</f>
        <v>#VALUE!</v>
      </c>
      <c r="I43" s="71" t="n">
        <v>0.08</v>
      </c>
      <c r="J43" s="22" t="s">
        <v>467</v>
      </c>
      <c r="K43" s="22" t="s">
        <v>468</v>
      </c>
    </row>
    <row r="44" customFormat="false" ht="15.75" hidden="false" customHeight="true" outlineLevel="0" collapsed="false">
      <c r="A44" s="59" t="s">
        <v>240</v>
      </c>
      <c r="B44" s="69" t="n">
        <f aca="false">'SG OTT'!Q96</f>
        <v>0.311428571428571</v>
      </c>
      <c r="C44" s="70" t="n">
        <f aca="false">Class!Q96</f>
        <v>0.0357142857142857</v>
      </c>
      <c r="D44" s="70" t="n">
        <f aca="false">'SG APP'!Q96</f>
        <v>-0.331428571428571</v>
      </c>
      <c r="E44" s="70" t="n">
        <f aca="false">'SG PUTT'!Q96</f>
        <v>-0.191428571428571</v>
      </c>
      <c r="F44" s="70" t="n">
        <f aca="false">'SG ARG'!Q96</f>
        <v>-0.447142857142857</v>
      </c>
      <c r="G44" s="70" t="n">
        <v>-0.06</v>
      </c>
      <c r="H44" s="58" t="n">
        <f aca="false">'Current Form'!L96</f>
        <v>0.2</v>
      </c>
      <c r="I44" s="71" t="n">
        <v>-0.05</v>
      </c>
      <c r="J44" s="22" t="s">
        <v>467</v>
      </c>
      <c r="K44" s="22" t="s">
        <v>468</v>
      </c>
    </row>
    <row r="45" customFormat="false" ht="15.75" hidden="false" customHeight="true" outlineLevel="0" collapsed="false">
      <c r="A45" s="59" t="s">
        <v>243</v>
      </c>
      <c r="B45" s="69" t="n">
        <f aca="false">'SG OTT'!Q99</f>
        <v>-0.234444444444444</v>
      </c>
      <c r="C45" s="70" t="n">
        <f aca="false">Class!Q99</f>
        <v>0.0388888888888889</v>
      </c>
      <c r="D45" s="70" t="n">
        <f aca="false">'SG APP'!Q99</f>
        <v>-0.447777777777778</v>
      </c>
      <c r="E45" s="70" t="n">
        <f aca="false">'SG PUTT'!Q99</f>
        <v>-0.367777777777778</v>
      </c>
      <c r="F45" s="70" t="n">
        <f aca="false">'SG ARG'!Q99</f>
        <v>-0.0877777777777778</v>
      </c>
      <c r="G45" s="70" t="n">
        <v>0.12</v>
      </c>
      <c r="H45" s="58" t="n">
        <f aca="false">'Current Form'!L99</f>
        <v>-0.536</v>
      </c>
      <c r="I45" s="71" t="n">
        <v>-0.06</v>
      </c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244</v>
      </c>
      <c r="B46" s="69" t="n">
        <f aca="false">'SG OTT'!Q100</f>
        <v>-0.1225</v>
      </c>
      <c r="C46" s="70" t="n">
        <f aca="false">Class!Q100</f>
        <v>0.3025</v>
      </c>
      <c r="D46" s="70" t="n">
        <f aca="false">'SG APP'!Q100</f>
        <v>0.11</v>
      </c>
      <c r="E46" s="70" t="n">
        <f aca="false">'SG PUTT'!Q100</f>
        <v>0.5725</v>
      </c>
      <c r="F46" s="70" t="n">
        <f aca="false">'SG ARG'!Q100</f>
        <v>-0.075</v>
      </c>
      <c r="G46" s="70" t="n">
        <v>-0.01</v>
      </c>
      <c r="H46" s="58" t="n">
        <f aca="false">'Current Form'!L100</f>
        <v>0.585</v>
      </c>
      <c r="I46" s="71" t="n">
        <v>0.07</v>
      </c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245</v>
      </c>
      <c r="B47" s="69" t="n">
        <f aca="false">'SG OTT'!Q101</f>
        <v>0.66</v>
      </c>
      <c r="C47" s="70" t="n">
        <f aca="false">Class!Q101</f>
        <v>0.147142857142857</v>
      </c>
      <c r="D47" s="70" t="n">
        <f aca="false">'SG APP'!Q101</f>
        <v>-0.00571428571428572</v>
      </c>
      <c r="E47" s="70" t="n">
        <f aca="false">'SG PUTT'!Q101</f>
        <v>-0.935714285714286</v>
      </c>
      <c r="F47" s="70" t="n">
        <f aca="false">'SG ARG'!Q101</f>
        <v>-0.425714285714286</v>
      </c>
      <c r="G47" s="70" t="n">
        <v>0.01</v>
      </c>
      <c r="H47" s="58" t="n">
        <f aca="false">'Current Form'!L101</f>
        <v>-0.923333333333333</v>
      </c>
      <c r="I47" s="71" t="n">
        <v>0.04</v>
      </c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250</v>
      </c>
      <c r="B48" s="69" t="n">
        <f aca="false">'SG OTT'!Q106</f>
        <v>-0.00500000000000001</v>
      </c>
      <c r="C48" s="70" t="n">
        <f aca="false">Class!Q106</f>
        <v>0</v>
      </c>
      <c r="D48" s="70" t="n">
        <f aca="false">'SG APP'!Q106</f>
        <v>-0.6</v>
      </c>
      <c r="E48" s="70" t="n">
        <f aca="false">'SG PUTT'!Q106</f>
        <v>-0.635</v>
      </c>
      <c r="F48" s="70" t="n">
        <f aca="false">'SG ARG'!Q106</f>
        <v>-0.4925</v>
      </c>
      <c r="G48" s="70" t="n">
        <v>0.18</v>
      </c>
      <c r="H48" s="58" t="n">
        <f aca="false">'Current Form'!L106</f>
        <v>-2.44</v>
      </c>
      <c r="I48" s="71" t="n">
        <v>0.01</v>
      </c>
      <c r="J48" s="22" t="s">
        <v>467</v>
      </c>
      <c r="K48" s="22" t="s">
        <v>468</v>
      </c>
    </row>
    <row r="49" customFormat="false" ht="15.75" hidden="false" customHeight="true" outlineLevel="0" collapsed="false">
      <c r="A49" s="59" t="s">
        <v>252</v>
      </c>
      <c r="B49" s="69" t="n">
        <f aca="false">'SG OTT'!Q108</f>
        <v>0.2225</v>
      </c>
      <c r="C49" s="70" t="n">
        <f aca="false">Class!Q108</f>
        <v>0.32125</v>
      </c>
      <c r="D49" s="70" t="n">
        <f aca="false">'SG APP'!Q108</f>
        <v>0.2675</v>
      </c>
      <c r="E49" s="70" t="n">
        <f aca="false">'SG PUTT'!Q108</f>
        <v>-0.09125</v>
      </c>
      <c r="F49" s="70" t="n">
        <f aca="false">'SG ARG'!Q108</f>
        <v>0.125</v>
      </c>
      <c r="G49" s="70" t="n">
        <v>0.19</v>
      </c>
      <c r="H49" s="58" t="n">
        <f aca="false">'Current Form'!L108</f>
        <v>-0.498</v>
      </c>
      <c r="I49" s="71" t="n">
        <v>0.11</v>
      </c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253</v>
      </c>
      <c r="B50" s="69" t="n">
        <f aca="false">'SG OTT'!Q109</f>
        <v>0.185714285714286</v>
      </c>
      <c r="C50" s="70" t="n">
        <f aca="false">Class!Q109</f>
        <v>0.124285714285714</v>
      </c>
      <c r="D50" s="70" t="n">
        <f aca="false">'SG APP'!Q109</f>
        <v>-0.307142857142857</v>
      </c>
      <c r="E50" s="70" t="n">
        <f aca="false">'SG PUTT'!Q109</f>
        <v>0.0957142857142857</v>
      </c>
      <c r="F50" s="70" t="n">
        <f aca="false">'SG ARG'!Q109</f>
        <v>0.00142857142857143</v>
      </c>
      <c r="G50" s="70" t="n">
        <v>0.26</v>
      </c>
      <c r="H50" s="58" t="n">
        <f aca="false">'Current Form'!L109</f>
        <v>0.38</v>
      </c>
      <c r="I50" s="71" t="n">
        <v>0.03</v>
      </c>
      <c r="J50" s="22" t="s">
        <v>467</v>
      </c>
      <c r="K50" s="22" t="s">
        <v>468</v>
      </c>
    </row>
    <row r="51" customFormat="false" ht="15.75" hidden="false" customHeight="true" outlineLevel="0" collapsed="false">
      <c r="A51" s="59" t="s">
        <v>255</v>
      </c>
      <c r="B51" s="69" t="n">
        <f aca="false">'SG OTT'!Q111</f>
        <v>-0.041</v>
      </c>
      <c r="C51" s="70" t="n">
        <f aca="false">Class!Q111</f>
        <v>0.201</v>
      </c>
      <c r="D51" s="70" t="n">
        <f aca="false">'SG APP'!Q111</f>
        <v>0.403</v>
      </c>
      <c r="E51" s="70" t="n">
        <f aca="false">'SG PUTT'!Q111</f>
        <v>-0.032</v>
      </c>
      <c r="F51" s="70" t="n">
        <f aca="false">'SG ARG'!Q111</f>
        <v>-0.271</v>
      </c>
      <c r="G51" s="70" t="n">
        <v>0.03</v>
      </c>
      <c r="H51" s="58" t="n">
        <f aca="false">'Current Form'!L111</f>
        <v>0.491666666666667</v>
      </c>
      <c r="I51" s="71" t="n">
        <v>0.01</v>
      </c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256</v>
      </c>
      <c r="B52" s="69" t="n">
        <f aca="false">'SG OTT'!Q112</f>
        <v>-0.524285714285714</v>
      </c>
      <c r="C52" s="70" t="n">
        <f aca="false">Class!Q112</f>
        <v>0.0185714285714286</v>
      </c>
      <c r="D52" s="70" t="n">
        <f aca="false">'SG APP'!Q112</f>
        <v>-0.591428571428571</v>
      </c>
      <c r="E52" s="70" t="n">
        <f aca="false">'SG PUTT'!Q112</f>
        <v>0.297142857142857</v>
      </c>
      <c r="F52" s="70" t="n">
        <f aca="false">'SG ARG'!Q112</f>
        <v>-0.442857142857143</v>
      </c>
      <c r="G52" s="70" t="n">
        <v>0</v>
      </c>
      <c r="H52" s="58" t="n">
        <f aca="false">'Current Form'!L112</f>
        <v>-1.76666666666667</v>
      </c>
      <c r="I52" s="71" t="n">
        <v>-0.03</v>
      </c>
      <c r="J52" s="22" t="s">
        <v>467</v>
      </c>
      <c r="K52" s="22" t="s">
        <v>468</v>
      </c>
    </row>
    <row r="53" customFormat="false" ht="15.75" hidden="false" customHeight="true" outlineLevel="0" collapsed="false">
      <c r="A53" s="59" t="s">
        <v>258</v>
      </c>
      <c r="B53" s="69" t="n">
        <f aca="false">'SG OTT'!Q114</f>
        <v>0.17</v>
      </c>
      <c r="C53" s="70" t="n">
        <f aca="false">Class!Q114</f>
        <v>1.01</v>
      </c>
      <c r="D53" s="70" t="n">
        <f aca="false">'SG APP'!Q114</f>
        <v>0.853333333333333</v>
      </c>
      <c r="E53" s="70" t="n">
        <f aca="false">'SG PUTT'!Q114</f>
        <v>-0.0266666666666667</v>
      </c>
      <c r="F53" s="70" t="n">
        <f aca="false">'SG ARG'!Q114</f>
        <v>0.168</v>
      </c>
      <c r="G53" s="70" t="n">
        <v>-0.2</v>
      </c>
      <c r="H53" s="58" t="n">
        <f aca="false">'Current Form'!L114</f>
        <v>1.60333333333333</v>
      </c>
      <c r="I53" s="71" t="n">
        <v>0.03</v>
      </c>
      <c r="J53" s="22" t="s">
        <v>467</v>
      </c>
      <c r="K53" s="22" t="s">
        <v>468</v>
      </c>
    </row>
    <row r="54" customFormat="false" ht="15.75" hidden="false" customHeight="true" outlineLevel="0" collapsed="false">
      <c r="A54" s="59" t="s">
        <v>259</v>
      </c>
      <c r="B54" s="69" t="n">
        <f aca="false">'SG OTT'!Q115</f>
        <v>0.02</v>
      </c>
      <c r="C54" s="70" t="n">
        <f aca="false">Class!Q115</f>
        <v>0.11</v>
      </c>
      <c r="D54" s="70" t="n">
        <f aca="false">'SG APP'!Q115</f>
        <v>0.31875</v>
      </c>
      <c r="E54" s="70" t="n">
        <f aca="false">'SG PUTT'!Q115</f>
        <v>-0.75</v>
      </c>
      <c r="F54" s="70" t="n">
        <f aca="false">'SG ARG'!Q115</f>
        <v>0.06125</v>
      </c>
      <c r="G54" s="70" t="n">
        <v>-0.03</v>
      </c>
      <c r="H54" s="58" t="n">
        <f aca="false">'Current Form'!L115</f>
        <v>-1.05</v>
      </c>
      <c r="I54" s="71" t="n">
        <v>-0.05</v>
      </c>
      <c r="J54" s="22" t="s">
        <v>467</v>
      </c>
      <c r="K54" s="22" t="s">
        <v>468</v>
      </c>
    </row>
    <row r="55" customFormat="false" ht="15.75" hidden="false" customHeight="true" outlineLevel="0" collapsed="false">
      <c r="A55" s="59" t="s">
        <v>261</v>
      </c>
      <c r="B55" s="69" t="n">
        <f aca="false">'SG OTT'!Q117</f>
        <v>0.348333333333333</v>
      </c>
      <c r="C55" s="70" t="n">
        <f aca="false">Class!Q117</f>
        <v>0.525</v>
      </c>
      <c r="D55" s="70" t="n">
        <f aca="false">'SG APP'!Q117</f>
        <v>-0.505833333333333</v>
      </c>
      <c r="E55" s="70" t="n">
        <f aca="false">'SG PUTT'!Q117</f>
        <v>0.273333333333333</v>
      </c>
      <c r="F55" s="70" t="n">
        <f aca="false">'SG ARG'!Q117</f>
        <v>0.313333333333333</v>
      </c>
      <c r="G55" s="70" t="n">
        <v>-0.09</v>
      </c>
      <c r="H55" s="58" t="n">
        <f aca="false">'Current Form'!L117</f>
        <v>0.702857142857143</v>
      </c>
      <c r="I55" s="71" t="n">
        <v>0</v>
      </c>
      <c r="J55" s="22" t="s">
        <v>467</v>
      </c>
      <c r="K55" s="22" t="s">
        <v>468</v>
      </c>
    </row>
    <row r="56" customFormat="false" ht="15.75" hidden="false" customHeight="true" outlineLevel="0" collapsed="false">
      <c r="A56" s="59" t="s">
        <v>263</v>
      </c>
      <c r="B56" s="69" t="n">
        <f aca="false">'SG OTT'!Q119</f>
        <v>-0.474285714285714</v>
      </c>
      <c r="C56" s="70" t="n">
        <f aca="false">Class!Q119</f>
        <v>0.0257142857142857</v>
      </c>
      <c r="D56" s="70" t="n">
        <f aca="false">'SG APP'!Q119</f>
        <v>-1.31857142857143</v>
      </c>
      <c r="E56" s="70" t="n">
        <f aca="false">'SG PUTT'!Q119</f>
        <v>-0.181428571428571</v>
      </c>
      <c r="F56" s="70" t="n">
        <f aca="false">'SG ARG'!Q119</f>
        <v>-0.23</v>
      </c>
      <c r="G56" s="70" t="n">
        <v>0.05</v>
      </c>
      <c r="H56" s="58" t="n">
        <f aca="false">'Current Form'!L119</f>
        <v>-1.02666666666667</v>
      </c>
      <c r="I56" s="71" t="n">
        <v>0.05</v>
      </c>
      <c r="J56" s="22" t="s">
        <v>467</v>
      </c>
      <c r="K56" s="22" t="s">
        <v>468</v>
      </c>
    </row>
    <row r="57" customFormat="false" ht="15.75" hidden="false" customHeight="true" outlineLevel="0" collapsed="false">
      <c r="A57" s="59" t="s">
        <v>265</v>
      </c>
      <c r="B57" s="69" t="n">
        <f aca="false">'SG OTT'!Q121</f>
        <v>0.08875</v>
      </c>
      <c r="C57" s="70" t="n">
        <f aca="false">Class!Q121</f>
        <v>0.19125</v>
      </c>
      <c r="D57" s="70" t="n">
        <f aca="false">'SG APP'!Q121</f>
        <v>0.36125</v>
      </c>
      <c r="E57" s="70" t="n">
        <f aca="false">'SG PUTT'!Q121</f>
        <v>-0.44875</v>
      </c>
      <c r="F57" s="70" t="n">
        <f aca="false">'SG ARG'!Q121</f>
        <v>-0.0375</v>
      </c>
      <c r="G57" s="70" t="n">
        <v>-0.12</v>
      </c>
      <c r="H57" s="58" t="n">
        <f aca="false">'Current Form'!L121</f>
        <v>0.0925</v>
      </c>
      <c r="I57" s="71" t="n">
        <v>-0.04</v>
      </c>
      <c r="J57" s="22" t="s">
        <v>467</v>
      </c>
      <c r="K57" s="22" t="s">
        <v>468</v>
      </c>
    </row>
    <row r="58" customFormat="false" ht="15.75" hidden="false" customHeight="true" outlineLevel="0" collapsed="false">
      <c r="A58" s="59" t="s">
        <v>268</v>
      </c>
      <c r="B58" s="69" t="n">
        <f aca="false">'SG OTT'!Q124</f>
        <v>-0.622857142857143</v>
      </c>
      <c r="C58" s="70" t="n">
        <f aca="false">Class!Q124</f>
        <v>0</v>
      </c>
      <c r="D58" s="70" t="n">
        <f aca="false">'SG APP'!Q124</f>
        <v>-0.79</v>
      </c>
      <c r="E58" s="70" t="n">
        <f aca="false">'SG PUTT'!Q124</f>
        <v>-0.33</v>
      </c>
      <c r="F58" s="70" t="n">
        <f aca="false">'SG ARG'!Q124</f>
        <v>-0.43</v>
      </c>
      <c r="G58" s="70" t="n">
        <v>0.28</v>
      </c>
      <c r="H58" s="58" t="n">
        <f aca="false">'Current Form'!L124</f>
        <v>-1.24333333333333</v>
      </c>
      <c r="I58" s="71" t="n">
        <v>-0.04</v>
      </c>
      <c r="J58" s="22" t="s">
        <v>467</v>
      </c>
      <c r="K58" s="22" t="s">
        <v>468</v>
      </c>
    </row>
    <row r="59" customFormat="false" ht="15.75" hidden="false" customHeight="true" outlineLevel="0" collapsed="false">
      <c r="A59" s="59" t="s">
        <v>270</v>
      </c>
      <c r="B59" s="69" t="n">
        <f aca="false">'SG OTT'!Q126</f>
        <v>-0.24</v>
      </c>
      <c r="C59" s="70" t="n">
        <f aca="false">Class!Q126</f>
        <v>0.352857142857143</v>
      </c>
      <c r="D59" s="70" t="n">
        <f aca="false">'SG APP'!Q126</f>
        <v>0.392857142857143</v>
      </c>
      <c r="E59" s="70" t="n">
        <f aca="false">'SG PUTT'!Q126</f>
        <v>-0.244285714285714</v>
      </c>
      <c r="F59" s="70" t="n">
        <f aca="false">'SG ARG'!Q126</f>
        <v>-0.0542857142857143</v>
      </c>
      <c r="G59" s="70" t="n">
        <v>-0.33</v>
      </c>
      <c r="H59" s="58" t="n">
        <f aca="false">'Current Form'!L126</f>
        <v>-2.435</v>
      </c>
      <c r="I59" s="71" t="n">
        <v>-0.04</v>
      </c>
      <c r="J59" s="22" t="s">
        <v>467</v>
      </c>
      <c r="K59" s="22" t="s">
        <v>468</v>
      </c>
    </row>
    <row r="60" customFormat="false" ht="15.75" hidden="false" customHeight="true" outlineLevel="0" collapsed="false">
      <c r="A60" s="59" t="s">
        <v>272</v>
      </c>
      <c r="B60" s="69" t="n">
        <f aca="false">'SG OTT'!Q128</f>
        <v>-0.07</v>
      </c>
      <c r="C60" s="70" t="n">
        <f aca="false">Class!Q128</f>
        <v>0.0457142857142857</v>
      </c>
      <c r="D60" s="70" t="n">
        <f aca="false">'SG APP'!Q128</f>
        <v>-0.622857142857143</v>
      </c>
      <c r="E60" s="70" t="n">
        <f aca="false">'SG PUTT'!Q128</f>
        <v>-0.407142857142857</v>
      </c>
      <c r="F60" s="70" t="n">
        <f aca="false">'SG ARG'!Q128</f>
        <v>-0.155714285714286</v>
      </c>
      <c r="G60" s="70" t="n">
        <v>0.01</v>
      </c>
      <c r="H60" s="58" t="n">
        <f aca="false">'Current Form'!L128</f>
        <v>-1.45333333333333</v>
      </c>
      <c r="I60" s="71" t="n">
        <v>-0.07</v>
      </c>
      <c r="J60" s="22" t="s">
        <v>467</v>
      </c>
      <c r="K60" s="22" t="s">
        <v>468</v>
      </c>
    </row>
    <row r="61" customFormat="false" ht="15.75" hidden="false" customHeight="true" outlineLevel="0" collapsed="false">
      <c r="A61" s="59" t="s">
        <v>273</v>
      </c>
      <c r="B61" s="69" t="n">
        <f aca="false">'SG OTT'!Q129</f>
        <v>0.408</v>
      </c>
      <c r="C61" s="70" t="n">
        <f aca="false">Class!Q129</f>
        <v>0.23</v>
      </c>
      <c r="D61" s="70" t="n">
        <f aca="false">'SG APP'!Q129</f>
        <v>0.451</v>
      </c>
      <c r="E61" s="70" t="n">
        <f aca="false">'SG PUTT'!Q129</f>
        <v>-0.041</v>
      </c>
      <c r="F61" s="70" t="n">
        <f aca="false">'SG ARG'!Q129</f>
        <v>-0.24</v>
      </c>
      <c r="G61" s="70" t="n">
        <v>0.12</v>
      </c>
      <c r="H61" s="58" t="n">
        <f aca="false">'Current Form'!L129</f>
        <v>-0.00999999999999997</v>
      </c>
      <c r="I61" s="71" t="n">
        <v>-0.04</v>
      </c>
      <c r="J61" s="22" t="s">
        <v>467</v>
      </c>
      <c r="K61" s="22" t="s">
        <v>468</v>
      </c>
    </row>
    <row r="62" customFormat="false" ht="15.75" hidden="false" customHeight="true" outlineLevel="0" collapsed="false">
      <c r="A62" s="59" t="s">
        <v>275</v>
      </c>
      <c r="B62" s="69" t="n">
        <f aca="false">'SG OTT'!Q131</f>
        <v>-0.136363636363636</v>
      </c>
      <c r="C62" s="70" t="n">
        <f aca="false">Class!Q131</f>
        <v>0.367272727272727</v>
      </c>
      <c r="D62" s="70" t="n">
        <f aca="false">'SG APP'!Q131</f>
        <v>0.304545454545455</v>
      </c>
      <c r="E62" s="70" t="n">
        <f aca="false">'SG PUTT'!Q131</f>
        <v>0.311818181818182</v>
      </c>
      <c r="F62" s="70" t="n">
        <f aca="false">'SG ARG'!Q131</f>
        <v>0.0472727272727273</v>
      </c>
      <c r="G62" s="70" t="n">
        <v>-0.02</v>
      </c>
      <c r="H62" s="58" t="n">
        <f aca="false">'Current Form'!L131</f>
        <v>0.278571428571429</v>
      </c>
      <c r="I62" s="71" t="n">
        <v>0</v>
      </c>
      <c r="J62" s="22" t="s">
        <v>467</v>
      </c>
      <c r="K62" s="22" t="s">
        <v>468</v>
      </c>
    </row>
    <row r="63" customFormat="false" ht="15.75" hidden="false" customHeight="true" outlineLevel="0" collapsed="false">
      <c r="A63" s="59" t="s">
        <v>277</v>
      </c>
      <c r="B63" s="69" t="n">
        <f aca="false">'SG OTT'!Q133</f>
        <v>0.33375</v>
      </c>
      <c r="C63" s="70" t="n">
        <f aca="false">Class!Q133</f>
        <v>1.575</v>
      </c>
      <c r="D63" s="70" t="n">
        <f aca="false">'SG APP'!Q133</f>
        <v>0.83</v>
      </c>
      <c r="E63" s="70" t="n">
        <f aca="false">'SG PUTT'!Q133</f>
        <v>-0.03375</v>
      </c>
      <c r="F63" s="70" t="n">
        <f aca="false">'SG ARG'!Q133</f>
        <v>0.375</v>
      </c>
      <c r="G63" s="70" t="n">
        <v>-0.29</v>
      </c>
      <c r="H63" s="58" t="n">
        <f aca="false">'Current Form'!L133</f>
        <v>1.5025</v>
      </c>
      <c r="I63" s="71" t="n">
        <v>0.02</v>
      </c>
      <c r="J63" s="22" t="s">
        <v>467</v>
      </c>
      <c r="K63" s="22" t="s">
        <v>468</v>
      </c>
    </row>
    <row r="64" customFormat="false" ht="15.75" hidden="false" customHeight="true" outlineLevel="0" collapsed="false">
      <c r="A64" s="59" t="s">
        <v>13</v>
      </c>
      <c r="B64" s="69" t="n">
        <f aca="false">'SG OTT'!Q134</f>
        <v>0.03875</v>
      </c>
      <c r="C64" s="70" t="n">
        <f aca="false">Class!Q134</f>
        <v>1.9375</v>
      </c>
      <c r="D64" s="70" t="n">
        <f aca="false">'SG APP'!Q134</f>
        <v>1.18875</v>
      </c>
      <c r="E64" s="70" t="n">
        <f aca="false">'SG PUTT'!Q134</f>
        <v>0.1275</v>
      </c>
      <c r="F64" s="70" t="n">
        <f aca="false">'SG ARG'!Q134</f>
        <v>0.1525</v>
      </c>
      <c r="G64" s="70" t="n">
        <v>-0.16</v>
      </c>
      <c r="H64" s="58" t="n">
        <f aca="false">'Current Form'!L134</f>
        <v>1.832</v>
      </c>
      <c r="I64" s="71" t="n">
        <v>0.15</v>
      </c>
      <c r="J64" s="22" t="s">
        <v>467</v>
      </c>
      <c r="K64" s="22" t="s">
        <v>468</v>
      </c>
    </row>
    <row r="65" customFormat="false" ht="15.75" hidden="false" customHeight="true" outlineLevel="0" collapsed="false">
      <c r="A65" s="59" t="s">
        <v>278</v>
      </c>
      <c r="B65" s="69" t="n">
        <f aca="false">'SG OTT'!Q135</f>
        <v>-0.104285714285714</v>
      </c>
      <c r="C65" s="70" t="n">
        <f aca="false">Class!Q135</f>
        <v>0.205714285714286</v>
      </c>
      <c r="D65" s="70" t="n">
        <f aca="false">'SG APP'!Q135</f>
        <v>0.695714285714286</v>
      </c>
      <c r="E65" s="70" t="n">
        <f aca="false">'SG PUTT'!Q135</f>
        <v>-0.584285714285714</v>
      </c>
      <c r="F65" s="70" t="n">
        <f aca="false">'SG ARG'!Q135</f>
        <v>0.107142857142857</v>
      </c>
      <c r="G65" s="70" t="n">
        <v>-0.01</v>
      </c>
      <c r="H65" s="58" t="n">
        <f aca="false">'Current Form'!L135</f>
        <v>-0.1425</v>
      </c>
      <c r="I65" s="71" t="n">
        <v>-0.04</v>
      </c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279</v>
      </c>
      <c r="B66" s="69" t="n">
        <f aca="false">'SG OTT'!Q136</f>
        <v>0.545714285714286</v>
      </c>
      <c r="C66" s="70" t="n">
        <f aca="false">Class!Q136</f>
        <v>0.695714285714286</v>
      </c>
      <c r="D66" s="70" t="n">
        <f aca="false">'SG APP'!Q136</f>
        <v>0.73</v>
      </c>
      <c r="E66" s="70" t="n">
        <f aca="false">'SG PUTT'!Q136</f>
        <v>0.175714285714286</v>
      </c>
      <c r="F66" s="70" t="n">
        <f aca="false">'SG ARG'!Q136</f>
        <v>0.07</v>
      </c>
      <c r="G66" s="70" t="n">
        <v>0</v>
      </c>
      <c r="H66" s="58" t="n">
        <f aca="false">'Current Form'!L136</f>
        <v>1.0525</v>
      </c>
      <c r="I66" s="71" t="n">
        <v>0.12</v>
      </c>
      <c r="J66" s="22" t="s">
        <v>467</v>
      </c>
      <c r="K66" s="22" t="s">
        <v>468</v>
      </c>
    </row>
    <row r="67" customFormat="false" ht="15.75" hidden="false" customHeight="true" outlineLevel="0" collapsed="false">
      <c r="A67" s="59" t="s">
        <v>281</v>
      </c>
      <c r="B67" s="69" t="n">
        <f aca="false">'SG OTT'!Q138</f>
        <v>0.14</v>
      </c>
      <c r="C67" s="70" t="n">
        <f aca="false">Class!Q138</f>
        <v>0</v>
      </c>
      <c r="D67" s="70" t="n">
        <f aca="false">'SG APP'!Q138</f>
        <v>0.295</v>
      </c>
      <c r="E67" s="70" t="n">
        <f aca="false">'SG PUTT'!Q138</f>
        <v>0</v>
      </c>
      <c r="F67" s="70" t="n">
        <f aca="false">'SG ARG'!Q138</f>
        <v>-0.4575</v>
      </c>
      <c r="G67" s="70" t="n">
        <v>0.12</v>
      </c>
      <c r="H67" s="58" t="n">
        <f aca="false">'Current Form'!L138</f>
        <v>-0.3</v>
      </c>
      <c r="I67" s="71" t="n">
        <v>0</v>
      </c>
      <c r="J67" s="22" t="s">
        <v>467</v>
      </c>
      <c r="K67" s="22" t="s">
        <v>468</v>
      </c>
    </row>
    <row r="68" customFormat="false" ht="15.75" hidden="false" customHeight="true" outlineLevel="0" collapsed="false">
      <c r="A68" s="59" t="s">
        <v>283</v>
      </c>
      <c r="B68" s="69" t="n">
        <f aca="false">'SG OTT'!Q140</f>
        <v>0.333333333333333</v>
      </c>
      <c r="C68" s="70" t="n">
        <f aca="false">Class!Q140</f>
        <v>0.245</v>
      </c>
      <c r="D68" s="70" t="n">
        <f aca="false">'SG APP'!Q140</f>
        <v>0.206666666666667</v>
      </c>
      <c r="E68" s="70" t="n">
        <f aca="false">'SG PUTT'!Q140</f>
        <v>-0.155</v>
      </c>
      <c r="F68" s="70" t="n">
        <f aca="false">'SG ARG'!Q140</f>
        <v>0.0966666666666667</v>
      </c>
      <c r="G68" s="70" t="n">
        <v>0.07</v>
      </c>
      <c r="H68" s="58" t="n">
        <f aca="false">'Current Form'!L140</f>
        <v>0.21</v>
      </c>
      <c r="I68" s="71" t="n">
        <v>-0.04</v>
      </c>
      <c r="J68" s="22" t="s">
        <v>467</v>
      </c>
      <c r="K68" s="22" t="s">
        <v>468</v>
      </c>
    </row>
    <row r="69" customFormat="false" ht="15.75" hidden="false" customHeight="true" outlineLevel="0" collapsed="false">
      <c r="A69" s="59" t="s">
        <v>286</v>
      </c>
      <c r="B69" s="69" t="n">
        <f aca="false">'SG OTT'!Q143</f>
        <v>-0.413333333333333</v>
      </c>
      <c r="C69" s="70" t="n">
        <f aca="false">Class!Q143</f>
        <v>0</v>
      </c>
      <c r="D69" s="70" t="n">
        <f aca="false">'SG APP'!Q143</f>
        <v>-0.683333333333333</v>
      </c>
      <c r="E69" s="70" t="n">
        <f aca="false">'SG PUTT'!Q143</f>
        <v>-0.27</v>
      </c>
      <c r="F69" s="70" t="n">
        <f aca="false">'SG ARG'!Q143</f>
        <v>0.00333333333333335</v>
      </c>
      <c r="G69" s="70" t="n">
        <v>-0.03</v>
      </c>
      <c r="H69" s="58" t="n">
        <f aca="false">'Current Form'!L143</f>
        <v>-1.66</v>
      </c>
      <c r="I69" s="71" t="n">
        <v>0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9" t="s">
        <v>288</v>
      </c>
      <c r="B70" s="69" t="n">
        <f aca="false">'SG OTT'!Q145</f>
        <v>0.122</v>
      </c>
      <c r="C70" s="70" t="n">
        <f aca="false">Class!Q145</f>
        <v>0.058</v>
      </c>
      <c r="D70" s="70" t="n">
        <f aca="false">'SG APP'!Q145</f>
        <v>-0.758</v>
      </c>
      <c r="E70" s="70" t="n">
        <f aca="false">'SG PUTT'!Q145</f>
        <v>-0.626</v>
      </c>
      <c r="F70" s="70" t="n">
        <f aca="false">'SG ARG'!Q145</f>
        <v>0.012</v>
      </c>
      <c r="G70" s="70" t="n">
        <v>-0.02</v>
      </c>
      <c r="H70" s="58" t="n">
        <f aca="false">'Current Form'!L145</f>
        <v>-0.92</v>
      </c>
      <c r="I70" s="71" t="n">
        <v>-0.05</v>
      </c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289</v>
      </c>
      <c r="B71" s="69" t="n">
        <f aca="false">'SG OTT'!Q146</f>
        <v>-0.192857142857143</v>
      </c>
      <c r="C71" s="70" t="n">
        <f aca="false">Class!Q146</f>
        <v>0.0857142857142857</v>
      </c>
      <c r="D71" s="70" t="n">
        <f aca="false">'SG APP'!Q146</f>
        <v>-0.52</v>
      </c>
      <c r="E71" s="70" t="n">
        <f aca="false">'SG PUTT'!Q146</f>
        <v>-0.0842857142857143</v>
      </c>
      <c r="F71" s="70" t="n">
        <f aca="false">'SG ARG'!Q146</f>
        <v>-0.154285714285714</v>
      </c>
      <c r="G71" s="70" t="n">
        <v>0.2</v>
      </c>
      <c r="H71" s="58" t="n">
        <f aca="false">'Current Form'!L146</f>
        <v>-0.993333333333333</v>
      </c>
      <c r="I71" s="71" t="n">
        <v>0.07</v>
      </c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293</v>
      </c>
      <c r="B72" s="69" t="n">
        <f aca="false">'SG OTT'!Q150</f>
        <v>-0.35</v>
      </c>
      <c r="C72" s="70" t="n">
        <f aca="false">Class!Q150</f>
        <v>0</v>
      </c>
      <c r="D72" s="70" t="n">
        <f aca="false">'SG APP'!Q150</f>
        <v>-0.87</v>
      </c>
      <c r="E72" s="70" t="n">
        <f aca="false">'SG PUTT'!Q150</f>
        <v>-0.891666666666667</v>
      </c>
      <c r="F72" s="70" t="n">
        <f aca="false">'SG ARG'!Q150</f>
        <v>-0.216666666666667</v>
      </c>
      <c r="G72" s="70" t="n">
        <v>0.09</v>
      </c>
      <c r="H72" s="58" t="n">
        <f aca="false">'Current Form'!L150</f>
        <v>-1.53</v>
      </c>
      <c r="I72" s="71" t="n">
        <v>-0.04</v>
      </c>
      <c r="J72" s="22" t="s">
        <v>467</v>
      </c>
      <c r="K72" s="22" t="s">
        <v>468</v>
      </c>
    </row>
    <row r="73" customFormat="false" ht="15.75" hidden="false" customHeight="true" outlineLevel="0" collapsed="false">
      <c r="A73" s="59" t="s">
        <v>294</v>
      </c>
      <c r="B73" s="69" t="n">
        <f aca="false">'SG OTT'!Q151</f>
        <v>0.00999999999999999</v>
      </c>
      <c r="C73" s="70" t="n">
        <f aca="false">Class!Q151</f>
        <v>0</v>
      </c>
      <c r="D73" s="70" t="n">
        <f aca="false">'SG APP'!Q151</f>
        <v>-0.0483333333333333</v>
      </c>
      <c r="E73" s="70" t="n">
        <f aca="false">'SG PUTT'!Q151</f>
        <v>-1.18166666666667</v>
      </c>
      <c r="F73" s="70" t="n">
        <f aca="false">'SG ARG'!Q151</f>
        <v>-0.383333333333333</v>
      </c>
      <c r="G73" s="70" t="n">
        <v>0</v>
      </c>
      <c r="H73" s="58" t="n">
        <f aca="false">'Current Form'!L151</f>
        <v>-2.105</v>
      </c>
      <c r="I73" s="71" t="n">
        <v>0.04</v>
      </c>
      <c r="J73" s="22" t="s">
        <v>467</v>
      </c>
      <c r="K73" s="22" t="s">
        <v>468</v>
      </c>
    </row>
    <row r="74" customFormat="false" ht="15.75" hidden="false" customHeight="true" outlineLevel="0" collapsed="false">
      <c r="A74" s="59" t="s">
        <v>296</v>
      </c>
      <c r="B74" s="69" t="n">
        <f aca="false">'SG OTT'!Q153</f>
        <v>0.0866666666666667</v>
      </c>
      <c r="C74" s="70" t="n">
        <f aca="false">Class!Q153</f>
        <v>0</v>
      </c>
      <c r="D74" s="70" t="n">
        <f aca="false">'SG APP'!Q153</f>
        <v>-1.79666666666667</v>
      </c>
      <c r="E74" s="70" t="n">
        <f aca="false">'SG PUTT'!Q153</f>
        <v>-0.426666666666667</v>
      </c>
      <c r="F74" s="70" t="n">
        <f aca="false">'SG ARG'!Q153</f>
        <v>0</v>
      </c>
      <c r="G74" s="70" t="n">
        <v>-0.01</v>
      </c>
      <c r="H74" s="58" t="n">
        <f aca="false">'Current Form'!L153</f>
        <v>-1.71</v>
      </c>
      <c r="I74" s="71" t="n">
        <v>0</v>
      </c>
      <c r="J74" s="22" t="s">
        <v>467</v>
      </c>
      <c r="K74" s="22" t="s">
        <v>468</v>
      </c>
    </row>
    <row r="75" customFormat="false" ht="15.75" hidden="false" customHeight="true" outlineLevel="0" collapsed="false">
      <c r="A75" s="59" t="s">
        <v>298</v>
      </c>
      <c r="B75" s="69" t="n">
        <f aca="false">'SG OTT'!Q155</f>
        <v>0.6</v>
      </c>
      <c r="C75" s="70" t="n">
        <f aca="false">Class!Q155</f>
        <v>0.543333333333333</v>
      </c>
      <c r="D75" s="70" t="n">
        <f aca="false">'SG APP'!Q155</f>
        <v>0.286666666666667</v>
      </c>
      <c r="E75" s="70" t="n">
        <f aca="false">'SG PUTT'!Q155</f>
        <v>-0.163333333333333</v>
      </c>
      <c r="F75" s="70" t="n">
        <f aca="false">'SG ARG'!Q155</f>
        <v>0.145</v>
      </c>
      <c r="G75" s="70" t="n">
        <v>0.04</v>
      </c>
      <c r="H75" s="58" t="n">
        <f aca="false">'Current Form'!L155</f>
        <v>-0.41</v>
      </c>
      <c r="I75" s="71" t="n">
        <v>0.04</v>
      </c>
      <c r="J75" s="22" t="s">
        <v>467</v>
      </c>
      <c r="K75" s="22" t="s">
        <v>468</v>
      </c>
    </row>
    <row r="76" customFormat="false" ht="15.75" hidden="false" customHeight="true" outlineLevel="0" collapsed="false">
      <c r="A76" s="59" t="s">
        <v>300</v>
      </c>
      <c r="B76" s="69" t="n">
        <f aca="false">'SG OTT'!Q157</f>
        <v>0.278888888888889</v>
      </c>
      <c r="C76" s="70" t="n">
        <f aca="false">Class!Q157</f>
        <v>0</v>
      </c>
      <c r="D76" s="70" t="n">
        <f aca="false">'SG APP'!Q157</f>
        <v>-0.196666666666667</v>
      </c>
      <c r="E76" s="70" t="n">
        <f aca="false">'SG PUTT'!Q157</f>
        <v>-0.158888888888889</v>
      </c>
      <c r="F76" s="70" t="n">
        <f aca="false">'SG ARG'!Q157</f>
        <v>-1.09625</v>
      </c>
      <c r="G76" s="70" t="n">
        <v>0.06</v>
      </c>
      <c r="H76" s="58" t="n">
        <f aca="false">'Current Form'!L157</f>
        <v>-1.242</v>
      </c>
      <c r="I76" s="71" t="n">
        <v>0.09</v>
      </c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301</v>
      </c>
      <c r="B77" s="69" t="n">
        <f aca="false">'SG OTT'!Q158</f>
        <v>0.486</v>
      </c>
      <c r="C77" s="70" t="n">
        <f aca="false">Class!Q158</f>
        <v>0.146</v>
      </c>
      <c r="D77" s="70" t="n">
        <f aca="false">'SG APP'!Q158</f>
        <v>-0.898</v>
      </c>
      <c r="E77" s="70" t="n">
        <f aca="false">'SG PUTT'!Q158</f>
        <v>0.514</v>
      </c>
      <c r="F77" s="70" t="n">
        <f aca="false">'SG ARG'!Q158</f>
        <v>-0.168</v>
      </c>
      <c r="G77" s="70" t="n">
        <v>0.25</v>
      </c>
      <c r="H77" s="58" t="n">
        <f aca="false">'Current Form'!L158</f>
        <v>-1.29</v>
      </c>
      <c r="I77" s="71" t="n">
        <v>-0.04</v>
      </c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302</v>
      </c>
      <c r="B78" s="69" t="n">
        <f aca="false">'SG OTT'!Q159</f>
        <v>-0.308333333333333</v>
      </c>
      <c r="C78" s="70" t="n">
        <f aca="false">Class!Q159</f>
        <v>0.46</v>
      </c>
      <c r="D78" s="70" t="n">
        <f aca="false">'SG APP'!Q159</f>
        <v>0.681666666666667</v>
      </c>
      <c r="E78" s="70" t="n">
        <f aca="false">'SG PUTT'!Q159</f>
        <v>0.33</v>
      </c>
      <c r="F78" s="70" t="n">
        <f aca="false">'SG ARG'!Q159</f>
        <v>0.13</v>
      </c>
      <c r="G78" s="70" t="n">
        <v>-0.1</v>
      </c>
      <c r="H78" s="58" t="n">
        <f aca="false">'Current Form'!L159</f>
        <v>1.17</v>
      </c>
      <c r="I78" s="71" t="n">
        <v>-0.04</v>
      </c>
      <c r="J78" s="22" t="s">
        <v>467</v>
      </c>
      <c r="K78" s="22" t="s">
        <v>468</v>
      </c>
    </row>
    <row r="79" customFormat="false" ht="15.75" hidden="false" customHeight="true" outlineLevel="0" collapsed="false">
      <c r="A79" s="59" t="s">
        <v>306</v>
      </c>
      <c r="B79" s="69" t="n">
        <f aca="false">'SG OTT'!Q163</f>
        <v>0.383333333333333</v>
      </c>
      <c r="C79" s="70" t="n">
        <f aca="false">Class!Q163</f>
        <v>0.428333333333333</v>
      </c>
      <c r="D79" s="70" t="n">
        <f aca="false">'SG APP'!Q163</f>
        <v>0.876666666666667</v>
      </c>
      <c r="E79" s="70" t="n">
        <f aca="false">'SG PUTT'!Q163</f>
        <v>-0.211666666666667</v>
      </c>
      <c r="F79" s="70" t="n">
        <f aca="false">'SG ARG'!Q163</f>
        <v>-0.005</v>
      </c>
      <c r="G79" s="70" t="n">
        <v>-0.16</v>
      </c>
      <c r="H79" s="58" t="n">
        <f aca="false">'Current Form'!L163</f>
        <v>0.9475</v>
      </c>
      <c r="I79" s="71" t="n">
        <v>0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9" t="s">
        <v>307</v>
      </c>
      <c r="B80" s="69" t="n">
        <f aca="false">'SG OTT'!Q164</f>
        <v>-0.034</v>
      </c>
      <c r="C80" s="70" t="n">
        <f aca="false">Class!Q164</f>
        <v>0.134</v>
      </c>
      <c r="D80" s="70" t="n">
        <f aca="false">'SG APP'!Q164</f>
        <v>-0.474</v>
      </c>
      <c r="E80" s="70" t="n">
        <f aca="false">'SG PUTT'!Q164</f>
        <v>-0.164</v>
      </c>
      <c r="F80" s="70" t="n">
        <f aca="false">'SG ARG'!Q164</f>
        <v>0.122</v>
      </c>
      <c r="G80" s="70" t="n">
        <v>-0.02</v>
      </c>
      <c r="H80" s="58" t="n">
        <f aca="false">'Current Form'!L164</f>
        <v>-1.16</v>
      </c>
      <c r="I80" s="71" t="n">
        <v>0.04</v>
      </c>
      <c r="J80" s="22" t="s">
        <v>467</v>
      </c>
      <c r="K80" s="22" t="s">
        <v>468</v>
      </c>
    </row>
    <row r="81" customFormat="false" ht="15.75" hidden="false" customHeight="true" outlineLevel="0" collapsed="false">
      <c r="A81" s="59" t="s">
        <v>308</v>
      </c>
      <c r="B81" s="69" t="n">
        <f aca="false">'SG OTT'!Q165</f>
        <v>0.432857142857143</v>
      </c>
      <c r="C81" s="70" t="n">
        <f aca="false">Class!Q165</f>
        <v>0.641428571428572</v>
      </c>
      <c r="D81" s="70" t="n">
        <f aca="false">'SG APP'!Q165</f>
        <v>0.0128571428571429</v>
      </c>
      <c r="E81" s="70" t="n">
        <f aca="false">'SG PUTT'!Q165</f>
        <v>0.277142857142857</v>
      </c>
      <c r="F81" s="70" t="n">
        <f aca="false">'SG ARG'!Q165</f>
        <v>0.07</v>
      </c>
      <c r="G81" s="70" t="n">
        <v>-0.08</v>
      </c>
      <c r="H81" s="58" t="n">
        <f aca="false">'Current Form'!L165</f>
        <v>1.59</v>
      </c>
      <c r="I81" s="71" t="n">
        <v>0.17</v>
      </c>
      <c r="J81" s="22" t="s">
        <v>467</v>
      </c>
      <c r="K81" s="22" t="s">
        <v>468</v>
      </c>
    </row>
    <row r="82" customFormat="false" ht="15.75" hidden="false" customHeight="true" outlineLevel="0" collapsed="false">
      <c r="A82" s="59" t="s">
        <v>310</v>
      </c>
      <c r="B82" s="69" t="n">
        <f aca="false">'SG OTT'!Q167</f>
        <v>-0.511666666666667</v>
      </c>
      <c r="C82" s="70" t="n">
        <f aca="false">Class!Q167</f>
        <v>0.0283333333333333</v>
      </c>
      <c r="D82" s="70" t="n">
        <f aca="false">'SG APP'!Q167</f>
        <v>0.57</v>
      </c>
      <c r="E82" s="70" t="n">
        <f aca="false">'SG PUTT'!Q167</f>
        <v>-1.14166666666667</v>
      </c>
      <c r="F82" s="70" t="n">
        <f aca="false">'SG ARG'!Q167</f>
        <v>0.141666666666667</v>
      </c>
      <c r="G82" s="70" t="n">
        <v>-0.13</v>
      </c>
      <c r="H82" s="58" t="n">
        <f aca="false">'Current Form'!L167</f>
        <v>-0.855</v>
      </c>
      <c r="I82" s="71" t="n">
        <v>0.02</v>
      </c>
      <c r="J82" s="22" t="s">
        <v>467</v>
      </c>
      <c r="K82" s="22" t="s">
        <v>468</v>
      </c>
    </row>
    <row r="83" customFormat="false" ht="15.75" hidden="false" customHeight="true" outlineLevel="0" collapsed="false">
      <c r="A83" s="59" t="s">
        <v>311</v>
      </c>
      <c r="B83" s="69" t="n">
        <f aca="false">'SG OTT'!Q168</f>
        <v>-0.53</v>
      </c>
      <c r="C83" s="70" t="n">
        <f aca="false">Class!Q168</f>
        <v>0</v>
      </c>
      <c r="D83" s="70" t="n">
        <f aca="false">'SG APP'!Q168</f>
        <v>-0.34</v>
      </c>
      <c r="E83" s="70" t="n">
        <f aca="false">'SG PUTT'!Q168</f>
        <v>0.285</v>
      </c>
      <c r="F83" s="70" t="n">
        <f aca="false">'SG ARG'!Q168</f>
        <v>-0.56</v>
      </c>
      <c r="G83" s="70" t="n">
        <v>0.17</v>
      </c>
      <c r="H83" s="58" t="n">
        <f aca="false">'Current Form'!L168</f>
        <v>-1.21</v>
      </c>
      <c r="I83" s="71" t="n">
        <v>0.06</v>
      </c>
      <c r="J83" s="22" t="s">
        <v>467</v>
      </c>
      <c r="K83" s="22" t="s">
        <v>468</v>
      </c>
    </row>
    <row r="84" customFormat="false" ht="15.75" hidden="false" customHeight="true" outlineLevel="0" collapsed="false">
      <c r="A84" s="59" t="s">
        <v>315</v>
      </c>
      <c r="B84" s="69" t="n">
        <f aca="false">'SG OTT'!Q172</f>
        <v>-0.361111111111111</v>
      </c>
      <c r="C84" s="70" t="n">
        <f aca="false">Class!Q172</f>
        <v>0.262222222222222</v>
      </c>
      <c r="D84" s="70" t="n">
        <f aca="false">'SG APP'!Q172</f>
        <v>-0.00777777777777778</v>
      </c>
      <c r="E84" s="70" t="n">
        <f aca="false">'SG PUTT'!Q172</f>
        <v>0.58</v>
      </c>
      <c r="F84" s="70" t="n">
        <f aca="false">'SG ARG'!Q172</f>
        <v>-0.131111111111111</v>
      </c>
      <c r="G84" s="70" t="n">
        <v>-0.11</v>
      </c>
      <c r="H84" s="58" t="n">
        <f aca="false">'Current Form'!L172</f>
        <v>0.166</v>
      </c>
      <c r="I84" s="71" t="n">
        <v>0.01</v>
      </c>
      <c r="J84" s="22" t="s">
        <v>467</v>
      </c>
      <c r="K84" s="22" t="s">
        <v>468</v>
      </c>
    </row>
    <row r="85" customFormat="false" ht="15.75" hidden="false" customHeight="true" outlineLevel="0" collapsed="false">
      <c r="A85" s="59" t="s">
        <v>316</v>
      </c>
      <c r="B85" s="69" t="n">
        <f aca="false">'SG OTT'!Q173</f>
        <v>-0.067</v>
      </c>
      <c r="C85" s="70" t="n">
        <f aca="false">Class!Q173</f>
        <v>0.088</v>
      </c>
      <c r="D85" s="70" t="n">
        <f aca="false">'SG APP'!Q173</f>
        <v>0.117</v>
      </c>
      <c r="E85" s="70" t="n">
        <f aca="false">'SG PUTT'!Q173</f>
        <v>-0.334</v>
      </c>
      <c r="F85" s="70" t="n">
        <f aca="false">'SG ARG'!Q173</f>
        <v>0.18</v>
      </c>
      <c r="G85" s="70" t="n">
        <v>-0.19</v>
      </c>
      <c r="H85" s="58" t="n">
        <f aca="false">'Current Form'!L173</f>
        <v>0.025</v>
      </c>
      <c r="I85" s="71" t="n">
        <v>-0.03</v>
      </c>
      <c r="J85" s="22" t="s">
        <v>467</v>
      </c>
      <c r="K85" s="22" t="s">
        <v>468</v>
      </c>
    </row>
    <row r="86" customFormat="false" ht="15.75" hidden="false" customHeight="true" outlineLevel="0" collapsed="false">
      <c r="A86" s="59" t="s">
        <v>317</v>
      </c>
      <c r="B86" s="69" t="n">
        <f aca="false">'SG OTT'!Q174</f>
        <v>0.5</v>
      </c>
      <c r="C86" s="70" t="n">
        <f aca="false">Class!Q174</f>
        <v>0.106666666666667</v>
      </c>
      <c r="D86" s="70" t="n">
        <f aca="false">'SG APP'!Q174</f>
        <v>-0.00499999999999999</v>
      </c>
      <c r="E86" s="70" t="n">
        <f aca="false">'SG PUTT'!Q174</f>
        <v>-0.695</v>
      </c>
      <c r="F86" s="70" t="n">
        <f aca="false">'SG ARG'!Q174</f>
        <v>-0.05</v>
      </c>
      <c r="G86" s="70" t="n">
        <v>0.11</v>
      </c>
      <c r="H86" s="58" t="n">
        <f aca="false">'Current Form'!L174</f>
        <v>0.31</v>
      </c>
      <c r="I86" s="71" t="n">
        <v>0.01</v>
      </c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318</v>
      </c>
      <c r="B87" s="69" t="n">
        <f aca="false">'SG OTT'!Q175</f>
        <v>1.2725</v>
      </c>
      <c r="C87" s="70" t="n">
        <f aca="false">Class!Q175</f>
        <v>1.395</v>
      </c>
      <c r="D87" s="70" t="n">
        <f aca="false">'SG APP'!Q175</f>
        <v>0.1625</v>
      </c>
      <c r="E87" s="70" t="n">
        <f aca="false">'SG PUTT'!Q175</f>
        <v>0.7125</v>
      </c>
      <c r="F87" s="70" t="n">
        <f aca="false">'SG ARG'!Q175</f>
        <v>0.04</v>
      </c>
      <c r="G87" s="70" t="n">
        <v>-0.06</v>
      </c>
      <c r="H87" s="58" t="n">
        <f aca="false">'Current Form'!L175</f>
        <v>1.98</v>
      </c>
      <c r="I87" s="71" t="n">
        <v>0.06</v>
      </c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320</v>
      </c>
      <c r="B88" s="69" t="n">
        <f aca="false">'SG OTT'!Q177</f>
        <v>-0.0333333333333334</v>
      </c>
      <c r="C88" s="70" t="n">
        <f aca="false">Class!Q177</f>
        <v>0.475555555555556</v>
      </c>
      <c r="D88" s="70" t="n">
        <f aca="false">'SG APP'!Q177</f>
        <v>0.0411111111111111</v>
      </c>
      <c r="E88" s="70" t="n">
        <f aca="false">'SG PUTT'!Q177</f>
        <v>0.302222222222222</v>
      </c>
      <c r="F88" s="70" t="n">
        <f aca="false">'SG ARG'!Q177</f>
        <v>0.364444444444444</v>
      </c>
      <c r="G88" s="70" t="n">
        <v>-0.04</v>
      </c>
      <c r="H88" s="58" t="n">
        <f aca="false">'Current Form'!L177</f>
        <v>0.431666666666667</v>
      </c>
      <c r="I88" s="71" t="n">
        <v>-0.04</v>
      </c>
      <c r="J88" s="22" t="s">
        <v>467</v>
      </c>
      <c r="K88" s="22" t="s">
        <v>468</v>
      </c>
    </row>
    <row r="89" customFormat="false" ht="15.75" hidden="false" customHeight="true" outlineLevel="0" collapsed="false">
      <c r="A89" s="59" t="s">
        <v>321</v>
      </c>
      <c r="B89" s="69" t="n">
        <f aca="false">'SG OTT'!Q178</f>
        <v>-0.1975</v>
      </c>
      <c r="C89" s="70" t="n">
        <f aca="false">Class!Q178</f>
        <v>0.015</v>
      </c>
      <c r="D89" s="70" t="n">
        <f aca="false">'SG APP'!Q178</f>
        <v>-0.1775</v>
      </c>
      <c r="E89" s="70" t="n">
        <f aca="false">'SG PUTT'!Q178</f>
        <v>-0.43</v>
      </c>
      <c r="F89" s="70" t="n">
        <f aca="false">'SG ARG'!Q178</f>
        <v>-0.185</v>
      </c>
      <c r="G89" s="70" t="n">
        <v>0.19</v>
      </c>
      <c r="H89" s="58" t="n">
        <f aca="false">'Current Form'!L178</f>
        <v>-1.36</v>
      </c>
      <c r="I89" s="71" t="n">
        <v>-0.02</v>
      </c>
      <c r="J89" s="22" t="s">
        <v>467</v>
      </c>
      <c r="K89" s="22" t="s">
        <v>468</v>
      </c>
    </row>
    <row r="90" customFormat="false" ht="15.75" hidden="false" customHeight="true" outlineLevel="0" collapsed="false">
      <c r="A90" s="59" t="s">
        <v>322</v>
      </c>
      <c r="B90" s="69" t="n">
        <f aca="false">'SG OTT'!Q179</f>
        <v>-0.226</v>
      </c>
      <c r="C90" s="70" t="n">
        <f aca="false">Class!Q179</f>
        <v>0.078</v>
      </c>
      <c r="D90" s="70" t="n">
        <f aca="false">'SG APP'!Q179</f>
        <v>-0.266</v>
      </c>
      <c r="E90" s="70" t="n">
        <f aca="false">'SG PUTT'!Q179</f>
        <v>0.122</v>
      </c>
      <c r="F90" s="70" t="n">
        <f aca="false">'SG ARG'!Q179</f>
        <v>-0.356</v>
      </c>
      <c r="G90" s="70" t="n">
        <v>0</v>
      </c>
      <c r="H90" s="58" t="n">
        <f aca="false">'Current Form'!L179</f>
        <v>-0.04</v>
      </c>
      <c r="I90" s="71" t="n">
        <v>0.08</v>
      </c>
      <c r="J90" s="22" t="s">
        <v>467</v>
      </c>
      <c r="K90" s="22" t="s">
        <v>468</v>
      </c>
    </row>
    <row r="91" customFormat="false" ht="15.75" hidden="false" customHeight="true" outlineLevel="0" collapsed="false">
      <c r="A91" s="59" t="s">
        <v>324</v>
      </c>
      <c r="B91" s="69" t="n">
        <f aca="false">'SG OTT'!Q181</f>
        <v>-0.1825</v>
      </c>
      <c r="C91" s="70" t="n">
        <f aca="false">Class!Q181</f>
        <v>0.145</v>
      </c>
      <c r="D91" s="70" t="n">
        <f aca="false">'SG APP'!Q181</f>
        <v>0.4475</v>
      </c>
      <c r="E91" s="70" t="n">
        <f aca="false">'SG PUTT'!Q181</f>
        <v>-1.0175</v>
      </c>
      <c r="F91" s="70" t="n">
        <f aca="false">'SG ARG'!Q181</f>
        <v>-0.0125</v>
      </c>
      <c r="G91" s="70" t="n">
        <v>-0.09</v>
      </c>
      <c r="H91" s="58" t="n">
        <f aca="false">'Current Form'!L181</f>
        <v>0.435</v>
      </c>
      <c r="I91" s="71" t="n">
        <v>0.01</v>
      </c>
      <c r="J91" s="22" t="s">
        <v>467</v>
      </c>
      <c r="K91" s="22" t="s">
        <v>468</v>
      </c>
    </row>
    <row r="92" customFormat="false" ht="15.75" hidden="false" customHeight="true" outlineLevel="0" collapsed="false">
      <c r="A92" s="59" t="s">
        <v>326</v>
      </c>
      <c r="B92" s="69" t="n">
        <f aca="false">'SG OTT'!Q183</f>
        <v>0.272</v>
      </c>
      <c r="C92" s="70" t="n">
        <f aca="false">Class!Q183</f>
        <v>0.158</v>
      </c>
      <c r="D92" s="70" t="n">
        <f aca="false">'SG APP'!Q183</f>
        <v>-0.192</v>
      </c>
      <c r="E92" s="70" t="n">
        <f aca="false">'SG PUTT'!Q183</f>
        <v>-0.02</v>
      </c>
      <c r="F92" s="70" t="n">
        <f aca="false">'SG ARG'!Q183</f>
        <v>-0.044</v>
      </c>
      <c r="G92" s="70" t="n">
        <v>0.1</v>
      </c>
      <c r="H92" s="58" t="n">
        <f aca="false">'Current Form'!L183</f>
        <v>-0.925</v>
      </c>
      <c r="I92" s="71" t="n">
        <v>-0.05</v>
      </c>
      <c r="J92" s="22" t="s">
        <v>467</v>
      </c>
      <c r="K92" s="22" t="s">
        <v>468</v>
      </c>
    </row>
    <row r="93" customFormat="false" ht="15.75" hidden="false" customHeight="true" outlineLevel="0" collapsed="false">
      <c r="A93" s="59" t="s">
        <v>330</v>
      </c>
      <c r="B93" s="69" t="n">
        <f aca="false">'SG OTT'!Q187</f>
        <v>-0.415</v>
      </c>
      <c r="C93" s="70" t="n">
        <f aca="false">Class!Q187</f>
        <v>0</v>
      </c>
      <c r="D93" s="70" t="n">
        <f aca="false">'SG APP'!Q187</f>
        <v>-1.13</v>
      </c>
      <c r="E93" s="70" t="n">
        <f aca="false">'SG PUTT'!Q187</f>
        <v>-0.641666666666667</v>
      </c>
      <c r="F93" s="70" t="n">
        <f aca="false">'SG ARG'!Q187</f>
        <v>0.226666666666667</v>
      </c>
      <c r="G93" s="70" t="n">
        <v>0.11</v>
      </c>
      <c r="H93" s="58" t="n">
        <f aca="false">'Current Form'!L187</f>
        <v>-1.41</v>
      </c>
      <c r="I93" s="71" t="n">
        <v>-0.04</v>
      </c>
      <c r="J93" s="22" t="s">
        <v>467</v>
      </c>
      <c r="K93" s="22" t="s">
        <v>468</v>
      </c>
    </row>
    <row r="94" customFormat="false" ht="15.75" hidden="false" customHeight="true" outlineLevel="0" collapsed="false">
      <c r="A94" s="59" t="s">
        <v>331</v>
      </c>
      <c r="B94" s="69" t="n">
        <f aca="false">'SG OTT'!Q188</f>
        <v>0.238571428571429</v>
      </c>
      <c r="C94" s="70" t="n">
        <f aca="false">Class!Q188</f>
        <v>0.378571428571429</v>
      </c>
      <c r="D94" s="70" t="n">
        <f aca="false">'SG APP'!Q188</f>
        <v>0.138571428571429</v>
      </c>
      <c r="E94" s="70" t="n">
        <f aca="false">'SG PUTT'!Q188</f>
        <v>0.468571428571429</v>
      </c>
      <c r="F94" s="70" t="n">
        <f aca="false">'SG ARG'!Q188</f>
        <v>0.0457142857142857</v>
      </c>
      <c r="G94" s="70" t="n">
        <v>0</v>
      </c>
      <c r="H94" s="58" t="n">
        <f aca="false">'Current Form'!L188</f>
        <v>0.825</v>
      </c>
      <c r="I94" s="71" t="n">
        <v>-0.01</v>
      </c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332</v>
      </c>
      <c r="B95" s="69" t="n">
        <f aca="false">'SG OTT'!Q189</f>
        <v>0.623333333333333</v>
      </c>
      <c r="C95" s="70" t="n">
        <f aca="false">Class!Q189</f>
        <v>0.232222222222222</v>
      </c>
      <c r="D95" s="70" t="n">
        <f aca="false">'SG APP'!Q189</f>
        <v>-0.101111111111111</v>
      </c>
      <c r="E95" s="70" t="n">
        <f aca="false">'SG PUTT'!Q189</f>
        <v>-0.0244444444444445</v>
      </c>
      <c r="F95" s="70" t="n">
        <f aca="false">'SG ARG'!Q189</f>
        <v>-0.201111111111111</v>
      </c>
      <c r="G95" s="70" t="n">
        <v>-0.03</v>
      </c>
      <c r="H95" s="58" t="n">
        <f aca="false">'Current Form'!L189</f>
        <v>0.244</v>
      </c>
      <c r="I95" s="71" t="n">
        <v>-0.04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9" t="s">
        <v>335</v>
      </c>
      <c r="B96" s="69" t="n">
        <f aca="false">'SG OTT'!Q192</f>
        <v>0.21375</v>
      </c>
      <c r="C96" s="70" t="n">
        <f aca="false">Class!Q192</f>
        <v>0.82</v>
      </c>
      <c r="D96" s="70" t="n">
        <f aca="false">'SG APP'!Q192</f>
        <v>-0.2075</v>
      </c>
      <c r="E96" s="70" t="n">
        <f aca="false">'SG PUTT'!Q192</f>
        <v>0.7575</v>
      </c>
      <c r="F96" s="70" t="n">
        <f aca="false">'SG ARG'!Q192</f>
        <v>0.08</v>
      </c>
      <c r="G96" s="70" t="n">
        <v>-0.23</v>
      </c>
      <c r="H96" s="58" t="n">
        <f aca="false">'Current Form'!L192</f>
        <v>0.248</v>
      </c>
      <c r="I96" s="71" t="n">
        <v>0.04</v>
      </c>
      <c r="J96" s="22" t="s">
        <v>467</v>
      </c>
      <c r="K96" s="22" t="s">
        <v>468</v>
      </c>
    </row>
    <row r="97" customFormat="false" ht="15.75" hidden="false" customHeight="true" outlineLevel="0" collapsed="false">
      <c r="A97" s="59" t="s">
        <v>336</v>
      </c>
      <c r="B97" s="69" t="n">
        <f aca="false">'SG OTT'!Q193</f>
        <v>0.275714285714286</v>
      </c>
      <c r="C97" s="70" t="n">
        <f aca="false">Class!Q193</f>
        <v>0.105714285714286</v>
      </c>
      <c r="D97" s="70" t="n">
        <f aca="false">'SG APP'!Q193</f>
        <v>-0.03</v>
      </c>
      <c r="E97" s="70" t="n">
        <f aca="false">'SG PUTT'!Q193</f>
        <v>-0.00285714285714285</v>
      </c>
      <c r="F97" s="70" t="n">
        <f aca="false">'SG ARG'!Q193</f>
        <v>-0.715714285714286</v>
      </c>
      <c r="G97" s="70" t="n">
        <v>0.2</v>
      </c>
      <c r="H97" s="58" t="n">
        <f aca="false">'Current Form'!L193</f>
        <v>0.085</v>
      </c>
      <c r="I97" s="71" t="n">
        <v>0.02</v>
      </c>
      <c r="J97" s="22" t="s">
        <v>467</v>
      </c>
      <c r="K97" s="22" t="s">
        <v>468</v>
      </c>
    </row>
    <row r="98" customFormat="false" ht="15.75" hidden="false" customHeight="true" outlineLevel="0" collapsed="false">
      <c r="A98" s="59" t="s">
        <v>338</v>
      </c>
      <c r="B98" s="69" t="n">
        <f aca="false">'SG OTT'!Q195</f>
        <v>-0.065</v>
      </c>
      <c r="C98" s="70" t="n">
        <f aca="false">Class!Q195</f>
        <v>0.325</v>
      </c>
      <c r="D98" s="70" t="n">
        <f aca="false">'SG APP'!Q195</f>
        <v>-0.205</v>
      </c>
      <c r="E98" s="70" t="n">
        <f aca="false">'SG PUTT'!Q195</f>
        <v>0.945</v>
      </c>
      <c r="F98" s="70" t="n">
        <f aca="false">'SG ARG'!Q195</f>
        <v>0.01</v>
      </c>
      <c r="G98" s="70" t="n">
        <v>-0.06</v>
      </c>
      <c r="H98" s="58" t="n">
        <f aca="false">'Current Form'!L195</f>
        <v>0.41</v>
      </c>
      <c r="I98" s="71" t="n">
        <v>-0.03</v>
      </c>
      <c r="J98" s="22" t="s">
        <v>467</v>
      </c>
      <c r="K98" s="22" t="s">
        <v>468</v>
      </c>
    </row>
    <row r="99" customFormat="false" ht="15.75" hidden="false" customHeight="true" outlineLevel="0" collapsed="false">
      <c r="A99" s="59" t="s">
        <v>339</v>
      </c>
      <c r="B99" s="69" t="n">
        <f aca="false">'SG OTT'!Q196</f>
        <v>0.282</v>
      </c>
      <c r="C99" s="70" t="n">
        <f aca="false">Class!Q196</f>
        <v>0.183</v>
      </c>
      <c r="D99" s="70" t="n">
        <f aca="false">'SG APP'!Q196</f>
        <v>0.143</v>
      </c>
      <c r="E99" s="70" t="n">
        <f aca="false">'SG PUTT'!Q196</f>
        <v>-0.736</v>
      </c>
      <c r="F99" s="70" t="n">
        <f aca="false">'SG ARG'!Q196</f>
        <v>0.499</v>
      </c>
      <c r="G99" s="70" t="n">
        <v>-0.04</v>
      </c>
      <c r="H99" s="58" t="n">
        <f aca="false">'Current Form'!L196</f>
        <v>-0.35</v>
      </c>
      <c r="I99" s="71" t="n">
        <v>0</v>
      </c>
      <c r="J99" s="22" t="s">
        <v>467</v>
      </c>
      <c r="K99" s="22" t="s">
        <v>468</v>
      </c>
    </row>
    <row r="100" customFormat="false" ht="15.75" hidden="false" customHeight="true" outlineLevel="0" collapsed="false">
      <c r="A100" s="59" t="s">
        <v>341</v>
      </c>
      <c r="B100" s="69" t="n">
        <f aca="false">'SG OTT'!Q198</f>
        <v>-0.266666666666667</v>
      </c>
      <c r="C100" s="70" t="n">
        <f aca="false">Class!Q198</f>
        <v>0</v>
      </c>
      <c r="D100" s="70" t="n">
        <f aca="false">'SG APP'!Q198</f>
        <v>-0.015</v>
      </c>
      <c r="E100" s="70" t="n">
        <f aca="false">'SG PUTT'!Q198</f>
        <v>-0.161666666666667</v>
      </c>
      <c r="F100" s="70" t="n">
        <f aca="false">'SG ARG'!Q198</f>
        <v>-0.08</v>
      </c>
      <c r="G100" s="70" t="n">
        <v>0.01</v>
      </c>
      <c r="H100" s="58" t="n">
        <f aca="false">'Current Form'!L198</f>
        <v>-0.8175</v>
      </c>
      <c r="I100" s="71" t="n">
        <v>0.11</v>
      </c>
      <c r="J100" s="22" t="s">
        <v>467</v>
      </c>
      <c r="K100" s="22" t="s">
        <v>468</v>
      </c>
    </row>
    <row r="101" customFormat="false" ht="15.75" hidden="false" customHeight="true" outlineLevel="0" collapsed="false">
      <c r="A101" s="59" t="s">
        <v>344</v>
      </c>
      <c r="B101" s="69" t="n">
        <f aca="false">'SG OTT'!Q201</f>
        <v>-1.19</v>
      </c>
      <c r="C101" s="70" t="n">
        <f aca="false">Class!Q201</f>
        <v>0</v>
      </c>
      <c r="D101" s="70" t="n">
        <f aca="false">'SG APP'!Q201</f>
        <v>-0.87</v>
      </c>
      <c r="E101" s="70" t="n">
        <f aca="false">'SG PUTT'!Q201</f>
        <v>-0.0983333333333333</v>
      </c>
      <c r="F101" s="70" t="n">
        <f aca="false">'SG ARG'!Q201</f>
        <v>0.215</v>
      </c>
      <c r="G101" s="70" t="n">
        <v>-0.18</v>
      </c>
      <c r="H101" s="58" t="n">
        <f aca="false">'Current Form'!L201</f>
        <v>-2.58</v>
      </c>
      <c r="I101" s="71" t="n">
        <v>0.08</v>
      </c>
      <c r="J101" s="22" t="s">
        <v>467</v>
      </c>
      <c r="K101" s="22" t="s">
        <v>468</v>
      </c>
    </row>
    <row r="102" customFormat="false" ht="15.75" hidden="false" customHeight="true" outlineLevel="0" collapsed="false">
      <c r="A102" s="59" t="s">
        <v>346</v>
      </c>
      <c r="B102" s="69" t="n">
        <f aca="false">'SG OTT'!Q203</f>
        <v>-0.218888888888889</v>
      </c>
      <c r="C102" s="70" t="n">
        <f aca="false">Class!Q203</f>
        <v>0.225555555555556</v>
      </c>
      <c r="D102" s="70" t="n">
        <f aca="false">'SG APP'!Q203</f>
        <v>0.34</v>
      </c>
      <c r="E102" s="70" t="n">
        <f aca="false">'SG PUTT'!Q203</f>
        <v>-0.55</v>
      </c>
      <c r="F102" s="70" t="n">
        <f aca="false">'SG ARG'!Q203</f>
        <v>0.237777777777778</v>
      </c>
      <c r="G102" s="70" t="n">
        <v>-0.12</v>
      </c>
      <c r="H102" s="58" t="n">
        <f aca="false">'Current Form'!L203</f>
        <v>0.162</v>
      </c>
      <c r="I102" s="71" t="n">
        <v>0</v>
      </c>
      <c r="J102" s="22" t="s">
        <v>467</v>
      </c>
      <c r="K102" s="22" t="s">
        <v>468</v>
      </c>
    </row>
    <row r="103" customFormat="false" ht="15.75" hidden="false" customHeight="true" outlineLevel="0" collapsed="false">
      <c r="A103" s="59" t="s">
        <v>348</v>
      </c>
      <c r="B103" s="69" t="n">
        <f aca="false">'SG OTT'!Q205</f>
        <v>0.681428571428572</v>
      </c>
      <c r="C103" s="70" t="n">
        <f aca="false">Class!Q205</f>
        <v>0.0342857142857143</v>
      </c>
      <c r="D103" s="70" t="n">
        <f aca="false">'SG APP'!Q205</f>
        <v>-0.62</v>
      </c>
      <c r="E103" s="70" t="n">
        <f aca="false">'SG PUTT'!Q205</f>
        <v>-0.724285714285714</v>
      </c>
      <c r="F103" s="70" t="n">
        <f aca="false">'SG ARG'!Q205</f>
        <v>0.0528571428571429</v>
      </c>
      <c r="G103" s="70" t="n">
        <v>0</v>
      </c>
      <c r="H103" s="58" t="n">
        <f aca="false">'Current Form'!L205</f>
        <v>-1.065</v>
      </c>
      <c r="I103" s="71" t="n">
        <v>0.06</v>
      </c>
      <c r="J103" s="22" t="s">
        <v>467</v>
      </c>
      <c r="K103" s="22" t="s">
        <v>468</v>
      </c>
    </row>
    <row r="104" customFormat="false" ht="15.75" hidden="false" customHeight="true" outlineLevel="0" collapsed="false">
      <c r="A104" s="59" t="s">
        <v>350</v>
      </c>
      <c r="B104" s="69" t="n">
        <f aca="false">'SG OTT'!Q207</f>
        <v>0.6225</v>
      </c>
      <c r="C104" s="70" t="n">
        <f aca="false">Class!Q207</f>
        <v>0.34</v>
      </c>
      <c r="D104" s="70" t="n">
        <f aca="false">'SG APP'!Q207</f>
        <v>0.2575</v>
      </c>
      <c r="E104" s="70" t="n">
        <f aca="false">'SG PUTT'!Q207</f>
        <v>-0.2575</v>
      </c>
      <c r="F104" s="70" t="n">
        <f aca="false">'SG ARG'!Q207</f>
        <v>-0.0125</v>
      </c>
      <c r="G104" s="70" t="n">
        <v>0.28</v>
      </c>
      <c r="H104" s="58" t="n">
        <f aca="false">'Current Form'!L207</f>
        <v>0.64</v>
      </c>
      <c r="I104" s="71" t="n">
        <v>0.03</v>
      </c>
      <c r="J104" s="22" t="s">
        <v>467</v>
      </c>
      <c r="K104" s="22" t="s">
        <v>468</v>
      </c>
    </row>
    <row r="105" customFormat="false" ht="15.75" hidden="false" customHeight="true" outlineLevel="0" collapsed="false">
      <c r="A105" s="59" t="s">
        <v>351</v>
      </c>
      <c r="B105" s="69" t="n">
        <f aca="false">'SG OTT'!Q208</f>
        <v>0.548</v>
      </c>
      <c r="C105" s="70" t="n">
        <f aca="false">Class!Q208</f>
        <v>0.722</v>
      </c>
      <c r="D105" s="70" t="n">
        <f aca="false">'SG APP'!Q208</f>
        <v>0.12</v>
      </c>
      <c r="E105" s="70" t="n">
        <f aca="false">'SG PUTT'!Q208</f>
        <v>0.114</v>
      </c>
      <c r="F105" s="70" t="n">
        <f aca="false">'SG ARG'!Q208</f>
        <v>0.096</v>
      </c>
      <c r="G105" s="70" t="n">
        <v>-0.09</v>
      </c>
      <c r="H105" s="58" t="n">
        <f aca="false">'Current Form'!L208</f>
        <v>1.15</v>
      </c>
      <c r="I105" s="71" t="n">
        <v>0.16</v>
      </c>
      <c r="J105" s="22" t="s">
        <v>467</v>
      </c>
      <c r="K105" s="22" t="s">
        <v>468</v>
      </c>
    </row>
    <row r="106" customFormat="false" ht="15.75" hidden="false" customHeight="true" outlineLevel="0" collapsed="false">
      <c r="A106" s="59" t="s">
        <v>356</v>
      </c>
      <c r="B106" s="69" t="n">
        <f aca="false">'SG OTT'!Q213</f>
        <v>0.43625</v>
      </c>
      <c r="C106" s="70" t="n">
        <f aca="false">Class!Q213</f>
        <v>0.2275</v>
      </c>
      <c r="D106" s="70" t="n">
        <f aca="false">'SG APP'!Q213</f>
        <v>-0.35875</v>
      </c>
      <c r="E106" s="70" t="n">
        <f aca="false">'SG PUTT'!Q213</f>
        <v>0.18875</v>
      </c>
      <c r="F106" s="70" t="n">
        <f aca="false">'SG ARG'!Q213</f>
        <v>-0.502857142857143</v>
      </c>
      <c r="G106" s="70" t="n">
        <v>0.33</v>
      </c>
      <c r="H106" s="58" t="n">
        <f aca="false">'Current Form'!L213</f>
        <v>-1.042</v>
      </c>
      <c r="I106" s="71" t="n">
        <v>-0.04</v>
      </c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358</v>
      </c>
      <c r="B107" s="69" t="n">
        <f aca="false">'SG OTT'!Q215</f>
        <v>-0.783333333333333</v>
      </c>
      <c r="C107" s="70" t="n">
        <f aca="false">Class!Q215</f>
        <v>0.0516666666666667</v>
      </c>
      <c r="D107" s="70" t="n">
        <f aca="false">'SG APP'!Q215</f>
        <v>-0.375</v>
      </c>
      <c r="E107" s="70" t="n">
        <f aca="false">'SG PUTT'!Q215</f>
        <v>-0.186666666666667</v>
      </c>
      <c r="F107" s="70" t="n">
        <f aca="false">'SG ARG'!Q215</f>
        <v>-0.311666666666667</v>
      </c>
      <c r="G107" s="70" t="n">
        <v>-0.02</v>
      </c>
      <c r="H107" s="58" t="n">
        <f aca="false">'Current Form'!L215</f>
        <v>-2.935</v>
      </c>
      <c r="I107" s="71" t="n">
        <v>-0.04</v>
      </c>
      <c r="J107" s="22" t="s">
        <v>467</v>
      </c>
      <c r="K107" s="22" t="s">
        <v>468</v>
      </c>
    </row>
    <row r="108" customFormat="false" ht="15.75" hidden="false" customHeight="true" outlineLevel="0" collapsed="false">
      <c r="A108" s="59" t="s">
        <v>359</v>
      </c>
      <c r="B108" s="69" t="n">
        <f aca="false">'SG OTT'!Q216</f>
        <v>0.354285714285714</v>
      </c>
      <c r="C108" s="70" t="n">
        <f aca="false">Class!Q216</f>
        <v>0.252857142857143</v>
      </c>
      <c r="D108" s="70" t="n">
        <f aca="false">'SG APP'!Q216</f>
        <v>-0.595714285714286</v>
      </c>
      <c r="E108" s="70" t="n">
        <f aca="false">'SG PUTT'!Q216</f>
        <v>0.222857142857143</v>
      </c>
      <c r="F108" s="70" t="n">
        <f aca="false">'SG ARG'!Q216</f>
        <v>0.0771428571428572</v>
      </c>
      <c r="G108" s="70" t="n">
        <v>0.17</v>
      </c>
      <c r="H108" s="58" t="n">
        <f aca="false">'Current Form'!L216</f>
        <v>-0.693333333333333</v>
      </c>
      <c r="I108" s="71" t="n">
        <v>-0.04</v>
      </c>
      <c r="J108" s="22" t="s">
        <v>467</v>
      </c>
      <c r="K108" s="22" t="s">
        <v>468</v>
      </c>
    </row>
    <row r="109" customFormat="false" ht="15.75" hidden="false" customHeight="true" outlineLevel="0" collapsed="false">
      <c r="A109" s="59" t="s">
        <v>360</v>
      </c>
      <c r="B109" s="69" t="n">
        <f aca="false">'SG OTT'!Q217</f>
        <v>-0.852222222222222</v>
      </c>
      <c r="C109" s="70" t="n">
        <f aca="false">Class!Q217</f>
        <v>0.101111111111111</v>
      </c>
      <c r="D109" s="70" t="n">
        <f aca="false">'SG APP'!Q217</f>
        <v>0.277777777777778</v>
      </c>
      <c r="E109" s="70" t="n">
        <f aca="false">'SG PUTT'!Q217</f>
        <v>0.436666666666667</v>
      </c>
      <c r="F109" s="70" t="n">
        <f aca="false">'SG ARG'!Q217</f>
        <v>0.3425</v>
      </c>
      <c r="G109" s="70" t="n">
        <v>-0.41</v>
      </c>
      <c r="H109" s="58" t="n">
        <f aca="false">'Current Form'!L217</f>
        <v>-0.41</v>
      </c>
      <c r="I109" s="71" t="n">
        <v>0.05</v>
      </c>
      <c r="J109" s="22" t="s">
        <v>467</v>
      </c>
      <c r="K109" s="22" t="s">
        <v>468</v>
      </c>
    </row>
    <row r="110" customFormat="false" ht="15.75" hidden="false" customHeight="true" outlineLevel="0" collapsed="false">
      <c r="A110" s="59" t="s">
        <v>361</v>
      </c>
      <c r="B110" s="69" t="n">
        <f aca="false">'SG OTT'!Q218</f>
        <v>0.668</v>
      </c>
      <c r="C110" s="70" t="n">
        <f aca="false">Class!Q218</f>
        <v>0.82</v>
      </c>
      <c r="D110" s="70" t="n">
        <f aca="false">'SG APP'!Q218</f>
        <v>0.552</v>
      </c>
      <c r="E110" s="70" t="n">
        <f aca="false">'SG PUTT'!Q218</f>
        <v>-0.036</v>
      </c>
      <c r="F110" s="70" t="n">
        <f aca="false">'SG ARG'!Q218</f>
        <v>0.13</v>
      </c>
      <c r="G110" s="70" t="n">
        <v>-0.05</v>
      </c>
      <c r="H110" s="58" t="n">
        <f aca="false">'Current Form'!L218</f>
        <v>0.69</v>
      </c>
      <c r="I110" s="71" t="n">
        <v>-0.02</v>
      </c>
      <c r="J110" s="22" t="s">
        <v>467</v>
      </c>
      <c r="K110" s="22" t="s">
        <v>468</v>
      </c>
    </row>
    <row r="111" customFormat="false" ht="15.75" hidden="false" customHeight="true" outlineLevel="0" collapsed="false">
      <c r="A111" s="59" t="s">
        <v>362</v>
      </c>
      <c r="B111" s="69" t="n">
        <f aca="false">'SG OTT'!Q219</f>
        <v>0.358571428571429</v>
      </c>
      <c r="C111" s="70" t="n">
        <f aca="false">Class!Q219</f>
        <v>0.787142857142857</v>
      </c>
      <c r="D111" s="70" t="n">
        <f aca="false">'SG APP'!Q219</f>
        <v>0.645714285714286</v>
      </c>
      <c r="E111" s="70" t="n">
        <f aca="false">'SG PUTT'!Q219</f>
        <v>0.08</v>
      </c>
      <c r="F111" s="70" t="n">
        <f aca="false">'SG ARG'!Q219</f>
        <v>0.155714285714286</v>
      </c>
      <c r="G111" s="70" t="n">
        <v>-0.38</v>
      </c>
      <c r="H111" s="58" t="n">
        <f aca="false">'Current Form'!L219</f>
        <v>0.724</v>
      </c>
      <c r="I111" s="71" t="n">
        <v>0.12</v>
      </c>
      <c r="J111" s="22" t="s">
        <v>467</v>
      </c>
      <c r="K111" s="22" t="s">
        <v>468</v>
      </c>
    </row>
    <row r="112" customFormat="false" ht="15.75" hidden="false" customHeight="true" outlineLevel="0" collapsed="false">
      <c r="A112" s="59" t="s">
        <v>364</v>
      </c>
      <c r="B112" s="69" t="n">
        <f aca="false">'SG OTT'!Q221</f>
        <v>0.115714285714286</v>
      </c>
      <c r="C112" s="70" t="n">
        <f aca="false">Class!Q221</f>
        <v>0.0657142857142857</v>
      </c>
      <c r="D112" s="70" t="n">
        <f aca="false">'SG APP'!Q221</f>
        <v>-0.245714285714286</v>
      </c>
      <c r="E112" s="70" t="n">
        <f aca="false">'SG PUTT'!Q221</f>
        <v>-0.842857142857143</v>
      </c>
      <c r="F112" s="70" t="n">
        <f aca="false">'SG ARG'!Q221</f>
        <v>-0.124285714285714</v>
      </c>
      <c r="G112" s="70" t="n">
        <v>0.05</v>
      </c>
      <c r="H112" s="58" t="n">
        <f aca="false">'Current Form'!L221</f>
        <v>-1.29333333333333</v>
      </c>
      <c r="I112" s="71" t="n">
        <v>-0.03</v>
      </c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366</v>
      </c>
      <c r="B113" s="69" t="n">
        <f aca="false">'SG OTT'!Q223</f>
        <v>-0.335</v>
      </c>
      <c r="C113" s="70" t="n">
        <f aca="false">Class!Q223</f>
        <v>0.5075</v>
      </c>
      <c r="D113" s="70" t="n">
        <f aca="false">'SG APP'!Q223</f>
        <v>0.665</v>
      </c>
      <c r="E113" s="70" t="n">
        <f aca="false">'SG PUTT'!Q223</f>
        <v>-0.32</v>
      </c>
      <c r="F113" s="70" t="n">
        <f aca="false">'SG ARG'!Q223</f>
        <v>0.4775</v>
      </c>
      <c r="G113" s="70" t="n">
        <v>-0.11</v>
      </c>
      <c r="H113" s="58" t="n">
        <f aca="false">'Current Form'!L223</f>
        <v>0.18</v>
      </c>
      <c r="I113" s="71" t="n">
        <v>-0.04</v>
      </c>
      <c r="J113" s="22" t="s">
        <v>467</v>
      </c>
      <c r="K113" s="22" t="s">
        <v>468</v>
      </c>
    </row>
    <row r="114" customFormat="false" ht="15.75" hidden="false" customHeight="true" outlineLevel="0" collapsed="false">
      <c r="A114" s="59" t="s">
        <v>367</v>
      </c>
      <c r="B114" s="69" t="n">
        <f aca="false">'SG OTT'!Q224</f>
        <v>0.714285714285714</v>
      </c>
      <c r="C114" s="70" t="n">
        <f aca="false">Class!Q224</f>
        <v>0.915714285714286</v>
      </c>
      <c r="D114" s="70" t="n">
        <f aca="false">'SG APP'!Q224</f>
        <v>0.364285714285714</v>
      </c>
      <c r="E114" s="70" t="n">
        <f aca="false">'SG PUTT'!Q224</f>
        <v>0.127142857142857</v>
      </c>
      <c r="F114" s="70" t="n">
        <f aca="false">'SG ARG'!Q224</f>
        <v>-0.155714285714286</v>
      </c>
      <c r="G114" s="70" t="n">
        <v>0.01</v>
      </c>
      <c r="H114" s="58" t="n">
        <f aca="false">'Current Form'!L224</f>
        <v>0.545</v>
      </c>
      <c r="I114" s="71" t="n">
        <v>0.01</v>
      </c>
      <c r="J114" s="22" t="s">
        <v>467</v>
      </c>
      <c r="K114" s="22" t="s">
        <v>468</v>
      </c>
    </row>
    <row r="115" customFormat="false" ht="15.75" hidden="false" customHeight="true" outlineLevel="0" collapsed="false">
      <c r="A115" s="59" t="s">
        <v>369</v>
      </c>
      <c r="B115" s="69" t="n">
        <f aca="false">'SG OTT'!Q226</f>
        <v>-0.392222222222222</v>
      </c>
      <c r="C115" s="70" t="n">
        <f aca="false">Class!Q226</f>
        <v>0.0266666666666667</v>
      </c>
      <c r="D115" s="70" t="n">
        <f aca="false">'SG APP'!Q226</f>
        <v>-0.688888888888889</v>
      </c>
      <c r="E115" s="70" t="n">
        <f aca="false">'SG PUTT'!Q226</f>
        <v>0.252222222222222</v>
      </c>
      <c r="F115" s="70" t="n">
        <f aca="false">'SG ARG'!Q226</f>
        <v>-0.175555555555556</v>
      </c>
      <c r="G115" s="70" t="n">
        <v>0.23</v>
      </c>
      <c r="H115" s="58" t="n">
        <f aca="false">'Current Form'!L226</f>
        <v>-0.914</v>
      </c>
      <c r="I115" s="71" t="n">
        <v>0</v>
      </c>
      <c r="J115" s="22" t="s">
        <v>467</v>
      </c>
      <c r="K115" s="22" t="s">
        <v>468</v>
      </c>
    </row>
    <row r="116" customFormat="false" ht="15.75" hidden="false" customHeight="true" outlineLevel="0" collapsed="false">
      <c r="A116" s="59" t="s">
        <v>371</v>
      </c>
      <c r="B116" s="69" t="n">
        <f aca="false">'SG OTT'!Q228</f>
        <v>-0.478333333333333</v>
      </c>
      <c r="C116" s="70" t="n">
        <f aca="false">Class!Q228</f>
        <v>0.173333333333333</v>
      </c>
      <c r="D116" s="70" t="n">
        <f aca="false">'SG APP'!Q228</f>
        <v>-0.256666666666667</v>
      </c>
      <c r="E116" s="70" t="n">
        <f aca="false">'SG PUTT'!Q228</f>
        <v>-0.33</v>
      </c>
      <c r="F116" s="70" t="n">
        <f aca="false">'SG ARG'!Q228</f>
        <v>-0.293333333333333</v>
      </c>
      <c r="G116" s="70" t="n">
        <v>-0.02</v>
      </c>
      <c r="H116" s="58" t="n">
        <f aca="false">'Current Form'!L228</f>
        <v>-2.005</v>
      </c>
      <c r="I116" s="71" t="n">
        <v>-0.04</v>
      </c>
      <c r="J116" s="22" t="s">
        <v>467</v>
      </c>
      <c r="K116" s="22" t="s">
        <v>468</v>
      </c>
    </row>
    <row r="117" customFormat="false" ht="15.75" hidden="false" customHeight="true" outlineLevel="0" collapsed="false">
      <c r="A117" s="59" t="s">
        <v>374</v>
      </c>
      <c r="B117" s="69" t="n">
        <f aca="false">'SG OTT'!Q231</f>
        <v>0.17</v>
      </c>
      <c r="C117" s="70" t="n">
        <f aca="false">Class!Q231</f>
        <v>0.401111111111111</v>
      </c>
      <c r="D117" s="70" t="n">
        <f aca="false">'SG APP'!Q231</f>
        <v>-0.167777777777778</v>
      </c>
      <c r="E117" s="70" t="n">
        <f aca="false">'SG PUTT'!Q231</f>
        <v>-0.00555555555555555</v>
      </c>
      <c r="F117" s="70" t="n">
        <f aca="false">'SG ARG'!Q231</f>
        <v>-0.06</v>
      </c>
      <c r="G117" s="70" t="n">
        <v>0.03</v>
      </c>
      <c r="H117" s="58" t="n">
        <f aca="false">'Current Form'!L231</f>
        <v>0.121666666666667</v>
      </c>
      <c r="I117" s="71" t="n">
        <v>-0.04</v>
      </c>
      <c r="J117" s="22" t="s">
        <v>467</v>
      </c>
      <c r="K117" s="22" t="s">
        <v>468</v>
      </c>
    </row>
    <row r="118" customFormat="false" ht="15.75" hidden="false" customHeight="true" outlineLevel="0" collapsed="false">
      <c r="A118" s="59" t="s">
        <v>375</v>
      </c>
      <c r="B118" s="69" t="n">
        <f aca="false">'SG OTT'!Q232</f>
        <v>-0.052</v>
      </c>
      <c r="C118" s="70" t="n">
        <f aca="false">Class!Q232</f>
        <v>0.08</v>
      </c>
      <c r="D118" s="70" t="n">
        <f aca="false">'SG APP'!Q232</f>
        <v>0.3</v>
      </c>
      <c r="E118" s="70" t="n">
        <f aca="false">'SG PUTT'!Q232</f>
        <v>-0.268</v>
      </c>
      <c r="F118" s="70" t="n">
        <f aca="false">'SG ARG'!Q232</f>
        <v>-0.218</v>
      </c>
      <c r="G118" s="70" t="n">
        <v>0.02</v>
      </c>
      <c r="H118" s="58" t="n">
        <f aca="false">'Current Form'!L232</f>
        <v>-0.45</v>
      </c>
      <c r="I118" s="71" t="n">
        <v>0.06</v>
      </c>
      <c r="J118" s="22" t="s">
        <v>467</v>
      </c>
      <c r="K118" s="22" t="s">
        <v>468</v>
      </c>
    </row>
    <row r="119" customFormat="false" ht="15.75" hidden="false" customHeight="true" outlineLevel="0" collapsed="false">
      <c r="A119" s="59" t="s">
        <v>378</v>
      </c>
      <c r="B119" s="69" t="n">
        <f aca="false">'SG OTT'!Q235</f>
        <v>-0.285</v>
      </c>
      <c r="C119" s="70" t="n">
        <f aca="false">Class!Q235</f>
        <v>0.075</v>
      </c>
      <c r="D119" s="70" t="n">
        <f aca="false">'SG APP'!Q235</f>
        <v>-0.121666666666667</v>
      </c>
      <c r="E119" s="70" t="n">
        <f aca="false">'SG PUTT'!Q235</f>
        <v>-0.0416666666666667</v>
      </c>
      <c r="F119" s="70" t="n">
        <f aca="false">'SG ARG'!Q235</f>
        <v>-0.05</v>
      </c>
      <c r="G119" s="70" t="n">
        <v>-0.04</v>
      </c>
      <c r="H119" s="58" t="n">
        <f aca="false">'Current Form'!L235</f>
        <v>-0.473333333333333</v>
      </c>
      <c r="I119" s="71" t="n">
        <v>-0.05</v>
      </c>
      <c r="J119" s="22" t="s">
        <v>467</v>
      </c>
      <c r="K119" s="22" t="s">
        <v>468</v>
      </c>
    </row>
    <row r="120" customFormat="false" ht="15.75" hidden="false" customHeight="true" outlineLevel="0" collapsed="false">
      <c r="A120" s="59" t="s">
        <v>381</v>
      </c>
      <c r="B120" s="69" t="n">
        <f aca="false">'SG OTT'!Q238</f>
        <v>0.181428571428571</v>
      </c>
      <c r="C120" s="70" t="n">
        <f aca="false">Class!Q238</f>
        <v>0.0657142857142857</v>
      </c>
      <c r="D120" s="70" t="n">
        <f aca="false">'SG APP'!Q238</f>
        <v>-0.155714285714286</v>
      </c>
      <c r="E120" s="70" t="n">
        <f aca="false">'SG PUTT'!Q238</f>
        <v>-0.692857142857143</v>
      </c>
      <c r="F120" s="70" t="n">
        <f aca="false">'SG ARG'!Q238</f>
        <v>0.01</v>
      </c>
      <c r="G120" s="70" t="n">
        <v>-0.19</v>
      </c>
      <c r="H120" s="58" t="n">
        <f aca="false">'Current Form'!L238</f>
        <v>-0.476666666666667</v>
      </c>
      <c r="I120" s="71" t="n">
        <v>-0.04</v>
      </c>
      <c r="J120" s="22" t="s">
        <v>467</v>
      </c>
      <c r="K120" s="22" t="s">
        <v>468</v>
      </c>
    </row>
    <row r="121" customFormat="false" ht="15.75" hidden="false" customHeight="true" outlineLevel="0" collapsed="false">
      <c r="A121" s="59" t="s">
        <v>382</v>
      </c>
      <c r="B121" s="69" t="n">
        <f aca="false">'SG OTT'!Q239</f>
        <v>0.763333333333333</v>
      </c>
      <c r="C121" s="70" t="n">
        <f aca="false">Class!Q239</f>
        <v>1.37666666666667</v>
      </c>
      <c r="D121" s="70" t="n">
        <f aca="false">'SG APP'!Q239</f>
        <v>0.09</v>
      </c>
      <c r="E121" s="70" t="n">
        <f aca="false">'SG PUTT'!Q239</f>
        <v>-0.0266666666666667</v>
      </c>
      <c r="F121" s="70" t="n">
        <f aca="false">'SG ARG'!Q239</f>
        <v>0.225</v>
      </c>
      <c r="G121" s="70" t="n">
        <v>-0.02</v>
      </c>
      <c r="H121" s="58" t="n">
        <f aca="false">'Current Form'!L239</f>
        <v>1.325</v>
      </c>
      <c r="I121" s="71" t="n">
        <v>0.09</v>
      </c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383</v>
      </c>
      <c r="B122" s="69" t="n">
        <f aca="false">'SG OTT'!Q240</f>
        <v>0.791428571428572</v>
      </c>
      <c r="C122" s="70" t="n">
        <f aca="false">Class!Q240</f>
        <v>4.63857142857143</v>
      </c>
      <c r="D122" s="70" t="n">
        <f aca="false">'SG APP'!Q240</f>
        <v>1.23428571428571</v>
      </c>
      <c r="E122" s="70" t="n">
        <f aca="false">'SG PUTT'!Q240</f>
        <v>0.442857142857143</v>
      </c>
      <c r="F122" s="70" t="n">
        <f aca="false">'SG ARG'!Q240</f>
        <v>0.234285714285714</v>
      </c>
      <c r="G122" s="70" t="n">
        <v>-0.27</v>
      </c>
      <c r="H122" s="58" t="n">
        <f aca="false">'Current Form'!L240</f>
        <v>2.845</v>
      </c>
      <c r="I122" s="71" t="n">
        <v>0.02</v>
      </c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385</v>
      </c>
      <c r="B123" s="69" t="n">
        <f aca="false">'SG OTT'!Q242</f>
        <v>0.134285714285714</v>
      </c>
      <c r="C123" s="70" t="n">
        <f aca="false">Class!Q242</f>
        <v>0.162857142857143</v>
      </c>
      <c r="D123" s="70" t="n">
        <f aca="false">'SG APP'!Q242</f>
        <v>-0.0657142857142857</v>
      </c>
      <c r="E123" s="70" t="n">
        <f aca="false">'SG PUTT'!Q242</f>
        <v>-0.468571428571429</v>
      </c>
      <c r="F123" s="70" t="n">
        <f aca="false">'SG ARG'!Q242</f>
        <v>-0.245714285714286</v>
      </c>
      <c r="G123" s="70" t="n">
        <v>0.16</v>
      </c>
      <c r="H123" s="58" t="n">
        <f aca="false">'Current Form'!L242</f>
        <v>-0.775</v>
      </c>
      <c r="I123" s="71" t="n">
        <v>0.01</v>
      </c>
      <c r="J123" s="22" t="s">
        <v>467</v>
      </c>
      <c r="K123" s="22" t="s">
        <v>468</v>
      </c>
    </row>
    <row r="124" customFormat="false" ht="15.75" hidden="false" customHeight="true" outlineLevel="0" collapsed="false">
      <c r="A124" s="59" t="s">
        <v>387</v>
      </c>
      <c r="B124" s="69" t="n">
        <f aca="false">'SG OTT'!Q244</f>
        <v>0.116666666666667</v>
      </c>
      <c r="C124" s="70" t="n">
        <f aca="false">Class!Q244</f>
        <v>0.0283333333333333</v>
      </c>
      <c r="D124" s="70" t="n">
        <f aca="false">'SG APP'!Q244</f>
        <v>-0.665</v>
      </c>
      <c r="E124" s="70" t="n">
        <f aca="false">'SG PUTT'!Q244</f>
        <v>-0.883333333333333</v>
      </c>
      <c r="F124" s="70" t="n">
        <f aca="false">'SG ARG'!Q244</f>
        <v>-0.448333333333333</v>
      </c>
      <c r="G124" s="70" t="n">
        <v>0.22</v>
      </c>
      <c r="H124" s="58" t="n">
        <f aca="false">'Current Form'!L244</f>
        <v>-0.43</v>
      </c>
      <c r="I124" s="71" t="n">
        <v>-0.04</v>
      </c>
      <c r="J124" s="22" t="s">
        <v>467</v>
      </c>
      <c r="K124" s="22" t="s">
        <v>468</v>
      </c>
    </row>
    <row r="125" customFormat="false" ht="15.75" hidden="false" customHeight="true" outlineLevel="0" collapsed="false">
      <c r="A125" s="59" t="s">
        <v>388</v>
      </c>
      <c r="B125" s="69" t="n">
        <f aca="false">'SG OTT'!Q245</f>
        <v>0.301666666666667</v>
      </c>
      <c r="C125" s="70" t="n">
        <f aca="false">Class!Q245</f>
        <v>0.788333333333333</v>
      </c>
      <c r="D125" s="70" t="n">
        <f aca="false">'SG APP'!Q245</f>
        <v>0.331666666666667</v>
      </c>
      <c r="E125" s="70" t="n">
        <f aca="false">'SG PUTT'!Q245</f>
        <v>-0.0233333333333333</v>
      </c>
      <c r="F125" s="70" t="n">
        <f aca="false">'SG ARG'!Q245</f>
        <v>-0.115</v>
      </c>
      <c r="G125" s="70" t="n">
        <v>0.04</v>
      </c>
      <c r="H125" s="58" t="n">
        <f aca="false">'Current Form'!L245</f>
        <v>0.103333333333333</v>
      </c>
      <c r="I125" s="71" t="n">
        <v>0.06</v>
      </c>
      <c r="J125" s="22" t="s">
        <v>467</v>
      </c>
      <c r="K125" s="22" t="s">
        <v>468</v>
      </c>
    </row>
    <row r="126" customFormat="false" ht="15.75" hidden="false" customHeight="true" outlineLevel="0" collapsed="false">
      <c r="A126" s="59" t="s">
        <v>391</v>
      </c>
      <c r="B126" s="69" t="n">
        <f aca="false">'SG OTT'!Q248</f>
        <v>-0.59</v>
      </c>
      <c r="C126" s="70" t="n">
        <f aca="false">Class!Q248</f>
        <v>0</v>
      </c>
      <c r="D126" s="70" t="n">
        <f aca="false">'SG APP'!Q248</f>
        <v>-1.255</v>
      </c>
      <c r="E126" s="70" t="n">
        <f aca="false">'SG PUTT'!Q248</f>
        <v>-0.3775</v>
      </c>
      <c r="F126" s="70" t="n">
        <f aca="false">'SG ARG'!Q248</f>
        <v>-0.6425</v>
      </c>
      <c r="G126" s="70" t="n">
        <v>0.06</v>
      </c>
      <c r="H126" s="58" t="n">
        <f aca="false">'Current Form'!L248</f>
        <v>-2.435</v>
      </c>
      <c r="I126" s="71" t="n">
        <v>0.07</v>
      </c>
      <c r="J126" s="22" t="s">
        <v>467</v>
      </c>
      <c r="K126" s="22" t="s">
        <v>468</v>
      </c>
    </row>
    <row r="127" customFormat="false" ht="15.75" hidden="false" customHeight="true" outlineLevel="0" collapsed="false">
      <c r="A127" s="59" t="s">
        <v>396</v>
      </c>
      <c r="B127" s="69" t="n">
        <f aca="false">'SG OTT'!Q253</f>
        <v>0.25625</v>
      </c>
      <c r="C127" s="70" t="n">
        <f aca="false">Class!Q253</f>
        <v>1.02625</v>
      </c>
      <c r="D127" s="70" t="n">
        <f aca="false">'SG APP'!Q253</f>
        <v>0.50375</v>
      </c>
      <c r="E127" s="70" t="n">
        <f aca="false">'SG PUTT'!Q253</f>
        <v>0.42125</v>
      </c>
      <c r="F127" s="70" t="n">
        <f aca="false">'SG ARG'!Q253</f>
        <v>-0.125</v>
      </c>
      <c r="G127" s="70" t="n">
        <v>-0.07</v>
      </c>
      <c r="H127" s="58" t="n">
        <f aca="false">'Current Form'!L253</f>
        <v>-0.2975</v>
      </c>
      <c r="I127" s="71" t="n">
        <v>0.03</v>
      </c>
      <c r="J127" s="22" t="s">
        <v>467</v>
      </c>
      <c r="K127" s="22" t="s">
        <v>468</v>
      </c>
    </row>
    <row r="128" customFormat="false" ht="15.75" hidden="false" customHeight="true" outlineLevel="0" collapsed="false">
      <c r="A128" s="59" t="s">
        <v>398</v>
      </c>
      <c r="B128" s="69" t="n">
        <f aca="false">'SG OTT'!Q255</f>
        <v>0.41625</v>
      </c>
      <c r="C128" s="70" t="n">
        <f aca="false">Class!Q255</f>
        <v>0.4625</v>
      </c>
      <c r="D128" s="70" t="n">
        <f aca="false">'SG APP'!Q255</f>
        <v>0.49125</v>
      </c>
      <c r="E128" s="70" t="n">
        <f aca="false">'SG PUTT'!Q255</f>
        <v>-0.06875</v>
      </c>
      <c r="F128" s="70" t="n">
        <f aca="false">'SG ARG'!Q255</f>
        <v>-0.1775</v>
      </c>
      <c r="G128" s="70" t="n">
        <v>-0.03</v>
      </c>
      <c r="H128" s="58" t="n">
        <f aca="false">'Current Form'!L255</f>
        <v>1.1475</v>
      </c>
      <c r="I128" s="71" t="n">
        <v>0.08</v>
      </c>
      <c r="J128" s="22" t="s">
        <v>467</v>
      </c>
      <c r="K128" s="22" t="s">
        <v>468</v>
      </c>
    </row>
    <row r="129" customFormat="false" ht="15.75" hidden="false" customHeight="true" outlineLevel="0" collapsed="false">
      <c r="A129" s="59" t="s">
        <v>399</v>
      </c>
      <c r="B129" s="69" t="n">
        <f aca="false">'SG OTT'!Q256</f>
        <v>0.00714285714285714</v>
      </c>
      <c r="C129" s="70" t="n">
        <f aca="false">Class!Q256</f>
        <v>0.03</v>
      </c>
      <c r="D129" s="70" t="n">
        <f aca="false">'SG APP'!Q256</f>
        <v>0.541428571428572</v>
      </c>
      <c r="E129" s="70" t="n">
        <f aca="false">'SG PUTT'!Q256</f>
        <v>-0.995714285714286</v>
      </c>
      <c r="F129" s="70" t="n">
        <f aca="false">'SG ARG'!Q256</f>
        <v>-0.642857142857143</v>
      </c>
      <c r="G129" s="70" t="n">
        <v>-0.13</v>
      </c>
      <c r="H129" s="58" t="n">
        <f aca="false">'Current Form'!L256</f>
        <v>-1.3275</v>
      </c>
      <c r="I129" s="71" t="n">
        <v>-0.04</v>
      </c>
      <c r="J129" s="22" t="s">
        <v>467</v>
      </c>
      <c r="K129" s="22" t="s">
        <v>468</v>
      </c>
    </row>
    <row r="130" customFormat="false" ht="15.75" hidden="false" customHeight="true" outlineLevel="0" collapsed="false">
      <c r="A130" s="59" t="s">
        <v>400</v>
      </c>
      <c r="B130" s="69" t="n">
        <f aca="false">'SG OTT'!Q257</f>
        <v>-0.63</v>
      </c>
      <c r="C130" s="70" t="n">
        <f aca="false">Class!Q257</f>
        <v>0.185</v>
      </c>
      <c r="D130" s="70" t="n">
        <f aca="false">'SG APP'!Q257</f>
        <v>-0.06625</v>
      </c>
      <c r="E130" s="70" t="n">
        <f aca="false">'SG PUTT'!Q257</f>
        <v>0.17875</v>
      </c>
      <c r="F130" s="70" t="n">
        <f aca="false">'SG ARG'!Q257</f>
        <v>0.3075</v>
      </c>
      <c r="G130" s="70" t="n">
        <v>-0.32</v>
      </c>
      <c r="H130" s="58" t="n">
        <f aca="false">'Current Form'!L257</f>
        <v>-0.2</v>
      </c>
      <c r="I130" s="71" t="n">
        <v>-0.04</v>
      </c>
      <c r="J130" s="22" t="s">
        <v>467</v>
      </c>
      <c r="K130" s="22" t="s">
        <v>468</v>
      </c>
    </row>
    <row r="131" customFormat="false" ht="15.75" hidden="false" customHeight="true" outlineLevel="0" collapsed="false">
      <c r="A131" s="59" t="s">
        <v>401</v>
      </c>
      <c r="B131" s="69" t="n">
        <f aca="false">'SG OTT'!Q258</f>
        <v>0.2925</v>
      </c>
      <c r="C131" s="70" t="n">
        <f aca="false">Class!Q258</f>
        <v>0.96</v>
      </c>
      <c r="D131" s="70" t="n">
        <f aca="false">'SG APP'!Q258</f>
        <v>0.895</v>
      </c>
      <c r="E131" s="70" t="n">
        <f aca="false">'SG PUTT'!Q258</f>
        <v>-0.19125</v>
      </c>
      <c r="F131" s="70" t="n">
        <f aca="false">'SG ARG'!Q258</f>
        <v>0.3225</v>
      </c>
      <c r="G131" s="70" t="n">
        <v>-0.19</v>
      </c>
      <c r="H131" s="58" t="n">
        <f aca="false">'Current Form'!L258</f>
        <v>1.045</v>
      </c>
      <c r="I131" s="71" t="n">
        <v>-0.01</v>
      </c>
      <c r="J131" s="22" t="s">
        <v>467</v>
      </c>
      <c r="K131" s="22" t="s">
        <v>468</v>
      </c>
    </row>
    <row r="132" customFormat="false" ht="15.75" hidden="false" customHeight="true" outlineLevel="0" collapsed="false">
      <c r="A132" s="59" t="s">
        <v>404</v>
      </c>
      <c r="B132" s="69" t="n">
        <f aca="false">'SG OTT'!Q261</f>
        <v>-0.245</v>
      </c>
      <c r="C132" s="70" t="n">
        <f aca="false">Class!Q261</f>
        <v>0.1425</v>
      </c>
      <c r="D132" s="70" t="n">
        <f aca="false">'SG APP'!Q261</f>
        <v>-0.64</v>
      </c>
      <c r="E132" s="70" t="n">
        <f aca="false">'SG PUTT'!Q261</f>
        <v>-0.1675</v>
      </c>
      <c r="F132" s="70" t="n">
        <f aca="false">'SG ARG'!Q261</f>
        <v>0.03</v>
      </c>
      <c r="G132" s="70" t="n">
        <v>-0.09</v>
      </c>
      <c r="H132" s="58" t="e">
        <f aca="false">'Current Form'!L261</f>
        <v>#VALUE!</v>
      </c>
      <c r="I132" s="71" t="n">
        <v>-0.04</v>
      </c>
      <c r="J132" s="22" t="s">
        <v>467</v>
      </c>
      <c r="K132" s="22" t="s">
        <v>468</v>
      </c>
    </row>
    <row r="133" customFormat="false" ht="15.75" hidden="false" customHeight="true" outlineLevel="0" collapsed="false">
      <c r="A133" s="59" t="s">
        <v>405</v>
      </c>
      <c r="B133" s="69" t="n">
        <f aca="false">'SG OTT'!Q262</f>
        <v>0.093</v>
      </c>
      <c r="C133" s="70" t="n">
        <f aca="false">Class!Q262</f>
        <v>0.092</v>
      </c>
      <c r="D133" s="70" t="n">
        <f aca="false">'SG APP'!Q262</f>
        <v>-0.008</v>
      </c>
      <c r="E133" s="70" t="n">
        <f aca="false">'SG PUTT'!Q262</f>
        <v>-0.514</v>
      </c>
      <c r="F133" s="70" t="n">
        <f aca="false">'SG ARG'!Q262</f>
        <v>0.013</v>
      </c>
      <c r="G133" s="70" t="n">
        <v>0.01</v>
      </c>
      <c r="H133" s="58" t="n">
        <f aca="false">'Current Form'!L262</f>
        <v>-0.881666666666667</v>
      </c>
      <c r="I133" s="71" t="n">
        <v>-0.03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9" t="s">
        <v>406</v>
      </c>
      <c r="B134" s="69" t="n">
        <f aca="false">'SG OTT'!Q263</f>
        <v>-0.111428571428571</v>
      </c>
      <c r="C134" s="70" t="n">
        <f aca="false">Class!Q263</f>
        <v>0.0314285714285714</v>
      </c>
      <c r="D134" s="70" t="n">
        <f aca="false">'SG APP'!Q263</f>
        <v>0.00142857142857144</v>
      </c>
      <c r="E134" s="70" t="n">
        <f aca="false">'SG PUTT'!Q263</f>
        <v>-0.435714285714286</v>
      </c>
      <c r="F134" s="70" t="n">
        <f aca="false">'SG ARG'!Q263</f>
        <v>-0.3</v>
      </c>
      <c r="G134" s="70" t="n">
        <v>-0.08</v>
      </c>
      <c r="H134" s="58" t="n">
        <f aca="false">'Current Form'!L263</f>
        <v>-0.915</v>
      </c>
      <c r="I134" s="71" t="n">
        <v>0.02</v>
      </c>
      <c r="J134" s="22" t="s">
        <v>467</v>
      </c>
      <c r="K134" s="22" t="s">
        <v>468</v>
      </c>
    </row>
    <row r="135" customFormat="false" ht="15.75" hidden="false" customHeight="true" outlineLevel="0" collapsed="false">
      <c r="A135" s="59" t="s">
        <v>408</v>
      </c>
      <c r="B135" s="69" t="n">
        <f aca="false">'SG OTT'!Q265</f>
        <v>-1.105</v>
      </c>
      <c r="C135" s="70" t="n">
        <f aca="false">Class!Q265</f>
        <v>0</v>
      </c>
      <c r="D135" s="70" t="n">
        <f aca="false">'SG APP'!Q265</f>
        <v>-1.565</v>
      </c>
      <c r="E135" s="70" t="n">
        <f aca="false">'SG PUTT'!Q265</f>
        <v>-0.655</v>
      </c>
      <c r="F135" s="70" t="n">
        <f aca="false">'SG ARG'!Q265</f>
        <v>-0.015</v>
      </c>
      <c r="G135" s="70" t="n">
        <v>0.26</v>
      </c>
      <c r="H135" s="58" t="n">
        <f aca="false">'Current Form'!L265</f>
        <v>-1.8</v>
      </c>
      <c r="I135" s="71" t="n">
        <v>-0.02</v>
      </c>
      <c r="J135" s="22" t="s">
        <v>467</v>
      </c>
      <c r="K135" s="22" t="s">
        <v>468</v>
      </c>
    </row>
    <row r="136" customFormat="false" ht="15.75" hidden="false" customHeight="true" outlineLevel="0" collapsed="false">
      <c r="A136" s="59" t="s">
        <v>410</v>
      </c>
      <c r="B136" s="69" t="n">
        <f aca="false">'SG OTT'!Q267</f>
        <v>0.02</v>
      </c>
      <c r="C136" s="70" t="n">
        <f aca="false">Class!Q267</f>
        <v>0.08</v>
      </c>
      <c r="D136" s="70" t="n">
        <f aca="false">'SG APP'!Q267</f>
        <v>-0.415</v>
      </c>
      <c r="E136" s="70" t="n">
        <f aca="false">'SG PUTT'!Q267</f>
        <v>-0.14</v>
      </c>
      <c r="F136" s="70" t="n">
        <f aca="false">'SG ARG'!Q267</f>
        <v>-0.298333333333333</v>
      </c>
      <c r="G136" s="70" t="n">
        <v>-0.11</v>
      </c>
      <c r="H136" s="58" t="n">
        <f aca="false">'Current Form'!L267</f>
        <v>-0.166666666666667</v>
      </c>
      <c r="I136" s="71" t="n">
        <v>0.09</v>
      </c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412</v>
      </c>
      <c r="B137" s="69" t="n">
        <f aca="false">'SG OTT'!Q269</f>
        <v>0.621666666666667</v>
      </c>
      <c r="C137" s="70" t="n">
        <f aca="false">Class!Q269</f>
        <v>0.21</v>
      </c>
      <c r="D137" s="70" t="n">
        <f aca="false">'SG APP'!Q269</f>
        <v>-0.525</v>
      </c>
      <c r="E137" s="70" t="n">
        <f aca="false">'SG PUTT'!Q269</f>
        <v>-0.341666666666667</v>
      </c>
      <c r="F137" s="70" t="n">
        <f aca="false">'SG ARG'!Q269</f>
        <v>0.00333333333333333</v>
      </c>
      <c r="G137" s="70" t="n">
        <v>0.2</v>
      </c>
      <c r="H137" s="58" t="n">
        <f aca="false">'Current Form'!L269</f>
        <v>-0.6675</v>
      </c>
      <c r="I137" s="71" t="n">
        <v>0.03</v>
      </c>
      <c r="J137" s="22" t="s">
        <v>467</v>
      </c>
      <c r="K137" s="22" t="s">
        <v>468</v>
      </c>
    </row>
    <row r="138" customFormat="false" ht="15.75" hidden="false" customHeight="true" outlineLevel="0" collapsed="false">
      <c r="A138" s="59" t="s">
        <v>413</v>
      </c>
      <c r="B138" s="69" t="n">
        <f aca="false">'SG OTT'!Q270</f>
        <v>-0.42</v>
      </c>
      <c r="C138" s="70" t="n">
        <f aca="false">Class!Q270</f>
        <v>0</v>
      </c>
      <c r="D138" s="70" t="n">
        <f aca="false">'SG APP'!Q270</f>
        <v>-0.744</v>
      </c>
      <c r="E138" s="70" t="n">
        <f aca="false">'SG PUTT'!Q270</f>
        <v>-1.578</v>
      </c>
      <c r="F138" s="70" t="n">
        <f aca="false">'SG ARG'!Q270</f>
        <v>-0.178</v>
      </c>
      <c r="G138" s="70" t="n">
        <v>0.12</v>
      </c>
      <c r="H138" s="58" t="n">
        <f aca="false">'Current Form'!L270</f>
        <v>-2.625</v>
      </c>
      <c r="I138" s="71" t="n">
        <v>0.12</v>
      </c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414</v>
      </c>
      <c r="B139" s="69" t="n">
        <f aca="false">'SG OTT'!Q271</f>
        <v>-0.172222222222222</v>
      </c>
      <c r="C139" s="70" t="n">
        <f aca="false">Class!Q271</f>
        <v>0.39</v>
      </c>
      <c r="D139" s="70" t="n">
        <f aca="false">'SG APP'!Q271</f>
        <v>-0.0533333333333333</v>
      </c>
      <c r="E139" s="70" t="n">
        <f aca="false">'SG PUTT'!Q271</f>
        <v>0.723333333333333</v>
      </c>
      <c r="F139" s="70" t="n">
        <f aca="false">'SG ARG'!Q271</f>
        <v>0.0233333333333333</v>
      </c>
      <c r="G139" s="70" t="n">
        <v>-0.18</v>
      </c>
      <c r="H139" s="58" t="n">
        <f aca="false">'Current Form'!L271</f>
        <v>0.09</v>
      </c>
      <c r="I139" s="71" t="n">
        <v>0.09</v>
      </c>
      <c r="J139" s="22" t="s">
        <v>467</v>
      </c>
      <c r="K139" s="22" t="s">
        <v>468</v>
      </c>
    </row>
    <row r="140" customFormat="false" ht="15.75" hidden="false" customHeight="true" outlineLevel="0" collapsed="false">
      <c r="A140" s="59" t="s">
        <v>415</v>
      </c>
      <c r="B140" s="69" t="n">
        <f aca="false">'SG OTT'!Q272</f>
        <v>-0.0977777777777778</v>
      </c>
      <c r="C140" s="70" t="n">
        <f aca="false">Class!Q272</f>
        <v>0.116666666666667</v>
      </c>
      <c r="D140" s="70" t="n">
        <f aca="false">'SG APP'!Q272</f>
        <v>0.284444444444444</v>
      </c>
      <c r="E140" s="70" t="n">
        <f aca="false">'SG PUTT'!Q272</f>
        <v>0.00333333333333333</v>
      </c>
      <c r="F140" s="70" t="n">
        <f aca="false">'SG ARG'!Q272</f>
        <v>0.203333333333333</v>
      </c>
      <c r="G140" s="70" t="n">
        <v>0.04</v>
      </c>
      <c r="H140" s="58" t="n">
        <f aca="false">'Current Form'!L272</f>
        <v>0.506</v>
      </c>
      <c r="I140" s="71" t="n">
        <v>0.01</v>
      </c>
      <c r="J140" s="22" t="s">
        <v>467</v>
      </c>
      <c r="K140" s="22" t="s">
        <v>468</v>
      </c>
    </row>
    <row r="141" customFormat="false" ht="15.75" hidden="false" customHeight="true" outlineLevel="0" collapsed="false">
      <c r="A141" s="59" t="s">
        <v>416</v>
      </c>
      <c r="B141" s="69" t="n">
        <f aca="false">'SG OTT'!Q273</f>
        <v>0.465</v>
      </c>
      <c r="C141" s="70" t="n">
        <f aca="false">Class!Q273</f>
        <v>0.93125</v>
      </c>
      <c r="D141" s="70" t="n">
        <f aca="false">'SG APP'!Q273</f>
        <v>0.33375</v>
      </c>
      <c r="E141" s="70" t="n">
        <f aca="false">'SG PUTT'!Q273</f>
        <v>0.26875</v>
      </c>
      <c r="F141" s="70" t="n">
        <f aca="false">'SG ARG'!Q273</f>
        <v>0.61375</v>
      </c>
      <c r="G141" s="70" t="n">
        <v>-0.07</v>
      </c>
      <c r="H141" s="58" t="n">
        <f aca="false">'Current Form'!L273</f>
        <v>1.545</v>
      </c>
      <c r="I141" s="71" t="n">
        <v>0.03</v>
      </c>
      <c r="J141" s="22" t="s">
        <v>467</v>
      </c>
      <c r="K141" s="22" t="s">
        <v>468</v>
      </c>
    </row>
    <row r="142" customFormat="false" ht="15.75" hidden="false" customHeight="true" outlineLevel="0" collapsed="false">
      <c r="A142" s="59" t="s">
        <v>418</v>
      </c>
      <c r="B142" s="69" t="n">
        <f aca="false">'SG OTT'!Q275</f>
        <v>0.518333333333333</v>
      </c>
      <c r="C142" s="70" t="n">
        <f aca="false">Class!Q275</f>
        <v>0.726666666666667</v>
      </c>
      <c r="D142" s="70" t="n">
        <f aca="false">'SG APP'!Q275</f>
        <v>0.0733333333333334</v>
      </c>
      <c r="E142" s="70" t="n">
        <f aca="false">'SG PUTT'!Q275</f>
        <v>-0.208333333333333</v>
      </c>
      <c r="F142" s="70" t="n">
        <f aca="false">'SG ARG'!Q275</f>
        <v>0.308333333333333</v>
      </c>
      <c r="G142" s="70" t="n">
        <v>0.03</v>
      </c>
      <c r="H142" s="58" t="n">
        <f aca="false">'Current Form'!L275</f>
        <v>1.18</v>
      </c>
      <c r="I142" s="71" t="n">
        <v>-0.04</v>
      </c>
      <c r="J142" s="22" t="s">
        <v>467</v>
      </c>
      <c r="K142" s="22" t="s">
        <v>468</v>
      </c>
    </row>
    <row r="143" customFormat="false" ht="15.75" hidden="false" customHeight="true" outlineLevel="0" collapsed="false">
      <c r="A143" s="59" t="s">
        <v>423</v>
      </c>
      <c r="B143" s="69" t="n">
        <f aca="false">'SG OTT'!Q280</f>
        <v>-0.473333333333333</v>
      </c>
      <c r="C143" s="70" t="n">
        <f aca="false">Class!Q280</f>
        <v>0.16</v>
      </c>
      <c r="D143" s="70" t="n">
        <f aca="false">'SG APP'!Q280</f>
        <v>-0.288333333333333</v>
      </c>
      <c r="E143" s="70" t="n">
        <f aca="false">'SG PUTT'!Q280</f>
        <v>0.06</v>
      </c>
      <c r="F143" s="70" t="n">
        <f aca="false">'SG ARG'!Q280</f>
        <v>-0.106666666666667</v>
      </c>
      <c r="G143" s="70" t="n">
        <v>-0.13</v>
      </c>
      <c r="H143" s="58" t="n">
        <f aca="false">'Current Form'!L280</f>
        <v>-1.705</v>
      </c>
      <c r="I143" s="71" t="n">
        <v>0</v>
      </c>
      <c r="J143" s="22" t="s">
        <v>467</v>
      </c>
      <c r="K143" s="22" t="s">
        <v>468</v>
      </c>
    </row>
    <row r="144" customFormat="false" ht="15.75" hidden="false" customHeight="true" outlineLevel="0" collapsed="false">
      <c r="A144" s="59" t="s">
        <v>424</v>
      </c>
      <c r="B144" s="69" t="n">
        <f aca="false">'SG OTT'!Q281</f>
        <v>-0.23</v>
      </c>
      <c r="C144" s="70" t="n">
        <f aca="false">Class!Q281</f>
        <v>0.151428571428571</v>
      </c>
      <c r="D144" s="70" t="n">
        <f aca="false">'SG APP'!Q281</f>
        <v>-0.172857142857143</v>
      </c>
      <c r="E144" s="70" t="n">
        <f aca="false">'SG PUTT'!Q281</f>
        <v>0.488571428571429</v>
      </c>
      <c r="F144" s="70" t="n">
        <f aca="false">'SG ARG'!Q281</f>
        <v>0.191428571428571</v>
      </c>
      <c r="G144" s="70" t="n">
        <v>0.06</v>
      </c>
      <c r="H144" s="58" t="n">
        <f aca="false">'Current Form'!L281</f>
        <v>0.1525</v>
      </c>
      <c r="I144" s="71" t="n">
        <v>0.09</v>
      </c>
      <c r="J144" s="22" t="s">
        <v>467</v>
      </c>
      <c r="K144" s="22" t="s">
        <v>468</v>
      </c>
    </row>
    <row r="145" customFormat="false" ht="15.75" hidden="false" customHeight="true" outlineLevel="0" collapsed="false">
      <c r="A145" s="59" t="s">
        <v>426</v>
      </c>
      <c r="B145" s="69" t="n">
        <f aca="false">'SG OTT'!Q283</f>
        <v>-0.748333333333333</v>
      </c>
      <c r="C145" s="70" t="n">
        <f aca="false">Class!Q283</f>
        <v>0</v>
      </c>
      <c r="D145" s="70" t="n">
        <f aca="false">'SG APP'!Q283</f>
        <v>-1.31833333333333</v>
      </c>
      <c r="E145" s="70" t="n">
        <f aca="false">'SG PUTT'!Q283</f>
        <v>0.501666666666667</v>
      </c>
      <c r="F145" s="70" t="n">
        <f aca="false">'SG ARG'!Q283</f>
        <v>-0.546666666666667</v>
      </c>
      <c r="G145" s="70" t="n">
        <v>0.17</v>
      </c>
      <c r="H145" s="58" t="n">
        <f aca="false">'Current Form'!L283</f>
        <v>-1.90666666666667</v>
      </c>
      <c r="I145" s="71" t="n">
        <v>0.02</v>
      </c>
      <c r="J145" s="22" t="s">
        <v>467</v>
      </c>
      <c r="K145" s="22" t="s">
        <v>468</v>
      </c>
    </row>
    <row r="146" customFormat="false" ht="15.75" hidden="false" customHeight="true" outlineLevel="0" collapsed="false">
      <c r="A146" s="59" t="s">
        <v>430</v>
      </c>
      <c r="B146" s="69" t="n">
        <f aca="false">'SG OTT'!Q287</f>
        <v>-0.405714285714286</v>
      </c>
      <c r="C146" s="70" t="n">
        <f aca="false">Class!Q287</f>
        <v>0.08</v>
      </c>
      <c r="D146" s="70" t="n">
        <f aca="false">'SG APP'!Q287</f>
        <v>-0.138571428571429</v>
      </c>
      <c r="E146" s="70" t="n">
        <f aca="false">'SG PUTT'!Q287</f>
        <v>-0.292857142857143</v>
      </c>
      <c r="F146" s="70" t="n">
        <f aca="false">'SG ARG'!Q287</f>
        <v>0.164285714285714</v>
      </c>
      <c r="G146" s="70" t="n">
        <v>0.12</v>
      </c>
      <c r="H146" s="58" t="n">
        <f aca="false">'Current Form'!L287</f>
        <v>-0.295</v>
      </c>
      <c r="I146" s="71" t="n">
        <v>-0.05</v>
      </c>
      <c r="J146" s="22" t="s">
        <v>467</v>
      </c>
      <c r="K146" s="22" t="s">
        <v>468</v>
      </c>
      <c r="Q146" s="72"/>
    </row>
    <row r="147" customFormat="false" ht="15.75" hidden="false" customHeight="true" outlineLevel="0" collapsed="false">
      <c r="A147" s="59" t="s">
        <v>432</v>
      </c>
      <c r="B147" s="69" t="n">
        <f aca="false">'SG OTT'!Q289</f>
        <v>-0.0328571428571429</v>
      </c>
      <c r="C147" s="70" t="n">
        <f aca="false">Class!Q289</f>
        <v>0.0657142857142857</v>
      </c>
      <c r="D147" s="70" t="n">
        <f aca="false">'SG APP'!Q289</f>
        <v>-0.642857142857143</v>
      </c>
      <c r="E147" s="70" t="n">
        <f aca="false">'SG PUTT'!Q289</f>
        <v>-0.154285714285714</v>
      </c>
      <c r="F147" s="70" t="n">
        <f aca="false">'SG ARG'!Q289</f>
        <v>-0.0571428571428572</v>
      </c>
      <c r="G147" s="70" t="n">
        <v>0.08</v>
      </c>
      <c r="H147" s="58" t="n">
        <f aca="false">'Current Form'!L289</f>
        <v>0.37</v>
      </c>
      <c r="I147" s="71" t="n">
        <v>-0.02</v>
      </c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434</v>
      </c>
      <c r="B148" s="69" t="n">
        <f aca="false">'SG OTT'!Q291</f>
        <v>0.2</v>
      </c>
      <c r="C148" s="70" t="n">
        <f aca="false">Class!Q291</f>
        <v>0.538571428571429</v>
      </c>
      <c r="D148" s="70" t="n">
        <f aca="false">'SG APP'!Q291</f>
        <v>0.777142857142857</v>
      </c>
      <c r="E148" s="70" t="n">
        <f aca="false">'SG PUTT'!Q291</f>
        <v>-0.0985714285714286</v>
      </c>
      <c r="F148" s="70" t="n">
        <f aca="false">'SG ARG'!Q291</f>
        <v>0.32</v>
      </c>
      <c r="G148" s="70" t="n">
        <v>-0.07</v>
      </c>
      <c r="H148" s="58" t="n">
        <f aca="false">'Current Form'!L291</f>
        <v>0.89</v>
      </c>
      <c r="I148" s="71" t="n">
        <v>0.09</v>
      </c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435</v>
      </c>
      <c r="B149" s="69" t="n">
        <f aca="false">'SG OTT'!Q292</f>
        <v>0.106</v>
      </c>
      <c r="C149" s="70" t="n">
        <f aca="false">Class!Q292</f>
        <v>0.082</v>
      </c>
      <c r="D149" s="70" t="n">
        <f aca="false">'SG APP'!Q292</f>
        <v>0.588</v>
      </c>
      <c r="E149" s="70" t="n">
        <f aca="false">'SG PUTT'!Q292</f>
        <v>-0.902</v>
      </c>
      <c r="F149" s="70" t="n">
        <f aca="false">'SG ARG'!Q292</f>
        <v>-0.026</v>
      </c>
      <c r="G149" s="70" t="n">
        <v>0.05</v>
      </c>
      <c r="H149" s="58" t="n">
        <f aca="false">'Current Form'!L292</f>
        <v>-0.355</v>
      </c>
      <c r="I149" s="71" t="n">
        <v>-0.02</v>
      </c>
      <c r="J149" s="22" t="s">
        <v>467</v>
      </c>
      <c r="K149" s="22" t="s">
        <v>468</v>
      </c>
    </row>
    <row r="150" customFormat="false" ht="15.75" hidden="false" customHeight="true" outlineLevel="0" collapsed="false">
      <c r="A150" s="59" t="s">
        <v>440</v>
      </c>
      <c r="B150" s="69" t="n">
        <f aca="false">'SG OTT'!Q297</f>
        <v>-0.0314285714285714</v>
      </c>
      <c r="C150" s="70" t="n">
        <f aca="false">Class!Q297</f>
        <v>0.308571428571429</v>
      </c>
      <c r="D150" s="70" t="n">
        <f aca="false">'SG APP'!Q297</f>
        <v>-0.28</v>
      </c>
      <c r="E150" s="70" t="n">
        <f aca="false">'SG PUTT'!Q297</f>
        <v>0.0471428571428571</v>
      </c>
      <c r="F150" s="70" t="n">
        <f aca="false">'SG ARG'!Q297</f>
        <v>0.338571428571429</v>
      </c>
      <c r="G150" s="70" t="n">
        <v>-0.15</v>
      </c>
      <c r="H150" s="58" t="n">
        <f aca="false">'Current Form'!L297</f>
        <v>-0.37</v>
      </c>
      <c r="I150" s="71" t="n">
        <v>0.06</v>
      </c>
      <c r="J150" s="22" t="s">
        <v>467</v>
      </c>
      <c r="K150" s="22" t="s">
        <v>468</v>
      </c>
    </row>
    <row r="151" customFormat="false" ht="15.75" hidden="false" customHeight="true" outlineLevel="0" collapsed="false">
      <c r="A151" s="59" t="s">
        <v>441</v>
      </c>
      <c r="B151" s="69" t="n">
        <f aca="false">'SG OTT'!Q298</f>
        <v>-0.668333333333333</v>
      </c>
      <c r="C151" s="70" t="n">
        <f aca="false">Class!Q298</f>
        <v>0.14</v>
      </c>
      <c r="D151" s="70" t="n">
        <f aca="false">'SG APP'!Q298</f>
        <v>-0.133333333333333</v>
      </c>
      <c r="E151" s="70" t="n">
        <f aca="false">'SG PUTT'!Q298</f>
        <v>0.32</v>
      </c>
      <c r="F151" s="70" t="n">
        <f aca="false">'SG ARG'!Q298</f>
        <v>-0.361666666666667</v>
      </c>
      <c r="G151" s="70" t="n">
        <v>0.05</v>
      </c>
      <c r="H151" s="58" t="n">
        <f aca="false">'Current Form'!L298</f>
        <v>-1.295</v>
      </c>
      <c r="I151" s="71" t="n">
        <v>-0.08</v>
      </c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444</v>
      </c>
      <c r="B152" s="69" t="n">
        <f aca="false">'SG OTT'!Q301</f>
        <v>-0.82</v>
      </c>
      <c r="C152" s="70" t="n">
        <f aca="false">Class!Q301</f>
        <v>0.0625</v>
      </c>
      <c r="D152" s="70" t="n">
        <f aca="false">'SG APP'!Q301</f>
        <v>-0.7175</v>
      </c>
      <c r="E152" s="70" t="n">
        <f aca="false">'SG PUTT'!Q301</f>
        <v>1.035</v>
      </c>
      <c r="F152" s="70" t="n">
        <f aca="false">'SG ARG'!Q301</f>
        <v>0.0525</v>
      </c>
      <c r="G152" s="70" t="n">
        <v>-0.09</v>
      </c>
      <c r="H152" s="58" t="n">
        <f aca="false">'Current Form'!L301</f>
        <v>-0.92</v>
      </c>
      <c r="I152" s="71" t="n">
        <v>0.09</v>
      </c>
      <c r="J152" s="22" t="s">
        <v>467</v>
      </c>
      <c r="K152" s="22" t="s">
        <v>468</v>
      </c>
    </row>
    <row r="153" customFormat="false" ht="15.75" hidden="false" customHeight="true" outlineLevel="0" collapsed="false">
      <c r="A153" s="59" t="s">
        <v>448</v>
      </c>
      <c r="B153" s="69" t="n">
        <f aca="false">'SG OTT'!Q305</f>
        <v>0.255555555555556</v>
      </c>
      <c r="C153" s="70" t="n">
        <f aca="false">Class!Q305</f>
        <v>0.134444444444444</v>
      </c>
      <c r="D153" s="70" t="n">
        <f aca="false">'SG APP'!Q305</f>
        <v>-0.432222222222222</v>
      </c>
      <c r="E153" s="70" t="n">
        <f aca="false">'SG PUTT'!Q305</f>
        <v>-0.0666666666666667</v>
      </c>
      <c r="F153" s="70" t="n">
        <f aca="false">'SG ARG'!Q305</f>
        <v>0.09375</v>
      </c>
      <c r="G153" s="70" t="n">
        <v>0.01</v>
      </c>
      <c r="H153" s="58" t="n">
        <f aca="false">'Current Form'!L305</f>
        <v>-0.08</v>
      </c>
      <c r="I153" s="71" t="n">
        <v>-0.04</v>
      </c>
      <c r="J153" s="22" t="s">
        <v>467</v>
      </c>
      <c r="K153" s="22" t="s">
        <v>468</v>
      </c>
    </row>
    <row r="154" customFormat="false" ht="15.75" hidden="false" customHeight="true" outlineLevel="0" collapsed="false">
      <c r="A154" s="59" t="s">
        <v>451</v>
      </c>
      <c r="B154" s="69" t="n">
        <f aca="false">'SG OTT'!Q308</f>
        <v>0.43125</v>
      </c>
      <c r="C154" s="70" t="n">
        <f aca="false">Class!Q308</f>
        <v>0.365</v>
      </c>
      <c r="D154" s="70" t="n">
        <f aca="false">'SG APP'!Q308</f>
        <v>0.17</v>
      </c>
      <c r="E154" s="70" t="n">
        <f aca="false">'SG PUTT'!Q308</f>
        <v>0.03125</v>
      </c>
      <c r="F154" s="70" t="n">
        <f aca="false">'SG ARG'!Q308</f>
        <v>0.0225</v>
      </c>
      <c r="G154" s="70" t="n">
        <v>0.04</v>
      </c>
      <c r="H154" s="58" t="n">
        <f aca="false">'Current Form'!L308</f>
        <v>1.364</v>
      </c>
      <c r="I154" s="71" t="n">
        <v>-0.02</v>
      </c>
      <c r="J154" s="22" t="s">
        <v>467</v>
      </c>
      <c r="K154" s="22" t="s">
        <v>468</v>
      </c>
    </row>
  </sheetData>
  <conditionalFormatting sqref="H2:H15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"/>
    <col collapsed="false" customWidth="true" hidden="false" outlineLevel="0" max="2" min="2" style="2" width="9.71"/>
    <col collapsed="false" customWidth="true" hidden="false" outlineLevel="0" max="3" min="3" style="2" width="9"/>
    <col collapsed="false" customWidth="true" hidden="false" outlineLevel="0" max="4" min="4" style="2" width="9.43"/>
    <col collapsed="false" customWidth="true" hidden="false" outlineLevel="0" max="5" min="5" style="2" width="9.14"/>
    <col collapsed="false" customWidth="true" hidden="false" outlineLevel="0" max="6" min="6" style="2" width="13.57"/>
    <col collapsed="false" customWidth="true" hidden="false" outlineLevel="0" max="9" min="7" style="2" width="9.14"/>
    <col collapsed="false" customWidth="true" hidden="false" outlineLevel="0" max="10" min="10" style="2" width="28.72"/>
    <col collapsed="false" customWidth="true" hidden="false" outlineLevel="0" max="11" min="11" style="2" width="9.14"/>
  </cols>
  <sheetData>
    <row r="1" customFormat="false" ht="15" hidden="false" customHeight="true" outlineLevel="0" collapsed="false">
      <c r="A1" s="73" t="s">
        <v>458</v>
      </c>
      <c r="B1" s="74" t="s">
        <v>456</v>
      </c>
      <c r="C1" s="74" t="s">
        <v>459</v>
      </c>
      <c r="D1" s="74" t="s">
        <v>460</v>
      </c>
      <c r="E1" s="74" t="s">
        <v>461</v>
      </c>
      <c r="F1" s="74" t="s">
        <v>462</v>
      </c>
      <c r="G1" s="75" t="s">
        <v>463</v>
      </c>
      <c r="H1" s="75" t="s">
        <v>457</v>
      </c>
      <c r="I1" s="75" t="s">
        <v>464</v>
      </c>
      <c r="J1" s="73" t="s">
        <v>465</v>
      </c>
      <c r="K1" s="73" t="s">
        <v>466</v>
      </c>
    </row>
    <row r="2" customFormat="false" ht="15" hidden="false" customHeight="true" outlineLevel="0" collapsed="false">
      <c r="A2" s="76" t="s">
        <v>149</v>
      </c>
      <c r="B2" s="77" t="n">
        <f aca="false">'SG OTT'!Q5</f>
        <v>0.075</v>
      </c>
      <c r="C2" s="77" t="n">
        <f aca="false">Class!Q5</f>
        <v>0.34875</v>
      </c>
      <c r="D2" s="77" t="n">
        <f aca="false">'SG APP'!Q5</f>
        <v>0.3925</v>
      </c>
      <c r="E2" s="77" t="n">
        <f aca="false">'SG PUTT'!Q5</f>
        <v>0.17625</v>
      </c>
      <c r="F2" s="77" t="n">
        <f aca="false">'SG ARG'!Q5</f>
        <v>0.00625</v>
      </c>
      <c r="G2" s="78" t="n">
        <v>0.04</v>
      </c>
      <c r="H2" s="78" t="n">
        <f aca="false">'Current Form'!L5</f>
        <v>0.124</v>
      </c>
      <c r="I2" s="78" t="n">
        <v>-0.04</v>
      </c>
      <c r="J2" s="76" t="s">
        <v>137</v>
      </c>
      <c r="K2" s="76" t="s">
        <v>468</v>
      </c>
    </row>
    <row r="3" customFormat="false" ht="15" hidden="false" customHeight="true" outlineLevel="0" collapsed="false">
      <c r="A3" s="76" t="s">
        <v>150</v>
      </c>
      <c r="B3" s="77" t="n">
        <f aca="false">'SG OTT'!Q6</f>
        <v>-0.407777777777778</v>
      </c>
      <c r="C3" s="77" t="n">
        <f aca="false">Class!Q6</f>
        <v>0.403333333333333</v>
      </c>
      <c r="D3" s="77" t="n">
        <f aca="false">'SG APP'!Q6</f>
        <v>0.531111111111111</v>
      </c>
      <c r="E3" s="77" t="n">
        <f aca="false">'SG PUTT'!Q6</f>
        <v>0.487777777777778</v>
      </c>
      <c r="F3" s="77" t="n">
        <f aca="false">'SG ARG'!Q6</f>
        <v>0.104444444444444</v>
      </c>
      <c r="G3" s="78" t="n">
        <v>0.17</v>
      </c>
      <c r="H3" s="78" t="n">
        <f aca="false">'Current Form'!L6</f>
        <v>0.758</v>
      </c>
      <c r="I3" s="78" t="n">
        <v>0.04</v>
      </c>
      <c r="J3" s="76" t="s">
        <v>137</v>
      </c>
      <c r="K3" s="76" t="s">
        <v>468</v>
      </c>
    </row>
    <row r="4" customFormat="false" ht="15" hidden="false" customHeight="true" outlineLevel="0" collapsed="false">
      <c r="A4" s="76" t="s">
        <v>151</v>
      </c>
      <c r="B4" s="77" t="n">
        <f aca="false">'SG OTT'!Q7</f>
        <v>0.203333333333333</v>
      </c>
      <c r="C4" s="77" t="n">
        <f aca="false">Class!Q7</f>
        <v>0.19</v>
      </c>
      <c r="D4" s="77" t="n">
        <f aca="false">'SG APP'!Q7</f>
        <v>0.27</v>
      </c>
      <c r="E4" s="77" t="n">
        <f aca="false">'SG PUTT'!Q7</f>
        <v>-0.593333333333333</v>
      </c>
      <c r="F4" s="77" t="n">
        <f aca="false">'SG ARG'!Q7</f>
        <v>-0.151666666666667</v>
      </c>
      <c r="G4" s="78" t="n">
        <v>0.08</v>
      </c>
      <c r="H4" s="78" t="n">
        <f aca="false">'Current Form'!L7</f>
        <v>-1.64333333333333</v>
      </c>
      <c r="I4" s="78" t="n">
        <v>-0.01</v>
      </c>
      <c r="J4" s="76" t="s">
        <v>137</v>
      </c>
      <c r="K4" s="76" t="s">
        <v>468</v>
      </c>
    </row>
    <row r="5" customFormat="false" ht="15" hidden="false" customHeight="true" outlineLevel="0" collapsed="false">
      <c r="A5" s="76" t="s">
        <v>153</v>
      </c>
      <c r="B5" s="77" t="n">
        <f aca="false">'SG OTT'!Q9</f>
        <v>-0.491428571428571</v>
      </c>
      <c r="C5" s="77" t="n">
        <f aca="false">Class!Q9</f>
        <v>0.372857142857143</v>
      </c>
      <c r="D5" s="77" t="n">
        <f aca="false">'SG APP'!Q9</f>
        <v>0.53</v>
      </c>
      <c r="E5" s="77" t="n">
        <f aca="false">'SG PUTT'!Q9</f>
        <v>0.241428571428571</v>
      </c>
      <c r="F5" s="77" t="n">
        <f aca="false">'SG ARG'!Q9</f>
        <v>0.0914285714285714</v>
      </c>
      <c r="G5" s="78" t="n">
        <v>0.36</v>
      </c>
      <c r="H5" s="78" t="n">
        <f aca="false">'Current Form'!L9</f>
        <v>1.375</v>
      </c>
      <c r="I5" s="78" t="n">
        <v>-0.01</v>
      </c>
      <c r="J5" s="76" t="s">
        <v>137</v>
      </c>
      <c r="K5" s="76" t="s">
        <v>468</v>
      </c>
    </row>
    <row r="6" customFormat="false" ht="15" hidden="false" customHeight="true" outlineLevel="0" collapsed="false">
      <c r="A6" s="76" t="s">
        <v>154</v>
      </c>
      <c r="B6" s="77" t="n">
        <f aca="false">'SG OTT'!Q10</f>
        <v>0.271</v>
      </c>
      <c r="C6" s="77" t="n">
        <f aca="false">Class!Q10</f>
        <v>0.105</v>
      </c>
      <c r="D6" s="77" t="n">
        <f aca="false">'SG APP'!Q10</f>
        <v>0.013</v>
      </c>
      <c r="E6" s="77" t="n">
        <f aca="false">'SG PUTT'!Q10</f>
        <v>-0.547</v>
      </c>
      <c r="F6" s="77" t="n">
        <f aca="false">'SG ARG'!Q10</f>
        <v>-0.618888888888889</v>
      </c>
      <c r="G6" s="78" t="n">
        <v>0.26</v>
      </c>
      <c r="H6" s="78" t="n">
        <f aca="false">'Current Form'!L10</f>
        <v>-1.508</v>
      </c>
      <c r="I6" s="78" t="n">
        <v>-0.04</v>
      </c>
      <c r="J6" s="76" t="s">
        <v>137</v>
      </c>
      <c r="K6" s="76" t="s">
        <v>468</v>
      </c>
    </row>
    <row r="7" customFormat="false" ht="15" hidden="false" customHeight="true" outlineLevel="0" collapsed="false">
      <c r="A7" s="76" t="s">
        <v>156</v>
      </c>
      <c r="B7" s="77" t="n">
        <f aca="false">'SG OTT'!Q12</f>
        <v>0.227777777777778</v>
      </c>
      <c r="C7" s="77" t="n">
        <f aca="false">Class!Q12</f>
        <v>0.473333333333333</v>
      </c>
      <c r="D7" s="77" t="n">
        <f aca="false">'SG APP'!Q12</f>
        <v>0.614444444444445</v>
      </c>
      <c r="E7" s="77" t="n">
        <f aca="false">'SG PUTT'!Q12</f>
        <v>-0.183333333333333</v>
      </c>
      <c r="F7" s="77" t="n">
        <f aca="false">'SG ARG'!Q12</f>
        <v>0.116666666666667</v>
      </c>
      <c r="G7" s="78" t="n">
        <v>-0.08</v>
      </c>
      <c r="H7" s="78" t="n">
        <f aca="false">'Current Form'!L12</f>
        <v>1.324</v>
      </c>
      <c r="I7" s="78" t="n">
        <v>0.01</v>
      </c>
      <c r="J7" s="76" t="s">
        <v>137</v>
      </c>
      <c r="K7" s="76" t="s">
        <v>468</v>
      </c>
    </row>
    <row r="8" customFormat="false" ht="15" hidden="false" customHeight="true" outlineLevel="0" collapsed="false">
      <c r="A8" s="76" t="s">
        <v>157</v>
      </c>
      <c r="B8" s="77" t="n">
        <f aca="false">'SG OTT'!Q13</f>
        <v>0.746666666666667</v>
      </c>
      <c r="C8" s="77" t="n">
        <f aca="false">Class!Q13</f>
        <v>0.465555555555556</v>
      </c>
      <c r="D8" s="77" t="n">
        <f aca="false">'SG APP'!Q13</f>
        <v>0.322222222222222</v>
      </c>
      <c r="E8" s="77" t="n">
        <f aca="false">'SG PUTT'!Q13</f>
        <v>0.0277777777777778</v>
      </c>
      <c r="F8" s="77" t="n">
        <f aca="false">'SG ARG'!Q13</f>
        <v>-0.32</v>
      </c>
      <c r="G8" s="78" t="n">
        <v>-0.21</v>
      </c>
      <c r="H8" s="78" t="n">
        <f aca="false">'Current Form'!L13</f>
        <v>0.858333333333333</v>
      </c>
      <c r="I8" s="78" t="n">
        <v>-0.04</v>
      </c>
      <c r="J8" s="76" t="s">
        <v>137</v>
      </c>
      <c r="K8" s="76" t="s">
        <v>468</v>
      </c>
    </row>
    <row r="9" customFormat="false" ht="15" hidden="false" customHeight="true" outlineLevel="0" collapsed="false">
      <c r="A9" s="76" t="s">
        <v>159</v>
      </c>
      <c r="B9" s="77" t="n">
        <f aca="false">'SG OTT'!Q15</f>
        <v>0.176666666666667</v>
      </c>
      <c r="C9" s="77" t="n">
        <f aca="false">Class!Q15</f>
        <v>0.71</v>
      </c>
      <c r="D9" s="77" t="n">
        <f aca="false">'SG APP'!Q15</f>
        <v>0.773333333333333</v>
      </c>
      <c r="E9" s="77" t="n">
        <f aca="false">'SG PUTT'!Q15</f>
        <v>0.356666666666667</v>
      </c>
      <c r="F9" s="77" t="n">
        <f aca="false">'SG ARG'!Q15</f>
        <v>0.0633333333333333</v>
      </c>
      <c r="G9" s="78" t="n">
        <v>-0.02</v>
      </c>
      <c r="H9" s="78" t="n">
        <f aca="false">'Current Form'!L15</f>
        <v>1.7</v>
      </c>
      <c r="I9" s="78" t="n">
        <v>-0.04</v>
      </c>
      <c r="J9" s="76" t="s">
        <v>137</v>
      </c>
      <c r="K9" s="76" t="s">
        <v>468</v>
      </c>
    </row>
    <row r="10" customFormat="false" ht="15" hidden="false" customHeight="true" outlineLevel="0" collapsed="false">
      <c r="A10" s="76" t="s">
        <v>164</v>
      </c>
      <c r="B10" s="77" t="n">
        <f aca="false">'SG OTT'!Q20</f>
        <v>-0.444</v>
      </c>
      <c r="C10" s="77" t="n">
        <f aca="false">Class!Q20</f>
        <v>0.005</v>
      </c>
      <c r="D10" s="77" t="n">
        <f aca="false">'SG APP'!Q20</f>
        <v>-0.037</v>
      </c>
      <c r="E10" s="77" t="n">
        <f aca="false">'SG PUTT'!Q20</f>
        <v>-0.502</v>
      </c>
      <c r="F10" s="77" t="n">
        <f aca="false">'SG ARG'!Q20</f>
        <v>-0.073</v>
      </c>
      <c r="G10" s="78" t="n">
        <v>0.36</v>
      </c>
      <c r="H10" s="78" t="n">
        <f aca="false">'Current Form'!L20</f>
        <v>-0.785</v>
      </c>
      <c r="I10" s="78" t="n">
        <v>-0.01</v>
      </c>
      <c r="J10" s="76" t="s">
        <v>137</v>
      </c>
      <c r="K10" s="76" t="s">
        <v>468</v>
      </c>
    </row>
    <row r="11" customFormat="false" ht="15" hidden="false" customHeight="true" outlineLevel="0" collapsed="false">
      <c r="A11" s="76" t="s">
        <v>165</v>
      </c>
      <c r="B11" s="77" t="n">
        <f aca="false">'SG OTT'!Q21</f>
        <v>-0.297142857142857</v>
      </c>
      <c r="C11" s="77" t="n">
        <f aca="false">Class!Q21</f>
        <v>0.0614285714285714</v>
      </c>
      <c r="D11" s="77" t="n">
        <f aca="false">'SG APP'!Q21</f>
        <v>0.31125</v>
      </c>
      <c r="E11" s="77" t="n">
        <f aca="false">'SG PUTT'!Q21</f>
        <v>-0.661428571428571</v>
      </c>
      <c r="F11" s="77" t="n">
        <f aca="false">'SG ARG'!Q21</f>
        <v>-0.115714285714286</v>
      </c>
      <c r="G11" s="78" t="n">
        <v>-0.11</v>
      </c>
      <c r="H11" s="78" t="n">
        <f aca="false">'Current Form'!L21</f>
        <v>-0.772</v>
      </c>
      <c r="I11" s="78" t="n">
        <v>0</v>
      </c>
      <c r="J11" s="76" t="s">
        <v>137</v>
      </c>
      <c r="K11" s="76" t="s">
        <v>468</v>
      </c>
    </row>
    <row r="12" customFormat="false" ht="15" hidden="false" customHeight="true" outlineLevel="0" collapsed="false">
      <c r="A12" s="76" t="s">
        <v>169</v>
      </c>
      <c r="B12" s="77" t="n">
        <f aca="false">'SG OTT'!Q25</f>
        <v>0.121428571428571</v>
      </c>
      <c r="C12" s="77" t="n">
        <f aca="false">Class!Q25</f>
        <v>0.174285714285714</v>
      </c>
      <c r="D12" s="77" t="n">
        <f aca="false">'SG APP'!Q25</f>
        <v>-0.0414285714285714</v>
      </c>
      <c r="E12" s="77" t="n">
        <f aca="false">'SG PUTT'!Q25</f>
        <v>0.0385714285714286</v>
      </c>
      <c r="F12" s="77" t="n">
        <f aca="false">'SG ARG'!Q25</f>
        <v>0.26</v>
      </c>
      <c r="G12" s="78" t="n">
        <v>-0.04</v>
      </c>
      <c r="H12" s="78" t="n">
        <f aca="false">'Current Form'!L25</f>
        <v>0.436666666666667</v>
      </c>
      <c r="I12" s="78" t="n">
        <v>0.01</v>
      </c>
      <c r="J12" s="76" t="s">
        <v>137</v>
      </c>
      <c r="K12" s="76" t="s">
        <v>468</v>
      </c>
    </row>
    <row r="13" customFormat="false" ht="15" hidden="false" customHeight="true" outlineLevel="0" collapsed="false">
      <c r="A13" s="76" t="s">
        <v>170</v>
      </c>
      <c r="B13" s="77" t="n">
        <f aca="false">'SG OTT'!Q26</f>
        <v>0.3825</v>
      </c>
      <c r="C13" s="77" t="n">
        <f aca="false">Class!Q26</f>
        <v>0.55</v>
      </c>
      <c r="D13" s="77" t="n">
        <f aca="false">'SG APP'!Q26</f>
        <v>0.3175</v>
      </c>
      <c r="E13" s="77" t="n">
        <f aca="false">'SG PUTT'!Q26</f>
        <v>-0.20375</v>
      </c>
      <c r="F13" s="77" t="n">
        <f aca="false">'SG ARG'!Q26</f>
        <v>0.37</v>
      </c>
      <c r="G13" s="78" t="n">
        <v>0.02</v>
      </c>
      <c r="H13" s="78" t="n">
        <f aca="false">'Current Form'!L26</f>
        <v>1.146</v>
      </c>
      <c r="I13" s="78" t="n">
        <v>0.17</v>
      </c>
      <c r="J13" s="76" t="s">
        <v>137</v>
      </c>
      <c r="K13" s="76" t="s">
        <v>468</v>
      </c>
    </row>
    <row r="14" customFormat="false" ht="15" hidden="false" customHeight="true" outlineLevel="0" collapsed="false">
      <c r="A14" s="76" t="s">
        <v>174</v>
      </c>
      <c r="B14" s="77" t="n">
        <f aca="false">'SG OTT'!Q30</f>
        <v>-0.66375</v>
      </c>
      <c r="C14" s="77" t="n">
        <f aca="false">Class!Q30</f>
        <v>0.2275</v>
      </c>
      <c r="D14" s="77" t="n">
        <f aca="false">'SG APP'!Q30</f>
        <v>0.3575</v>
      </c>
      <c r="E14" s="77" t="n">
        <f aca="false">'SG PUTT'!Q30</f>
        <v>0.25</v>
      </c>
      <c r="F14" s="77" t="n">
        <f aca="false">'SG ARG'!Q30</f>
        <v>-0.1375</v>
      </c>
      <c r="G14" s="78" t="n">
        <v>0.42</v>
      </c>
      <c r="H14" s="78" t="n">
        <f aca="false">'Current Form'!L30</f>
        <v>0.616</v>
      </c>
      <c r="I14" s="78" t="n">
        <v>-0.04</v>
      </c>
      <c r="J14" s="76" t="s">
        <v>137</v>
      </c>
      <c r="K14" s="76" t="s">
        <v>468</v>
      </c>
    </row>
    <row r="15" customFormat="false" ht="15" hidden="false" customHeight="true" outlineLevel="0" collapsed="false">
      <c r="A15" s="76" t="s">
        <v>175</v>
      </c>
      <c r="B15" s="77" t="n">
        <f aca="false">'SG OTT'!Q31</f>
        <v>-0.19125</v>
      </c>
      <c r="C15" s="77" t="n">
        <f aca="false">Class!Q31</f>
        <v>0.04</v>
      </c>
      <c r="D15" s="77" t="n">
        <f aca="false">'SG APP'!Q31</f>
        <v>0.47375</v>
      </c>
      <c r="E15" s="77" t="n">
        <f aca="false">'SG PUTT'!Q31</f>
        <v>-0.22</v>
      </c>
      <c r="F15" s="77" t="n">
        <f aca="false">'SG ARG'!Q31</f>
        <v>-0.04125</v>
      </c>
      <c r="G15" s="78" t="n">
        <v>-0.03</v>
      </c>
      <c r="H15" s="78" t="n">
        <f aca="false">'Current Form'!L31</f>
        <v>-0.262</v>
      </c>
      <c r="I15" s="78" t="n">
        <v>0.02</v>
      </c>
      <c r="J15" s="76" t="s">
        <v>137</v>
      </c>
      <c r="K15" s="76" t="s">
        <v>468</v>
      </c>
    </row>
    <row r="16" customFormat="false" ht="15" hidden="false" customHeight="true" outlineLevel="0" collapsed="false">
      <c r="A16" s="76" t="s">
        <v>177</v>
      </c>
      <c r="B16" s="77" t="n">
        <f aca="false">'SG OTT'!Q33</f>
        <v>-0.258888888888889</v>
      </c>
      <c r="C16" s="77" t="n">
        <f aca="false">Class!Q33</f>
        <v>0.532222222222222</v>
      </c>
      <c r="D16" s="77" t="n">
        <f aca="false">'SG APP'!Q33</f>
        <v>0.132222222222222</v>
      </c>
      <c r="E16" s="77" t="n">
        <f aca="false">'SG PUTT'!Q33</f>
        <v>0.736666666666667</v>
      </c>
      <c r="F16" s="77" t="n">
        <f aca="false">'SG ARG'!Q33</f>
        <v>0.304444444444444</v>
      </c>
      <c r="G16" s="78" t="n">
        <v>-0.11</v>
      </c>
      <c r="H16" s="78" t="n">
        <f aca="false">'Current Form'!L33</f>
        <v>0.321666666666667</v>
      </c>
      <c r="I16" s="78" t="n">
        <v>0.05</v>
      </c>
      <c r="J16" s="76" t="s">
        <v>137</v>
      </c>
      <c r="K16" s="76" t="s">
        <v>468</v>
      </c>
    </row>
    <row r="17" customFormat="false" ht="15" hidden="false" customHeight="true" outlineLevel="0" collapsed="false">
      <c r="A17" s="76" t="s">
        <v>180</v>
      </c>
      <c r="B17" s="77" t="n">
        <f aca="false">'SG OTT'!Q36</f>
        <v>0.214545454545455</v>
      </c>
      <c r="C17" s="77" t="n">
        <f aca="false">Class!Q36</f>
        <v>0.26</v>
      </c>
      <c r="D17" s="77" t="n">
        <f aca="false">'SG APP'!Q36</f>
        <v>-0.631818181818182</v>
      </c>
      <c r="E17" s="77" t="n">
        <f aca="false">'SG PUTT'!Q36</f>
        <v>0.141818181818182</v>
      </c>
      <c r="F17" s="77" t="n">
        <f aca="false">'SG ARG'!Q36</f>
        <v>-0.192727272727273</v>
      </c>
      <c r="G17" s="78" t="n">
        <v>-0.21</v>
      </c>
      <c r="H17" s="78" t="n">
        <f aca="false">'Current Form'!L36</f>
        <v>-1.4</v>
      </c>
      <c r="I17" s="78" t="n">
        <v>-0.03</v>
      </c>
      <c r="J17" s="76" t="s">
        <v>137</v>
      </c>
      <c r="K17" s="76" t="s">
        <v>468</v>
      </c>
    </row>
    <row r="18" customFormat="false" ht="15" hidden="false" customHeight="true" outlineLevel="0" collapsed="false">
      <c r="A18" s="76" t="s">
        <v>184</v>
      </c>
      <c r="B18" s="77" t="n">
        <f aca="false">'SG OTT'!Q40</f>
        <v>-0.111111111111111</v>
      </c>
      <c r="C18" s="77" t="n">
        <f aca="false">Class!Q40</f>
        <v>0.138888888888889</v>
      </c>
      <c r="D18" s="77" t="n">
        <f aca="false">'SG APP'!Q40</f>
        <v>0.48</v>
      </c>
      <c r="E18" s="77" t="n">
        <f aca="false">'SG PUTT'!Q40</f>
        <v>-0.625555555555556</v>
      </c>
      <c r="F18" s="77" t="n">
        <f aca="false">'SG ARG'!Q40</f>
        <v>-0.252222222222222</v>
      </c>
      <c r="G18" s="78" t="n">
        <v>0.34</v>
      </c>
      <c r="H18" s="78" t="n">
        <f aca="false">'Current Form'!L40</f>
        <v>0.464</v>
      </c>
      <c r="I18" s="78" t="n">
        <v>0.08</v>
      </c>
      <c r="J18" s="76" t="s">
        <v>137</v>
      </c>
      <c r="K18" s="76" t="s">
        <v>468</v>
      </c>
    </row>
    <row r="19" customFormat="false" ht="15" hidden="false" customHeight="true" outlineLevel="0" collapsed="false">
      <c r="A19" s="76" t="s">
        <v>185</v>
      </c>
      <c r="B19" s="77" t="n">
        <f aca="false">'SG OTT'!Q41</f>
        <v>-0.523333333333333</v>
      </c>
      <c r="C19" s="77" t="n">
        <f aca="false">Class!Q41</f>
        <v>0</v>
      </c>
      <c r="D19" s="77" t="n">
        <f aca="false">'SG APP'!Q41</f>
        <v>-0.443333333333333</v>
      </c>
      <c r="E19" s="77" t="n">
        <f aca="false">'SG PUTT'!Q41</f>
        <v>-0.21</v>
      </c>
      <c r="F19" s="77" t="n">
        <f aca="false">'SG ARG'!Q41</f>
        <v>-0.408333333333333</v>
      </c>
      <c r="G19" s="78" t="n">
        <v>-0.17</v>
      </c>
      <c r="H19" s="78" t="n">
        <f aca="false">'Current Form'!L41</f>
        <v>-2.43333333333333</v>
      </c>
      <c r="I19" s="78" t="n">
        <v>0.14</v>
      </c>
      <c r="J19" s="76" t="s">
        <v>137</v>
      </c>
      <c r="K19" s="76" t="s">
        <v>468</v>
      </c>
    </row>
    <row r="20" customFormat="false" ht="15" hidden="false" customHeight="true" outlineLevel="0" collapsed="false">
      <c r="A20" s="76" t="s">
        <v>186</v>
      </c>
      <c r="B20" s="77" t="n">
        <f aca="false">'SG OTT'!Q42</f>
        <v>0.0883333333333333</v>
      </c>
      <c r="C20" s="77" t="n">
        <f aca="false">Class!Q42</f>
        <v>0</v>
      </c>
      <c r="D20" s="77" t="n">
        <f aca="false">'SG APP'!Q42</f>
        <v>-1.04666666666667</v>
      </c>
      <c r="E20" s="77" t="n">
        <f aca="false">'SG PUTT'!Q42</f>
        <v>-0.535</v>
      </c>
      <c r="F20" s="77" t="n">
        <f aca="false">'SG ARG'!Q42</f>
        <v>0.823333333333333</v>
      </c>
      <c r="G20" s="78" t="n">
        <v>0</v>
      </c>
      <c r="H20" s="78" t="n">
        <f aca="false">'Current Form'!L42</f>
        <v>-0.7</v>
      </c>
      <c r="I20" s="78" t="n">
        <v>-0.03</v>
      </c>
      <c r="J20" s="76" t="s">
        <v>137</v>
      </c>
      <c r="K20" s="76" t="s">
        <v>468</v>
      </c>
    </row>
    <row r="21" customFormat="false" ht="15" hidden="false" customHeight="true" outlineLevel="0" collapsed="false">
      <c r="A21" s="76" t="s">
        <v>192</v>
      </c>
      <c r="B21" s="77" t="n">
        <f aca="false">'SG OTT'!Q48</f>
        <v>0.19125</v>
      </c>
      <c r="C21" s="77" t="n">
        <f aca="false">Class!Q48</f>
        <v>0.1375</v>
      </c>
      <c r="D21" s="77" t="n">
        <f aca="false">'SG APP'!Q48</f>
        <v>-0.36125</v>
      </c>
      <c r="E21" s="77" t="n">
        <f aca="false">'SG PUTT'!Q48</f>
        <v>0.13125</v>
      </c>
      <c r="F21" s="77" t="n">
        <f aca="false">'SG ARG'!Q48</f>
        <v>-0.1275</v>
      </c>
      <c r="G21" s="78" t="n">
        <v>-0.16</v>
      </c>
      <c r="H21" s="78" t="n">
        <f aca="false">'Current Form'!L48</f>
        <v>-0.112</v>
      </c>
      <c r="I21" s="78" t="n">
        <v>0.02</v>
      </c>
      <c r="J21" s="76" t="s">
        <v>137</v>
      </c>
      <c r="K21" s="76" t="s">
        <v>468</v>
      </c>
    </row>
    <row r="22" customFormat="false" ht="15" hidden="false" customHeight="true" outlineLevel="0" collapsed="false">
      <c r="A22" s="76" t="s">
        <v>194</v>
      </c>
      <c r="B22" s="77" t="n">
        <f aca="false">'SG OTT'!Q50</f>
        <v>-0.79375</v>
      </c>
      <c r="C22" s="77" t="n">
        <f aca="false">Class!Q50</f>
        <v>0.02</v>
      </c>
      <c r="D22" s="77" t="n">
        <f aca="false">'SG APP'!Q50</f>
        <v>-0.15125</v>
      </c>
      <c r="E22" s="77" t="n">
        <f aca="false">'SG PUTT'!Q50</f>
        <v>0.39375</v>
      </c>
      <c r="F22" s="77" t="n">
        <f aca="false">'SG ARG'!Q50</f>
        <v>0.445</v>
      </c>
      <c r="G22" s="78" t="n">
        <v>-0.28</v>
      </c>
      <c r="H22" s="78" t="n">
        <f aca="false">'Current Form'!L50</f>
        <v>-0.296</v>
      </c>
      <c r="I22" s="78" t="n">
        <v>-0.02</v>
      </c>
      <c r="J22" s="76" t="s">
        <v>137</v>
      </c>
      <c r="K22" s="76" t="s">
        <v>468</v>
      </c>
    </row>
    <row r="23" customFormat="false" ht="15" hidden="false" customHeight="true" outlineLevel="0" collapsed="false">
      <c r="A23" s="76" t="s">
        <v>196</v>
      </c>
      <c r="B23" s="77" t="n">
        <f aca="false">'SG OTT'!Q52</f>
        <v>-0.9625</v>
      </c>
      <c r="C23" s="77" t="n">
        <f aca="false">Class!Q52</f>
        <v>0.075</v>
      </c>
      <c r="D23" s="77" t="n">
        <f aca="false">'SG APP'!Q52</f>
        <v>-0.07625</v>
      </c>
      <c r="E23" s="77" t="n">
        <f aca="false">'SG PUTT'!Q52</f>
        <v>-0.44625</v>
      </c>
      <c r="F23" s="77" t="n">
        <f aca="false">'SG ARG'!Q52</f>
        <v>0.255</v>
      </c>
      <c r="G23" s="78" t="n">
        <v>-0.18</v>
      </c>
      <c r="H23" s="78" t="n">
        <f aca="false">'Current Form'!L52</f>
        <v>-1.622</v>
      </c>
      <c r="I23" s="78" t="n">
        <v>-0.02</v>
      </c>
      <c r="J23" s="76" t="s">
        <v>137</v>
      </c>
      <c r="K23" s="76" t="s">
        <v>468</v>
      </c>
    </row>
    <row r="24" customFormat="false" ht="15" hidden="false" customHeight="true" outlineLevel="0" collapsed="false">
      <c r="A24" s="76" t="s">
        <v>198</v>
      </c>
      <c r="B24" s="77" t="n">
        <f aca="false">'SG OTT'!Q54</f>
        <v>-0.0255555555555556</v>
      </c>
      <c r="C24" s="77" t="n">
        <f aca="false">Class!Q54</f>
        <v>0.288888888888889</v>
      </c>
      <c r="D24" s="77" t="n">
        <f aca="false">'SG APP'!Q54</f>
        <v>0.183333333333333</v>
      </c>
      <c r="E24" s="77" t="n">
        <f aca="false">'SG PUTT'!Q54</f>
        <v>0.211111111111111</v>
      </c>
      <c r="F24" s="77" t="n">
        <f aca="false">'SG ARG'!Q54</f>
        <v>0.01</v>
      </c>
      <c r="G24" s="78" t="n">
        <v>0.1</v>
      </c>
      <c r="H24" s="78" t="n">
        <f aca="false">'Current Form'!L54</f>
        <v>0.404</v>
      </c>
      <c r="I24" s="78" t="n">
        <v>0.06</v>
      </c>
      <c r="J24" s="76" t="s">
        <v>137</v>
      </c>
      <c r="K24" s="76" t="s">
        <v>468</v>
      </c>
    </row>
    <row r="25" customFormat="false" ht="15" hidden="false" customHeight="true" outlineLevel="0" collapsed="false">
      <c r="A25" s="76" t="s">
        <v>199</v>
      </c>
      <c r="B25" s="77" t="n">
        <f aca="false">'SG OTT'!Q55</f>
        <v>-0.29375</v>
      </c>
      <c r="C25" s="77" t="n">
        <f aca="false">Class!Q55</f>
        <v>0.17</v>
      </c>
      <c r="D25" s="77" t="n">
        <f aca="false">'SG APP'!Q55</f>
        <v>0.04625</v>
      </c>
      <c r="E25" s="77" t="n">
        <f aca="false">'SG PUTT'!Q55</f>
        <v>0.495</v>
      </c>
      <c r="F25" s="77" t="n">
        <f aca="false">'SG ARG'!Q55</f>
        <v>-0.2375</v>
      </c>
      <c r="G25" s="78" t="n">
        <v>-0.01</v>
      </c>
      <c r="H25" s="78" t="n">
        <f aca="false">'Current Form'!L55</f>
        <v>0.084</v>
      </c>
      <c r="I25" s="78" t="n">
        <v>0.04</v>
      </c>
      <c r="J25" s="76" t="s">
        <v>137</v>
      </c>
      <c r="K25" s="76" t="s">
        <v>468</v>
      </c>
    </row>
    <row r="26" customFormat="false" ht="15" hidden="false" customHeight="true" outlineLevel="0" collapsed="false">
      <c r="A26" s="76" t="s">
        <v>201</v>
      </c>
      <c r="B26" s="77" t="n">
        <f aca="false">'SG OTT'!Q57</f>
        <v>0.3275</v>
      </c>
      <c r="C26" s="77" t="n">
        <f aca="false">Class!Q57</f>
        <v>0.20875</v>
      </c>
      <c r="D26" s="77" t="n">
        <f aca="false">'SG APP'!Q57</f>
        <v>-0.27625</v>
      </c>
      <c r="E26" s="77" t="n">
        <f aca="false">'SG PUTT'!Q57</f>
        <v>-0.2025</v>
      </c>
      <c r="F26" s="77" t="n">
        <f aca="false">'SG ARG'!Q57</f>
        <v>0.4575</v>
      </c>
      <c r="G26" s="78" t="n">
        <v>0.04</v>
      </c>
      <c r="H26" s="78" t="n">
        <f aca="false">'Current Form'!L57</f>
        <v>0.038</v>
      </c>
      <c r="I26" s="78" t="n">
        <v>0.24</v>
      </c>
      <c r="J26" s="76" t="s">
        <v>137</v>
      </c>
      <c r="K26" s="76" t="s">
        <v>468</v>
      </c>
    </row>
    <row r="27" customFormat="false" ht="15" hidden="false" customHeight="true" outlineLevel="0" collapsed="false">
      <c r="A27" s="76" t="s">
        <v>204</v>
      </c>
      <c r="B27" s="77" t="n">
        <f aca="false">'SG OTT'!Q60</f>
        <v>0.285</v>
      </c>
      <c r="C27" s="77" t="n">
        <f aca="false">Class!Q60</f>
        <v>0.1325</v>
      </c>
      <c r="D27" s="77" t="n">
        <f aca="false">'SG APP'!Q60</f>
        <v>-0.00875</v>
      </c>
      <c r="E27" s="77" t="n">
        <f aca="false">'SG PUTT'!Q60</f>
        <v>-0.50875</v>
      </c>
      <c r="F27" s="77" t="n">
        <f aca="false">'SG ARG'!Q60</f>
        <v>0.35375</v>
      </c>
      <c r="G27" s="78" t="n">
        <v>-0.23</v>
      </c>
      <c r="H27" s="78" t="n">
        <f aca="false">'Current Form'!L60</f>
        <v>-0.216</v>
      </c>
      <c r="I27" s="78" t="n">
        <v>-0.01</v>
      </c>
      <c r="J27" s="76" t="s">
        <v>137</v>
      </c>
      <c r="K27" s="76" t="s">
        <v>468</v>
      </c>
    </row>
    <row r="28" customFormat="false" ht="15" hidden="false" customHeight="true" outlineLevel="0" collapsed="false">
      <c r="A28" s="76" t="s">
        <v>205</v>
      </c>
      <c r="B28" s="77" t="n">
        <f aca="false">'SG OTT'!Q61</f>
        <v>0.34625</v>
      </c>
      <c r="C28" s="77" t="n">
        <f aca="false">Class!Q61</f>
        <v>0.15125</v>
      </c>
      <c r="D28" s="77" t="n">
        <f aca="false">'SG APP'!Q61</f>
        <v>0.1125</v>
      </c>
      <c r="E28" s="77" t="n">
        <f aca="false">'SG PUTT'!Q61</f>
        <v>-0.07125</v>
      </c>
      <c r="F28" s="77" t="n">
        <f aca="false">'SG ARG'!Q61</f>
        <v>-0.09375</v>
      </c>
      <c r="G28" s="78" t="n">
        <v>-0.08</v>
      </c>
      <c r="H28" s="78" t="n">
        <f aca="false">'Current Form'!L61</f>
        <v>0.27</v>
      </c>
      <c r="I28" s="78" t="n">
        <v>0.03</v>
      </c>
      <c r="J28" s="76" t="s">
        <v>137</v>
      </c>
      <c r="K28" s="76" t="s">
        <v>468</v>
      </c>
    </row>
    <row r="29" customFormat="false" ht="15" hidden="false" customHeight="true" outlineLevel="0" collapsed="false">
      <c r="A29" s="76" t="s">
        <v>206</v>
      </c>
      <c r="B29" s="77" t="n">
        <f aca="false">'SG OTT'!Q62</f>
        <v>0.31875</v>
      </c>
      <c r="C29" s="77" t="n">
        <f aca="false">Class!Q62</f>
        <v>0.24625</v>
      </c>
      <c r="D29" s="77" t="n">
        <f aca="false">'SG APP'!Q62</f>
        <v>-0.6825</v>
      </c>
      <c r="E29" s="77" t="n">
        <f aca="false">'SG PUTT'!Q62</f>
        <v>-0.245</v>
      </c>
      <c r="F29" s="77" t="n">
        <f aca="false">'SG ARG'!Q62</f>
        <v>-0.10125</v>
      </c>
      <c r="G29" s="78" t="n">
        <v>-0.09</v>
      </c>
      <c r="H29" s="78" t="n">
        <f aca="false">'Current Form'!L62</f>
        <v>-1.66</v>
      </c>
      <c r="I29" s="78" t="n">
        <v>-0.02</v>
      </c>
      <c r="J29" s="76" t="s">
        <v>137</v>
      </c>
      <c r="K29" s="76" t="s">
        <v>468</v>
      </c>
    </row>
    <row r="30" customFormat="false" ht="15" hidden="false" customHeight="true" outlineLevel="0" collapsed="false">
      <c r="A30" s="76" t="s">
        <v>207</v>
      </c>
      <c r="B30" s="77" t="n">
        <f aca="false">'SG OTT'!Q63</f>
        <v>0.58</v>
      </c>
      <c r="C30" s="77" t="n">
        <f aca="false">Class!Q63</f>
        <v>1.07625</v>
      </c>
      <c r="D30" s="77" t="n">
        <f aca="false">'SG APP'!Q63</f>
        <v>1.02625</v>
      </c>
      <c r="E30" s="77" t="n">
        <f aca="false">'SG PUTT'!Q63</f>
        <v>-0.25</v>
      </c>
      <c r="F30" s="77" t="n">
        <f aca="false">'SG ARG'!Q63</f>
        <v>-0.01125</v>
      </c>
      <c r="G30" s="78" t="n">
        <v>0.13</v>
      </c>
      <c r="H30" s="78" t="n">
        <f aca="false">'Current Form'!L63</f>
        <v>0.984</v>
      </c>
      <c r="I30" s="78" t="n">
        <v>-0.04</v>
      </c>
      <c r="J30" s="76" t="s">
        <v>137</v>
      </c>
      <c r="K30" s="76" t="s">
        <v>468</v>
      </c>
    </row>
    <row r="31" customFormat="false" ht="15" hidden="false" customHeight="true" outlineLevel="0" collapsed="false">
      <c r="A31" s="76" t="s">
        <v>216</v>
      </c>
      <c r="B31" s="77" t="n">
        <f aca="false">'SG OTT'!Q72</f>
        <v>-0.07125</v>
      </c>
      <c r="C31" s="77" t="n">
        <f aca="false">Class!Q72</f>
        <v>0.1225</v>
      </c>
      <c r="D31" s="77" t="n">
        <f aca="false">'SG APP'!Q72</f>
        <v>-0.015</v>
      </c>
      <c r="E31" s="77" t="n">
        <f aca="false">'SG PUTT'!Q72</f>
        <v>-0.2</v>
      </c>
      <c r="F31" s="77" t="n">
        <f aca="false">'SG ARG'!Q72</f>
        <v>-0.34375</v>
      </c>
      <c r="G31" s="78" t="n">
        <v>0.28</v>
      </c>
      <c r="H31" s="78" t="n">
        <f aca="false">'Current Form'!L72</f>
        <v>-0.84</v>
      </c>
      <c r="I31" s="78" t="n">
        <v>0.2</v>
      </c>
      <c r="J31" s="76" t="s">
        <v>137</v>
      </c>
      <c r="K31" s="76" t="s">
        <v>468</v>
      </c>
    </row>
    <row r="32" customFormat="false" ht="15" hidden="false" customHeight="true" outlineLevel="0" collapsed="false">
      <c r="A32" s="76" t="s">
        <v>217</v>
      </c>
      <c r="B32" s="77" t="n">
        <f aca="false">'SG OTT'!Q73</f>
        <v>0.34</v>
      </c>
      <c r="C32" s="77" t="n">
        <f aca="false">Class!Q73</f>
        <v>0.782222222222222</v>
      </c>
      <c r="D32" s="77" t="n">
        <f aca="false">'SG APP'!Q73</f>
        <v>0.258888888888889</v>
      </c>
      <c r="E32" s="77" t="n">
        <f aca="false">'SG PUTT'!Q73</f>
        <v>0.45</v>
      </c>
      <c r="F32" s="77" t="n">
        <f aca="false">'SG ARG'!Q73</f>
        <v>-0.0144444444444445</v>
      </c>
      <c r="G32" s="78" t="n">
        <v>0.07</v>
      </c>
      <c r="H32" s="78" t="n">
        <f aca="false">'Current Form'!L73</f>
        <v>1.238</v>
      </c>
      <c r="I32" s="78" t="n">
        <v>-0.03</v>
      </c>
      <c r="J32" s="76" t="s">
        <v>137</v>
      </c>
      <c r="K32" s="76" t="s">
        <v>468</v>
      </c>
    </row>
    <row r="33" customFormat="false" ht="15" hidden="false" customHeight="true" outlineLevel="0" collapsed="false">
      <c r="A33" s="76" t="s">
        <v>218</v>
      </c>
      <c r="B33" s="77" t="n">
        <f aca="false">'SG OTT'!Q74</f>
        <v>0.584285714285714</v>
      </c>
      <c r="C33" s="77" t="n">
        <f aca="false">Class!Q74</f>
        <v>0.555714285714286</v>
      </c>
      <c r="D33" s="77" t="n">
        <f aca="false">'SG APP'!Q74</f>
        <v>0.164285714285714</v>
      </c>
      <c r="E33" s="77" t="n">
        <f aca="false">'SG PUTT'!Q74</f>
        <v>0.0385714285714286</v>
      </c>
      <c r="F33" s="77" t="n">
        <f aca="false">'SG ARG'!Q74</f>
        <v>0.197142857142857</v>
      </c>
      <c r="G33" s="78" t="n">
        <v>0.11</v>
      </c>
      <c r="H33" s="78" t="n">
        <f aca="false">'Current Form'!L74</f>
        <v>1.27</v>
      </c>
      <c r="I33" s="78" t="n">
        <v>0.07</v>
      </c>
      <c r="J33" s="76" t="s">
        <v>137</v>
      </c>
      <c r="K33" s="76" t="s">
        <v>468</v>
      </c>
    </row>
    <row r="34" customFormat="false" ht="15" hidden="false" customHeight="true" outlineLevel="0" collapsed="false">
      <c r="A34" s="76" t="s">
        <v>219</v>
      </c>
      <c r="B34" s="77" t="n">
        <f aca="false">'SG OTT'!Q75</f>
        <v>-0.009</v>
      </c>
      <c r="C34" s="77" t="n">
        <f aca="false">Class!Q75</f>
        <v>0.248</v>
      </c>
      <c r="D34" s="77" t="n">
        <f aca="false">'SG APP'!Q75</f>
        <v>0.506</v>
      </c>
      <c r="E34" s="77" t="n">
        <f aca="false">'SG PUTT'!Q75</f>
        <v>-0.843</v>
      </c>
      <c r="F34" s="77" t="n">
        <f aca="false">'SG ARG'!Q75</f>
        <v>-0.078</v>
      </c>
      <c r="G34" s="78" t="n">
        <v>0.35</v>
      </c>
      <c r="H34" s="78" t="n">
        <f aca="false">'Current Form'!L75</f>
        <v>-0.591666666666667</v>
      </c>
      <c r="I34" s="78" t="n">
        <v>0.18</v>
      </c>
      <c r="J34" s="76" t="s">
        <v>137</v>
      </c>
      <c r="K34" s="76" t="s">
        <v>468</v>
      </c>
    </row>
    <row r="35" customFormat="false" ht="15" hidden="false" customHeight="true" outlineLevel="0" collapsed="false">
      <c r="A35" s="76" t="s">
        <v>224</v>
      </c>
      <c r="B35" s="77" t="n">
        <f aca="false">'SG OTT'!Q80</f>
        <v>0.244545454545455</v>
      </c>
      <c r="C35" s="77" t="n">
        <f aca="false">Class!Q80</f>
        <v>0.251818181818182</v>
      </c>
      <c r="D35" s="77" t="n">
        <f aca="false">'SG APP'!Q80</f>
        <v>-0.648181818181818</v>
      </c>
      <c r="E35" s="77" t="n">
        <f aca="false">'SG PUTT'!Q80</f>
        <v>0.283636363636364</v>
      </c>
      <c r="F35" s="77" t="n">
        <f aca="false">'SG ARG'!Q80</f>
        <v>0.0309090909090909</v>
      </c>
      <c r="G35" s="78" t="n">
        <v>-0.27</v>
      </c>
      <c r="H35" s="78" t="n">
        <f aca="false">'Current Form'!L80</f>
        <v>-0.143333333333333</v>
      </c>
      <c r="I35" s="78" t="n">
        <v>0.03</v>
      </c>
      <c r="J35" s="76" t="s">
        <v>137</v>
      </c>
      <c r="K35" s="76" t="s">
        <v>468</v>
      </c>
    </row>
    <row r="36" customFormat="false" ht="15" hidden="false" customHeight="true" outlineLevel="0" collapsed="false">
      <c r="A36" s="76" t="s">
        <v>225</v>
      </c>
      <c r="B36" s="77" t="n">
        <f aca="false">'SG OTT'!Q81</f>
        <v>0.151111111111111</v>
      </c>
      <c r="C36" s="77" t="n">
        <f aca="false">Class!Q81</f>
        <v>1.03777777777778</v>
      </c>
      <c r="D36" s="77" t="n">
        <f aca="false">'SG APP'!Q81</f>
        <v>0.315555555555556</v>
      </c>
      <c r="E36" s="77" t="n">
        <f aca="false">'SG PUTT'!Q81</f>
        <v>0.48</v>
      </c>
      <c r="F36" s="77" t="n">
        <f aca="false">'SG ARG'!Q81</f>
        <v>0.547777777777778</v>
      </c>
      <c r="G36" s="78" t="n">
        <v>-0.03</v>
      </c>
      <c r="H36" s="78" t="n">
        <f aca="false">'Current Form'!L81</f>
        <v>0.712</v>
      </c>
      <c r="I36" s="78" t="n">
        <v>0.12</v>
      </c>
      <c r="J36" s="76" t="s">
        <v>137</v>
      </c>
      <c r="K36" s="76" t="s">
        <v>468</v>
      </c>
    </row>
    <row r="37" customFormat="false" ht="15" hidden="false" customHeight="true" outlineLevel="0" collapsed="false">
      <c r="A37" s="76" t="s">
        <v>226</v>
      </c>
      <c r="B37" s="77" t="n">
        <f aca="false">'SG OTT'!Q82</f>
        <v>-0.20875</v>
      </c>
      <c r="C37" s="77" t="n">
        <f aca="false">Class!Q82</f>
        <v>0.08625</v>
      </c>
      <c r="D37" s="77" t="n">
        <f aca="false">'SG APP'!Q82</f>
        <v>-0.0525</v>
      </c>
      <c r="E37" s="77" t="n">
        <f aca="false">'SG PUTT'!Q82</f>
        <v>-0.4975</v>
      </c>
      <c r="F37" s="77" t="n">
        <f aca="false">'SG ARG'!Q82</f>
        <v>0.0125</v>
      </c>
      <c r="G37" s="78" t="n">
        <v>0.05</v>
      </c>
      <c r="H37" s="78" t="n">
        <f aca="false">'Current Form'!L82</f>
        <v>-1.022</v>
      </c>
      <c r="I37" s="78" t="n">
        <v>0.04</v>
      </c>
      <c r="J37" s="76" t="s">
        <v>137</v>
      </c>
      <c r="K37" s="76" t="s">
        <v>468</v>
      </c>
    </row>
    <row r="38" customFormat="false" ht="15" hidden="false" customHeight="true" outlineLevel="0" collapsed="false">
      <c r="A38" s="76" t="s">
        <v>227</v>
      </c>
      <c r="B38" s="77" t="n">
        <f aca="false">'SG OTT'!Q83</f>
        <v>0.365</v>
      </c>
      <c r="C38" s="77" t="n">
        <f aca="false">Class!Q83</f>
        <v>0.3925</v>
      </c>
      <c r="D38" s="77" t="n">
        <f aca="false">'SG APP'!Q83</f>
        <v>0.25625</v>
      </c>
      <c r="E38" s="77" t="n">
        <f aca="false">'SG PUTT'!Q83</f>
        <v>0.0425</v>
      </c>
      <c r="F38" s="77" t="n">
        <f aca="false">'SG ARG'!Q83</f>
        <v>-0.09125</v>
      </c>
      <c r="G38" s="78" t="n">
        <v>0.24</v>
      </c>
      <c r="H38" s="78" t="n">
        <f aca="false">'Current Form'!L83</f>
        <v>1.2925</v>
      </c>
      <c r="I38" s="78" t="n">
        <v>-0.02</v>
      </c>
      <c r="J38" s="76" t="s">
        <v>137</v>
      </c>
      <c r="K38" s="76" t="s">
        <v>468</v>
      </c>
    </row>
    <row r="39" customFormat="false" ht="15" hidden="false" customHeight="true" outlineLevel="0" collapsed="false">
      <c r="A39" s="76" t="s">
        <v>233</v>
      </c>
      <c r="B39" s="77" t="n">
        <f aca="false">'SG OTT'!Q89</f>
        <v>-0.512</v>
      </c>
      <c r="C39" s="77" t="n">
        <f aca="false">Class!Q89</f>
        <v>0.306</v>
      </c>
      <c r="D39" s="77" t="n">
        <f aca="false">'SG APP'!Q89</f>
        <v>0.1</v>
      </c>
      <c r="E39" s="77" t="n">
        <f aca="false">'SG PUTT'!Q89</f>
        <v>-0.032</v>
      </c>
      <c r="F39" s="77" t="n">
        <f aca="false">'SG ARG'!Q89</f>
        <v>0.411</v>
      </c>
      <c r="G39" s="78" t="n">
        <v>-0.12</v>
      </c>
      <c r="H39" s="78" t="n">
        <f aca="false">'Current Form'!L89</f>
        <v>-0.156666666666667</v>
      </c>
      <c r="I39" s="78" t="n">
        <v>-0.02</v>
      </c>
      <c r="J39" s="76" t="s">
        <v>137</v>
      </c>
      <c r="K39" s="76" t="s">
        <v>468</v>
      </c>
    </row>
    <row r="40" customFormat="false" ht="15" hidden="false" customHeight="true" outlineLevel="0" collapsed="false">
      <c r="A40" s="76" t="s">
        <v>235</v>
      </c>
      <c r="B40" s="77" t="n">
        <f aca="false">'SG OTT'!Q91</f>
        <v>-0.117777777777778</v>
      </c>
      <c r="C40" s="77" t="n">
        <f aca="false">Class!Q91</f>
        <v>0.322222222222222</v>
      </c>
      <c r="D40" s="77" t="n">
        <f aca="false">'SG APP'!Q91</f>
        <v>0.263333333333333</v>
      </c>
      <c r="E40" s="77" t="n">
        <f aca="false">'SG PUTT'!Q91</f>
        <v>0.431111111111111</v>
      </c>
      <c r="F40" s="77" t="n">
        <f aca="false">'SG ARG'!Q91</f>
        <v>0.0588888888888889</v>
      </c>
      <c r="G40" s="78" t="n">
        <v>0.18</v>
      </c>
      <c r="H40" s="78" t="n">
        <f aca="false">'Current Form'!L91</f>
        <v>0.586</v>
      </c>
      <c r="I40" s="78" t="n">
        <v>0.13</v>
      </c>
      <c r="J40" s="76" t="s">
        <v>137</v>
      </c>
      <c r="K40" s="76" t="s">
        <v>468</v>
      </c>
    </row>
    <row r="41" customFormat="false" ht="15" hidden="false" customHeight="true" outlineLevel="0" collapsed="false">
      <c r="A41" s="76" t="s">
        <v>241</v>
      </c>
      <c r="B41" s="77" t="n">
        <f aca="false">'SG OTT'!Q97</f>
        <v>0.0728571428571429</v>
      </c>
      <c r="C41" s="77" t="n">
        <f aca="false">Class!Q97</f>
        <v>0.0642857142857143</v>
      </c>
      <c r="D41" s="77" t="n">
        <f aca="false">'SG APP'!Q97</f>
        <v>-0.962857142857143</v>
      </c>
      <c r="E41" s="77" t="n">
        <f aca="false">'SG PUTT'!Q97</f>
        <v>0.471428571428572</v>
      </c>
      <c r="F41" s="77" t="n">
        <f aca="false">'SG ARG'!Q97</f>
        <v>-0.221428571428571</v>
      </c>
      <c r="G41" s="78" t="n">
        <v>-0.16</v>
      </c>
      <c r="H41" s="78" t="n">
        <f aca="false">'Current Form'!L97</f>
        <v>-1.27666666666667</v>
      </c>
      <c r="I41" s="78" t="n">
        <v>-0.03</v>
      </c>
      <c r="J41" s="76" t="s">
        <v>137</v>
      </c>
      <c r="K41" s="76" t="s">
        <v>468</v>
      </c>
    </row>
    <row r="42" customFormat="false" ht="15" hidden="false" customHeight="true" outlineLevel="0" collapsed="false">
      <c r="A42" s="76" t="s">
        <v>243</v>
      </c>
      <c r="B42" s="77" t="n">
        <f aca="false">'SG OTT'!Q99</f>
        <v>-0.234444444444444</v>
      </c>
      <c r="C42" s="77" t="n">
        <f aca="false">Class!Q99</f>
        <v>0.0388888888888889</v>
      </c>
      <c r="D42" s="77" t="n">
        <f aca="false">'SG APP'!Q99</f>
        <v>-0.447777777777778</v>
      </c>
      <c r="E42" s="77" t="n">
        <f aca="false">'SG PUTT'!Q99</f>
        <v>-0.367777777777778</v>
      </c>
      <c r="F42" s="77" t="n">
        <f aca="false">'SG ARG'!Q99</f>
        <v>-0.0877777777777778</v>
      </c>
      <c r="G42" s="78" t="n">
        <v>-0.06</v>
      </c>
      <c r="H42" s="78" t="n">
        <f aca="false">'Current Form'!L99</f>
        <v>-0.536</v>
      </c>
      <c r="I42" s="78" t="n">
        <v>-0.03</v>
      </c>
      <c r="J42" s="76" t="s">
        <v>137</v>
      </c>
      <c r="K42" s="76" t="s">
        <v>468</v>
      </c>
    </row>
    <row r="43" customFormat="false" ht="15" hidden="false" customHeight="true" outlineLevel="0" collapsed="false">
      <c r="A43" s="76" t="s">
        <v>246</v>
      </c>
      <c r="B43" s="77" t="n">
        <f aca="false">'SG OTT'!Q102</f>
        <v>-0.1975</v>
      </c>
      <c r="C43" s="77" t="n">
        <f aca="false">Class!Q102</f>
        <v>0</v>
      </c>
      <c r="D43" s="77" t="n">
        <f aca="false">'SG APP'!Q102</f>
        <v>-0.78625</v>
      </c>
      <c r="E43" s="77" t="n">
        <f aca="false">'SG PUTT'!Q102</f>
        <v>-0.41875</v>
      </c>
      <c r="F43" s="77" t="n">
        <f aca="false">'SG ARG'!Q102</f>
        <v>-0.05875</v>
      </c>
      <c r="G43" s="78" t="n">
        <v>0.22</v>
      </c>
      <c r="H43" s="78" t="n">
        <f aca="false">'Current Form'!L102</f>
        <v>-1.522</v>
      </c>
      <c r="I43" s="78" t="n">
        <v>-0.04</v>
      </c>
      <c r="J43" s="76" t="s">
        <v>137</v>
      </c>
      <c r="K43" s="76" t="s">
        <v>468</v>
      </c>
    </row>
    <row r="44" customFormat="false" ht="15" hidden="false" customHeight="true" outlineLevel="0" collapsed="false">
      <c r="A44" s="76" t="s">
        <v>247</v>
      </c>
      <c r="B44" s="77" t="n">
        <f aca="false">'SG OTT'!Q103</f>
        <v>0.344</v>
      </c>
      <c r="C44" s="77" t="n">
        <f aca="false">Class!Q103</f>
        <v>0.208</v>
      </c>
      <c r="D44" s="77" t="n">
        <f aca="false">'SG APP'!Q103</f>
        <v>0.214</v>
      </c>
      <c r="E44" s="77" t="n">
        <f aca="false">'SG PUTT'!Q103</f>
        <v>-0.279</v>
      </c>
      <c r="F44" s="77" t="n">
        <f aca="false">'SG ARG'!Q103</f>
        <v>-0.00700000000000001</v>
      </c>
      <c r="G44" s="78" t="n">
        <v>0.08</v>
      </c>
      <c r="H44" s="78" t="n">
        <f aca="false">'Current Form'!L103</f>
        <v>0.16</v>
      </c>
      <c r="I44" s="78" t="n">
        <v>0</v>
      </c>
      <c r="J44" s="76" t="s">
        <v>137</v>
      </c>
      <c r="K44" s="76" t="s">
        <v>468</v>
      </c>
    </row>
    <row r="45" customFormat="false" ht="15" hidden="false" customHeight="true" outlineLevel="0" collapsed="false">
      <c r="A45" s="76" t="s">
        <v>248</v>
      </c>
      <c r="B45" s="77" t="n">
        <f aca="false">'SG OTT'!Q104</f>
        <v>0.18</v>
      </c>
      <c r="C45" s="77" t="n">
        <f aca="false">Class!Q104</f>
        <v>0.134285714285714</v>
      </c>
      <c r="D45" s="77" t="n">
        <f aca="false">'SG APP'!Q104</f>
        <v>0.05</v>
      </c>
      <c r="E45" s="77" t="n">
        <f aca="false">'SG PUTT'!Q104</f>
        <v>0.0214285714285714</v>
      </c>
      <c r="F45" s="77" t="n">
        <f aca="false">'SG ARG'!Q104</f>
        <v>-0.181428571428571</v>
      </c>
      <c r="G45" s="78" t="n">
        <v>0.2</v>
      </c>
      <c r="H45" s="78" t="n">
        <f aca="false">'Current Form'!L104</f>
        <v>0.2975</v>
      </c>
      <c r="I45" s="78" t="n">
        <v>0</v>
      </c>
      <c r="J45" s="76" t="s">
        <v>137</v>
      </c>
      <c r="K45" s="76" t="s">
        <v>468</v>
      </c>
    </row>
    <row r="46" customFormat="false" ht="15" hidden="false" customHeight="true" outlineLevel="0" collapsed="false">
      <c r="A46" s="76" t="s">
        <v>249</v>
      </c>
      <c r="B46" s="77" t="n">
        <f aca="false">'SG OTT'!Q105</f>
        <v>0.437777777777778</v>
      </c>
      <c r="C46" s="77" t="n">
        <f aca="false">Class!Q105</f>
        <v>0.21</v>
      </c>
      <c r="D46" s="77" t="n">
        <f aca="false">'SG APP'!Q105</f>
        <v>0.104444444444444</v>
      </c>
      <c r="E46" s="77" t="n">
        <f aca="false">'SG PUTT'!Q105</f>
        <v>-0.355555555555556</v>
      </c>
      <c r="F46" s="77" t="n">
        <f aca="false">'SG ARG'!Q105</f>
        <v>0.0211111111111111</v>
      </c>
      <c r="G46" s="78" t="n">
        <v>-0.01</v>
      </c>
      <c r="H46" s="78" t="n">
        <f aca="false">'Current Form'!L105</f>
        <v>-0.182</v>
      </c>
      <c r="I46" s="78" t="n">
        <v>0.01</v>
      </c>
      <c r="J46" s="76" t="s">
        <v>137</v>
      </c>
      <c r="K46" s="76" t="s">
        <v>468</v>
      </c>
    </row>
    <row r="47" customFormat="false" ht="15" hidden="false" customHeight="true" outlineLevel="0" collapsed="false">
      <c r="A47" s="76" t="s">
        <v>251</v>
      </c>
      <c r="B47" s="77" t="n">
        <f aca="false">'SG OTT'!Q107</f>
        <v>-0.26</v>
      </c>
      <c r="C47" s="77" t="n">
        <f aca="false">Class!Q107</f>
        <v>0.240909090909091</v>
      </c>
      <c r="D47" s="77" t="n">
        <f aca="false">'SG APP'!Q107</f>
        <v>0.526363636363636</v>
      </c>
      <c r="E47" s="77" t="n">
        <f aca="false">'SG PUTT'!Q107</f>
        <v>-0.150909090909091</v>
      </c>
      <c r="F47" s="77" t="n">
        <f aca="false">'SG ARG'!Q107</f>
        <v>-0.103636363636364</v>
      </c>
      <c r="G47" s="78" t="n">
        <v>0.1</v>
      </c>
      <c r="H47" s="78" t="n">
        <f aca="false">'Current Form'!L107</f>
        <v>0.02</v>
      </c>
      <c r="I47" s="78" t="n">
        <v>0.07</v>
      </c>
      <c r="J47" s="76" t="s">
        <v>137</v>
      </c>
      <c r="K47" s="76" t="s">
        <v>468</v>
      </c>
    </row>
    <row r="48" customFormat="false" ht="15" hidden="false" customHeight="true" outlineLevel="0" collapsed="false">
      <c r="A48" s="76" t="s">
        <v>253</v>
      </c>
      <c r="B48" s="77" t="n">
        <f aca="false">'SG OTT'!Q109</f>
        <v>0.185714285714286</v>
      </c>
      <c r="C48" s="77" t="n">
        <f aca="false">Class!Q109</f>
        <v>0.124285714285714</v>
      </c>
      <c r="D48" s="77" t="n">
        <f aca="false">'SG APP'!Q109</f>
        <v>-0.307142857142857</v>
      </c>
      <c r="E48" s="77" t="n">
        <f aca="false">'SG PUTT'!Q109</f>
        <v>0.0957142857142857</v>
      </c>
      <c r="F48" s="77" t="n">
        <f aca="false">'SG ARG'!Q109</f>
        <v>0.00142857142857143</v>
      </c>
      <c r="G48" s="78" t="n">
        <v>-0.36</v>
      </c>
      <c r="H48" s="78" t="n">
        <f aca="false">'Current Form'!L109</f>
        <v>0.38</v>
      </c>
      <c r="I48" s="78" t="n">
        <v>-0.01</v>
      </c>
      <c r="J48" s="76" t="s">
        <v>137</v>
      </c>
      <c r="K48" s="76" t="s">
        <v>468</v>
      </c>
    </row>
    <row r="49" customFormat="false" ht="15" hidden="false" customHeight="true" outlineLevel="0" collapsed="false">
      <c r="A49" s="76" t="s">
        <v>255</v>
      </c>
      <c r="B49" s="77" t="n">
        <f aca="false">'SG OTT'!Q111</f>
        <v>-0.041</v>
      </c>
      <c r="C49" s="77" t="n">
        <f aca="false">Class!Q111</f>
        <v>0.201</v>
      </c>
      <c r="D49" s="77" t="n">
        <f aca="false">'SG APP'!Q111</f>
        <v>0.403</v>
      </c>
      <c r="E49" s="77" t="n">
        <f aca="false">'SG PUTT'!Q111</f>
        <v>-0.032</v>
      </c>
      <c r="F49" s="77" t="n">
        <f aca="false">'SG ARG'!Q111</f>
        <v>-0.271</v>
      </c>
      <c r="G49" s="78" t="n">
        <v>0.04</v>
      </c>
      <c r="H49" s="78" t="n">
        <f aca="false">'Current Form'!L111</f>
        <v>0.491666666666667</v>
      </c>
      <c r="I49" s="78" t="n">
        <v>0.3</v>
      </c>
      <c r="J49" s="76" t="s">
        <v>137</v>
      </c>
      <c r="K49" s="76" t="s">
        <v>468</v>
      </c>
    </row>
    <row r="50" customFormat="false" ht="15" hidden="false" customHeight="true" outlineLevel="0" collapsed="false">
      <c r="A50" s="76" t="s">
        <v>257</v>
      </c>
      <c r="B50" s="77" t="n">
        <f aca="false">'SG OTT'!Q113</f>
        <v>0.34125</v>
      </c>
      <c r="C50" s="77" t="n">
        <f aca="false">Class!Q113</f>
        <v>0.40625</v>
      </c>
      <c r="D50" s="77" t="n">
        <f aca="false">'SG APP'!Q113</f>
        <v>-0.16375</v>
      </c>
      <c r="E50" s="77" t="n">
        <f aca="false">'SG PUTT'!Q113</f>
        <v>0.35625</v>
      </c>
      <c r="F50" s="77" t="n">
        <f aca="false">'SG ARG'!Q113</f>
        <v>0.18375</v>
      </c>
      <c r="G50" s="78" t="n">
        <v>-0.03</v>
      </c>
      <c r="H50" s="78" t="n">
        <f aca="false">'Current Form'!L113</f>
        <v>0.61</v>
      </c>
      <c r="I50" s="78" t="n">
        <v>0.07</v>
      </c>
      <c r="J50" s="76" t="s">
        <v>137</v>
      </c>
      <c r="K50" s="76" t="s">
        <v>468</v>
      </c>
    </row>
    <row r="51" customFormat="false" ht="15" hidden="false" customHeight="true" outlineLevel="0" collapsed="false">
      <c r="A51" s="76" t="s">
        <v>259</v>
      </c>
      <c r="B51" s="77" t="n">
        <f aca="false">'SG OTT'!Q115</f>
        <v>0.02</v>
      </c>
      <c r="C51" s="77" t="n">
        <f aca="false">Class!Q115</f>
        <v>0.11</v>
      </c>
      <c r="D51" s="77" t="n">
        <f aca="false">'SG APP'!Q115</f>
        <v>0.31875</v>
      </c>
      <c r="E51" s="77" t="n">
        <f aca="false">'SG PUTT'!Q115</f>
        <v>-0.75</v>
      </c>
      <c r="F51" s="77" t="n">
        <f aca="false">'SG ARG'!Q115</f>
        <v>0.06125</v>
      </c>
      <c r="G51" s="78" t="n">
        <v>0.1</v>
      </c>
      <c r="H51" s="78" t="n">
        <f aca="false">'Current Form'!L115</f>
        <v>-1.05</v>
      </c>
      <c r="I51" s="78" t="n">
        <v>0.18</v>
      </c>
      <c r="J51" s="76" t="s">
        <v>137</v>
      </c>
      <c r="K51" s="76" t="s">
        <v>468</v>
      </c>
    </row>
    <row r="52" customFormat="false" ht="15" hidden="false" customHeight="true" outlineLevel="0" collapsed="false">
      <c r="A52" s="76" t="s">
        <v>260</v>
      </c>
      <c r="B52" s="77" t="n">
        <f aca="false">'SG OTT'!Q116</f>
        <v>-0.11125</v>
      </c>
      <c r="C52" s="77" t="n">
        <f aca="false">Class!Q116</f>
        <v>0.23375</v>
      </c>
      <c r="D52" s="77" t="n">
        <f aca="false">'SG APP'!Q116</f>
        <v>-0.425</v>
      </c>
      <c r="E52" s="77" t="n">
        <f aca="false">'SG PUTT'!Q116</f>
        <v>0.49125</v>
      </c>
      <c r="F52" s="77" t="n">
        <f aca="false">'SG ARG'!Q116</f>
        <v>0.46375</v>
      </c>
      <c r="G52" s="78" t="n">
        <v>-0.18</v>
      </c>
      <c r="H52" s="78" t="n">
        <f aca="false">'Current Form'!L116</f>
        <v>0.616</v>
      </c>
      <c r="I52" s="78" t="n">
        <v>0.07</v>
      </c>
      <c r="J52" s="76" t="s">
        <v>137</v>
      </c>
      <c r="K52" s="76" t="s">
        <v>468</v>
      </c>
    </row>
    <row r="53" customFormat="false" ht="15" hidden="false" customHeight="true" outlineLevel="0" collapsed="false">
      <c r="A53" s="76" t="s">
        <v>261</v>
      </c>
      <c r="B53" s="77" t="n">
        <f aca="false">'SG OTT'!Q117</f>
        <v>0.348333333333333</v>
      </c>
      <c r="C53" s="77" t="n">
        <f aca="false">Class!Q117</f>
        <v>0.525</v>
      </c>
      <c r="D53" s="77" t="n">
        <f aca="false">'SG APP'!Q117</f>
        <v>-0.505833333333333</v>
      </c>
      <c r="E53" s="77" t="n">
        <f aca="false">'SG PUTT'!Q117</f>
        <v>0.273333333333333</v>
      </c>
      <c r="F53" s="77" t="n">
        <f aca="false">'SG ARG'!Q117</f>
        <v>0.313333333333333</v>
      </c>
      <c r="G53" s="78" t="n">
        <v>0.05</v>
      </c>
      <c r="H53" s="78" t="n">
        <f aca="false">'Current Form'!L117</f>
        <v>0.702857142857143</v>
      </c>
      <c r="I53" s="78" t="n">
        <v>0.19</v>
      </c>
      <c r="J53" s="76" t="s">
        <v>137</v>
      </c>
      <c r="K53" s="76" t="s">
        <v>468</v>
      </c>
    </row>
    <row r="54" customFormat="false" ht="15" hidden="false" customHeight="true" outlineLevel="0" collapsed="false">
      <c r="A54" s="76" t="s">
        <v>262</v>
      </c>
      <c r="B54" s="77" t="n">
        <f aca="false">'SG OTT'!Q118</f>
        <v>-0.5</v>
      </c>
      <c r="C54" s="77" t="n">
        <f aca="false">Class!Q118</f>
        <v>0.304444444444444</v>
      </c>
      <c r="D54" s="77" t="n">
        <f aca="false">'SG APP'!Q118</f>
        <v>-0.336666666666667</v>
      </c>
      <c r="E54" s="77" t="n">
        <f aca="false">'SG PUTT'!Q118</f>
        <v>-0.0988888888888889</v>
      </c>
      <c r="F54" s="77" t="n">
        <f aca="false">'SG ARG'!Q118</f>
        <v>0.3</v>
      </c>
      <c r="G54" s="78" t="n">
        <v>-0.27</v>
      </c>
      <c r="H54" s="78" t="n">
        <f aca="false">'Current Form'!L118</f>
        <v>0.024</v>
      </c>
      <c r="I54" s="78" t="n">
        <v>0.05</v>
      </c>
      <c r="J54" s="76" t="s">
        <v>137</v>
      </c>
      <c r="K54" s="76" t="s">
        <v>468</v>
      </c>
    </row>
    <row r="55" customFormat="false" ht="15" hidden="false" customHeight="true" outlineLevel="0" collapsed="false">
      <c r="A55" s="76" t="s">
        <v>264</v>
      </c>
      <c r="B55" s="77" t="n">
        <f aca="false">'SG OTT'!Q120</f>
        <v>0.326666666666667</v>
      </c>
      <c r="C55" s="77" t="n">
        <f aca="false">Class!Q120</f>
        <v>0.533333333333333</v>
      </c>
      <c r="D55" s="77" t="n">
        <f aca="false">'SG APP'!Q120</f>
        <v>0.316666666666667</v>
      </c>
      <c r="E55" s="77" t="n">
        <f aca="false">'SG PUTT'!Q120</f>
        <v>0.438333333333333</v>
      </c>
      <c r="F55" s="77" t="n">
        <f aca="false">'SG ARG'!Q120</f>
        <v>0.0833333333333333</v>
      </c>
      <c r="G55" s="78" t="n">
        <v>0.07</v>
      </c>
      <c r="H55" s="78" t="n">
        <f aca="false">'Current Form'!L120</f>
        <v>1.03166666666667</v>
      </c>
      <c r="I55" s="78" t="n">
        <v>-0.04</v>
      </c>
      <c r="J55" s="76" t="s">
        <v>137</v>
      </c>
      <c r="K55" s="76" t="s">
        <v>468</v>
      </c>
    </row>
    <row r="56" customFormat="false" ht="15" hidden="false" customHeight="true" outlineLevel="0" collapsed="false">
      <c r="A56" s="76" t="s">
        <v>269</v>
      </c>
      <c r="B56" s="77" t="n">
        <f aca="false">'SG OTT'!Q125</f>
        <v>-0.1075</v>
      </c>
      <c r="C56" s="77" t="n">
        <f aca="false">Class!Q125</f>
        <v>0.07375</v>
      </c>
      <c r="D56" s="77" t="n">
        <f aca="false">'SG APP'!Q125</f>
        <v>-0.4775</v>
      </c>
      <c r="E56" s="77" t="n">
        <f aca="false">'SG PUTT'!Q125</f>
        <v>-0.16125</v>
      </c>
      <c r="F56" s="77" t="n">
        <f aca="false">'SG ARG'!Q125</f>
        <v>0.26625</v>
      </c>
      <c r="G56" s="78" t="n">
        <v>0.19</v>
      </c>
      <c r="H56" s="78" t="n">
        <f aca="false">'Current Form'!L125</f>
        <v>-0.252</v>
      </c>
      <c r="I56" s="78" t="n">
        <v>-0.03</v>
      </c>
      <c r="J56" s="76" t="s">
        <v>137</v>
      </c>
      <c r="K56" s="76" t="s">
        <v>468</v>
      </c>
    </row>
    <row r="57" customFormat="false" ht="15" hidden="false" customHeight="true" outlineLevel="0" collapsed="false">
      <c r="A57" s="76" t="s">
        <v>271</v>
      </c>
      <c r="B57" s="77" t="n">
        <f aca="false">'SG OTT'!Q127</f>
        <v>-0.105</v>
      </c>
      <c r="C57" s="77" t="n">
        <f aca="false">Class!Q127</f>
        <v>0.03</v>
      </c>
      <c r="D57" s="77" t="n">
        <f aca="false">'SG APP'!Q127</f>
        <v>-0.11</v>
      </c>
      <c r="E57" s="77" t="n">
        <f aca="false">'SG PUTT'!Q127</f>
        <v>-0.58625</v>
      </c>
      <c r="F57" s="77" t="n">
        <f aca="false">'SG ARG'!Q127</f>
        <v>0.17625</v>
      </c>
      <c r="G57" s="78" t="n">
        <v>-0.09</v>
      </c>
      <c r="H57" s="78" t="n">
        <f aca="false">'Current Form'!L127</f>
        <v>-0.788</v>
      </c>
      <c r="I57" s="78" t="n">
        <v>-0.04</v>
      </c>
      <c r="J57" s="76" t="s">
        <v>137</v>
      </c>
      <c r="K57" s="76" t="s">
        <v>468</v>
      </c>
    </row>
    <row r="58" customFormat="false" ht="15" hidden="false" customHeight="true" outlineLevel="0" collapsed="false">
      <c r="A58" s="76" t="s">
        <v>273</v>
      </c>
      <c r="B58" s="77" t="n">
        <f aca="false">'SG OTT'!Q129</f>
        <v>0.408</v>
      </c>
      <c r="C58" s="77" t="n">
        <f aca="false">Class!Q129</f>
        <v>0.23</v>
      </c>
      <c r="D58" s="77" t="n">
        <f aca="false">'SG APP'!Q129</f>
        <v>0.451</v>
      </c>
      <c r="E58" s="77" t="n">
        <f aca="false">'SG PUTT'!Q129</f>
        <v>-0.041</v>
      </c>
      <c r="F58" s="77" t="n">
        <f aca="false">'SG ARG'!Q129</f>
        <v>-0.24</v>
      </c>
      <c r="G58" s="78" t="n">
        <v>-0.12</v>
      </c>
      <c r="H58" s="78" t="n">
        <f aca="false">'Current Form'!L129</f>
        <v>-0.00999999999999997</v>
      </c>
      <c r="I58" s="78" t="n">
        <v>-0.04</v>
      </c>
      <c r="J58" s="76" t="s">
        <v>137</v>
      </c>
      <c r="K58" s="76" t="s">
        <v>468</v>
      </c>
    </row>
    <row r="59" customFormat="false" ht="15" hidden="false" customHeight="true" outlineLevel="0" collapsed="false">
      <c r="A59" s="76" t="s">
        <v>275</v>
      </c>
      <c r="B59" s="77" t="n">
        <f aca="false">'SG OTT'!Q131</f>
        <v>-0.136363636363636</v>
      </c>
      <c r="C59" s="77" t="n">
        <f aca="false">Class!Q131</f>
        <v>0.367272727272727</v>
      </c>
      <c r="D59" s="77" t="n">
        <f aca="false">'SG APP'!Q131</f>
        <v>0.304545454545455</v>
      </c>
      <c r="E59" s="77" t="n">
        <f aca="false">'SG PUTT'!Q131</f>
        <v>0.311818181818182</v>
      </c>
      <c r="F59" s="77" t="n">
        <f aca="false">'SG ARG'!Q131</f>
        <v>0.0472727272727273</v>
      </c>
      <c r="G59" s="78" t="n">
        <v>-0.04</v>
      </c>
      <c r="H59" s="78" t="n">
        <f aca="false">'Current Form'!L131</f>
        <v>0.278571428571429</v>
      </c>
      <c r="I59" s="78" t="n">
        <v>0.04</v>
      </c>
      <c r="J59" s="76" t="s">
        <v>137</v>
      </c>
      <c r="K59" s="76" t="s">
        <v>468</v>
      </c>
    </row>
    <row r="60" customFormat="false" ht="15" hidden="false" customHeight="true" outlineLevel="0" collapsed="false">
      <c r="A60" s="76" t="s">
        <v>13</v>
      </c>
      <c r="B60" s="77" t="n">
        <f aca="false">'SG OTT'!Q134</f>
        <v>0.03875</v>
      </c>
      <c r="C60" s="77" t="n">
        <f aca="false">Class!Q134</f>
        <v>1.9375</v>
      </c>
      <c r="D60" s="77" t="n">
        <f aca="false">'SG APP'!Q134</f>
        <v>1.18875</v>
      </c>
      <c r="E60" s="77" t="n">
        <f aca="false">'SG PUTT'!Q134</f>
        <v>0.1275</v>
      </c>
      <c r="F60" s="77" t="n">
        <f aca="false">'SG ARG'!Q134</f>
        <v>0.1525</v>
      </c>
      <c r="G60" s="78" t="n">
        <v>0.12</v>
      </c>
      <c r="H60" s="78" t="n">
        <f aca="false">'Current Form'!L134</f>
        <v>1.832</v>
      </c>
      <c r="I60" s="78" t="n">
        <v>0.02</v>
      </c>
      <c r="J60" s="76" t="s">
        <v>137</v>
      </c>
      <c r="K60" s="76" t="s">
        <v>468</v>
      </c>
    </row>
    <row r="61" customFormat="false" ht="15" hidden="false" customHeight="true" outlineLevel="0" collapsed="false">
      <c r="A61" s="76" t="s">
        <v>278</v>
      </c>
      <c r="B61" s="77" t="n">
        <f aca="false">'SG OTT'!Q135</f>
        <v>-0.104285714285714</v>
      </c>
      <c r="C61" s="77" t="n">
        <f aca="false">Class!Q135</f>
        <v>0.205714285714286</v>
      </c>
      <c r="D61" s="77" t="n">
        <f aca="false">'SG APP'!Q135</f>
        <v>0.695714285714286</v>
      </c>
      <c r="E61" s="77" t="n">
        <f aca="false">'SG PUTT'!Q135</f>
        <v>-0.584285714285714</v>
      </c>
      <c r="F61" s="77" t="n">
        <f aca="false">'SG ARG'!Q135</f>
        <v>0.107142857142857</v>
      </c>
      <c r="G61" s="78" t="n">
        <v>0.06</v>
      </c>
      <c r="H61" s="78" t="n">
        <f aca="false">'Current Form'!L135</f>
        <v>-0.1425</v>
      </c>
      <c r="I61" s="78" t="n">
        <v>0.16</v>
      </c>
      <c r="J61" s="76" t="s">
        <v>137</v>
      </c>
      <c r="K61" s="76" t="s">
        <v>468</v>
      </c>
    </row>
    <row r="62" customFormat="false" ht="15" hidden="false" customHeight="true" outlineLevel="0" collapsed="false">
      <c r="A62" s="76" t="s">
        <v>280</v>
      </c>
      <c r="B62" s="77" t="n">
        <f aca="false">'SG OTT'!Q137</f>
        <v>-1.17857142857143</v>
      </c>
      <c r="C62" s="77" t="n">
        <f aca="false">Class!Q137</f>
        <v>0</v>
      </c>
      <c r="D62" s="77" t="n">
        <f aca="false">'SG APP'!Q137</f>
        <v>-1.07285714285714</v>
      </c>
      <c r="E62" s="77" t="n">
        <f aca="false">'SG PUTT'!Q137</f>
        <v>-0.697142857142857</v>
      </c>
      <c r="F62" s="77" t="n">
        <f aca="false">'SG ARG'!Q137</f>
        <v>0.248571428571429</v>
      </c>
      <c r="G62" s="78" t="n">
        <v>-0.08</v>
      </c>
      <c r="H62" s="78" t="n">
        <f aca="false">'Current Form'!L137</f>
        <v>-2.3625</v>
      </c>
      <c r="I62" s="78" t="n">
        <v>0.18</v>
      </c>
      <c r="J62" s="76" t="s">
        <v>137</v>
      </c>
      <c r="K62" s="76" t="s">
        <v>468</v>
      </c>
    </row>
    <row r="63" customFormat="false" ht="15" hidden="false" customHeight="true" outlineLevel="0" collapsed="false">
      <c r="A63" s="76" t="s">
        <v>283</v>
      </c>
      <c r="B63" s="77" t="n">
        <f aca="false">'SG OTT'!Q140</f>
        <v>0.333333333333333</v>
      </c>
      <c r="C63" s="77" t="n">
        <f aca="false">Class!Q140</f>
        <v>0.245</v>
      </c>
      <c r="D63" s="77" t="n">
        <f aca="false">'SG APP'!Q140</f>
        <v>0.206666666666667</v>
      </c>
      <c r="E63" s="77" t="n">
        <f aca="false">'SG PUTT'!Q140</f>
        <v>-0.155</v>
      </c>
      <c r="F63" s="77" t="n">
        <f aca="false">'SG ARG'!Q140</f>
        <v>0.0966666666666667</v>
      </c>
      <c r="G63" s="78" t="n">
        <v>-0.13</v>
      </c>
      <c r="H63" s="78" t="n">
        <f aca="false">'Current Form'!L140</f>
        <v>0.21</v>
      </c>
      <c r="I63" s="78" t="n">
        <v>0.01</v>
      </c>
      <c r="J63" s="76" t="s">
        <v>137</v>
      </c>
      <c r="K63" s="76" t="s">
        <v>468</v>
      </c>
    </row>
    <row r="64" customFormat="false" ht="15" hidden="false" customHeight="true" outlineLevel="0" collapsed="false">
      <c r="A64" s="76" t="s">
        <v>284</v>
      </c>
      <c r="B64" s="77" t="n">
        <f aca="false">'SG OTT'!Q141</f>
        <v>0.226666666666667</v>
      </c>
      <c r="C64" s="77" t="n">
        <f aca="false">Class!Q141</f>
        <v>0.511666666666667</v>
      </c>
      <c r="D64" s="77" t="n">
        <f aca="false">'SG APP'!Q141</f>
        <v>0.38</v>
      </c>
      <c r="E64" s="77" t="n">
        <f aca="false">'SG PUTT'!Q141</f>
        <v>0.138333333333333</v>
      </c>
      <c r="F64" s="77" t="n">
        <f aca="false">'SG ARG'!Q141</f>
        <v>-0.03</v>
      </c>
      <c r="G64" s="78" t="n">
        <v>0.4</v>
      </c>
      <c r="H64" s="78" t="n">
        <f aca="false">'Current Form'!L141</f>
        <v>1.79666666666667</v>
      </c>
      <c r="I64" s="78" t="n">
        <v>0.01</v>
      </c>
      <c r="J64" s="76" t="s">
        <v>137</v>
      </c>
      <c r="K64" s="76" t="s">
        <v>468</v>
      </c>
    </row>
    <row r="65" customFormat="false" ht="15" hidden="false" customHeight="true" outlineLevel="0" collapsed="false">
      <c r="A65" s="76" t="s">
        <v>285</v>
      </c>
      <c r="B65" s="77" t="n">
        <f aca="false">'SG OTT'!Q142</f>
        <v>0.535</v>
      </c>
      <c r="C65" s="77" t="n">
        <f aca="false">Class!Q142</f>
        <v>0.675</v>
      </c>
      <c r="D65" s="77" t="n">
        <f aca="false">'SG APP'!Q142</f>
        <v>0.37</v>
      </c>
      <c r="E65" s="77" t="n">
        <f aca="false">'SG PUTT'!Q142</f>
        <v>0.015</v>
      </c>
      <c r="F65" s="77" t="n">
        <f aca="false">'SG ARG'!Q142</f>
        <v>0.275</v>
      </c>
      <c r="G65" s="78" t="n">
        <v>0.08</v>
      </c>
      <c r="H65" s="78" t="n">
        <f aca="false">'Current Form'!L142</f>
        <v>1.37</v>
      </c>
      <c r="I65" s="78" t="n">
        <v>0.02</v>
      </c>
      <c r="J65" s="76" t="s">
        <v>137</v>
      </c>
      <c r="K65" s="76" t="s">
        <v>468</v>
      </c>
    </row>
    <row r="66" customFormat="false" ht="15" hidden="false" customHeight="true" outlineLevel="0" collapsed="false">
      <c r="A66" s="76" t="s">
        <v>287</v>
      </c>
      <c r="B66" s="77" t="n">
        <f aca="false">'SG OTT'!Q144</f>
        <v>-0.533333333333333</v>
      </c>
      <c r="C66" s="77" t="n">
        <f aca="false">Class!Q144</f>
        <v>0.256666666666667</v>
      </c>
      <c r="D66" s="77" t="n">
        <f aca="false">'SG APP'!Q144</f>
        <v>-0.0316666666666667</v>
      </c>
      <c r="E66" s="77" t="n">
        <f aca="false">'SG PUTT'!Q144</f>
        <v>0.075</v>
      </c>
      <c r="F66" s="77" t="n">
        <f aca="false">'SG ARG'!Q144</f>
        <v>0.36</v>
      </c>
      <c r="G66" s="78" t="n">
        <v>0.28</v>
      </c>
      <c r="H66" s="78" t="n">
        <f aca="false">'Current Form'!L144</f>
        <v>0.0166666666666666</v>
      </c>
      <c r="I66" s="78" t="n">
        <v>0.09</v>
      </c>
      <c r="J66" s="76" t="s">
        <v>137</v>
      </c>
      <c r="K66" s="76" t="s">
        <v>468</v>
      </c>
    </row>
    <row r="67" customFormat="false" ht="15" hidden="false" customHeight="true" outlineLevel="0" collapsed="false">
      <c r="A67" s="76" t="s">
        <v>292</v>
      </c>
      <c r="B67" s="77" t="n">
        <f aca="false">'SG OTT'!Q149</f>
        <v>-0.14625</v>
      </c>
      <c r="C67" s="77" t="n">
        <f aca="false">Class!Q149</f>
        <v>0</v>
      </c>
      <c r="D67" s="77" t="n">
        <f aca="false">'SG APP'!Q149</f>
        <v>-1.93125</v>
      </c>
      <c r="E67" s="77" t="n">
        <f aca="false">'SG PUTT'!Q149</f>
        <v>-0.51</v>
      </c>
      <c r="F67" s="77" t="n">
        <f aca="false">'SG ARG'!Q149</f>
        <v>-0.29875</v>
      </c>
      <c r="G67" s="78" t="n">
        <v>-0.47</v>
      </c>
      <c r="H67" s="78" t="n">
        <f aca="false">'Current Form'!L149</f>
        <v>-3.148</v>
      </c>
      <c r="I67" s="78" t="n">
        <v>-0.04</v>
      </c>
      <c r="J67" s="76" t="s">
        <v>137</v>
      </c>
      <c r="K67" s="76" t="s">
        <v>468</v>
      </c>
    </row>
    <row r="68" customFormat="false" ht="15" hidden="false" customHeight="true" outlineLevel="0" collapsed="false">
      <c r="A68" s="76" t="s">
        <v>295</v>
      </c>
      <c r="B68" s="77" t="n">
        <f aca="false">'SG OTT'!Q152</f>
        <v>-0.38125</v>
      </c>
      <c r="C68" s="77" t="n">
        <f aca="false">Class!Q152</f>
        <v>0.04375</v>
      </c>
      <c r="D68" s="77" t="n">
        <f aca="false">'SG APP'!Q152</f>
        <v>0.10625</v>
      </c>
      <c r="E68" s="77" t="n">
        <f aca="false">'SG PUTT'!Q152</f>
        <v>-0.85625</v>
      </c>
      <c r="F68" s="77" t="n">
        <f aca="false">'SG ARG'!Q152</f>
        <v>0.1025</v>
      </c>
      <c r="G68" s="78" t="n">
        <v>0</v>
      </c>
      <c r="H68" s="78" t="n">
        <f aca="false">'Current Form'!L152</f>
        <v>-0.944</v>
      </c>
      <c r="I68" s="78" t="n">
        <v>0.02</v>
      </c>
      <c r="J68" s="76" t="s">
        <v>137</v>
      </c>
      <c r="K68" s="76" t="s">
        <v>468</v>
      </c>
    </row>
    <row r="69" customFormat="false" ht="15" hidden="false" customHeight="true" outlineLevel="0" collapsed="false">
      <c r="A69" s="76" t="s">
        <v>300</v>
      </c>
      <c r="B69" s="77" t="n">
        <f aca="false">'SG OTT'!Q157</f>
        <v>0.278888888888889</v>
      </c>
      <c r="C69" s="77" t="n">
        <f aca="false">Class!Q157</f>
        <v>0</v>
      </c>
      <c r="D69" s="77" t="n">
        <f aca="false">'SG APP'!Q157</f>
        <v>-0.196666666666667</v>
      </c>
      <c r="E69" s="77" t="n">
        <f aca="false">'SG PUTT'!Q157</f>
        <v>-0.158888888888889</v>
      </c>
      <c r="F69" s="77" t="n">
        <f aca="false">'SG ARG'!Q157</f>
        <v>-1.09625</v>
      </c>
      <c r="G69" s="78" t="n">
        <v>-0.1</v>
      </c>
      <c r="H69" s="78" t="n">
        <f aca="false">'Current Form'!L157</f>
        <v>-1.242</v>
      </c>
      <c r="I69" s="78" t="n">
        <v>-0.04</v>
      </c>
      <c r="J69" s="76" t="s">
        <v>137</v>
      </c>
      <c r="K69" s="76" t="s">
        <v>468</v>
      </c>
    </row>
    <row r="70" customFormat="false" ht="15" hidden="false" customHeight="true" outlineLevel="0" collapsed="false">
      <c r="A70" s="76" t="s">
        <v>303</v>
      </c>
      <c r="B70" s="77" t="n">
        <f aca="false">'SG OTT'!Q160</f>
        <v>-0.3975</v>
      </c>
      <c r="C70" s="77" t="n">
        <f aca="false">Class!Q160</f>
        <v>0.12375</v>
      </c>
      <c r="D70" s="77" t="n">
        <f aca="false">'SG APP'!Q160</f>
        <v>-0.3175</v>
      </c>
      <c r="E70" s="77" t="n">
        <f aca="false">'SG PUTT'!Q160</f>
        <v>0.0525</v>
      </c>
      <c r="F70" s="77" t="n">
        <f aca="false">'SG ARG'!Q160</f>
        <v>0.0257142857142857</v>
      </c>
      <c r="G70" s="78" t="n">
        <v>0.15</v>
      </c>
      <c r="H70" s="78" t="n">
        <f aca="false">'Current Form'!L160</f>
        <v>-0.1375</v>
      </c>
      <c r="I70" s="78" t="n">
        <v>0.05</v>
      </c>
      <c r="J70" s="76" t="s">
        <v>137</v>
      </c>
      <c r="K70" s="76" t="s">
        <v>468</v>
      </c>
    </row>
    <row r="71" customFormat="false" ht="15" hidden="false" customHeight="true" outlineLevel="0" collapsed="false">
      <c r="A71" s="76" t="s">
        <v>304</v>
      </c>
      <c r="B71" s="77" t="n">
        <f aca="false">'SG OTT'!Q161</f>
        <v>0.46</v>
      </c>
      <c r="C71" s="77" t="n">
        <f aca="false">Class!Q161</f>
        <v>0.0725</v>
      </c>
      <c r="D71" s="77" t="n">
        <f aca="false">'SG APP'!Q161</f>
        <v>-0.655</v>
      </c>
      <c r="E71" s="77" t="n">
        <f aca="false">'SG PUTT'!Q161</f>
        <v>-0.34</v>
      </c>
      <c r="F71" s="77" t="n">
        <f aca="false">'SG ARG'!Q161</f>
        <v>-0.1275</v>
      </c>
      <c r="G71" s="78" t="n">
        <v>-0.13</v>
      </c>
      <c r="H71" s="78" t="n">
        <f aca="false">'Current Form'!L161</f>
        <v>-1.03666666666667</v>
      </c>
      <c r="I71" s="78" t="n">
        <v>-0.01</v>
      </c>
      <c r="J71" s="76" t="s">
        <v>137</v>
      </c>
      <c r="K71" s="76" t="s">
        <v>468</v>
      </c>
    </row>
    <row r="72" customFormat="false" ht="15" hidden="false" customHeight="true" outlineLevel="0" collapsed="false">
      <c r="A72" s="76" t="s">
        <v>305</v>
      </c>
      <c r="B72" s="77" t="n">
        <f aca="false">'SG OTT'!Q162</f>
        <v>-0.314285714285714</v>
      </c>
      <c r="C72" s="77" t="n">
        <f aca="false">Class!Q162</f>
        <v>0.0514285714285714</v>
      </c>
      <c r="D72" s="77" t="n">
        <f aca="false">'SG APP'!Q162</f>
        <v>-0.0557142857142857</v>
      </c>
      <c r="E72" s="77" t="n">
        <f aca="false">'SG PUTT'!Q162</f>
        <v>-0.14</v>
      </c>
      <c r="F72" s="77" t="n">
        <f aca="false">'SG ARG'!Q162</f>
        <v>-0.16</v>
      </c>
      <c r="G72" s="78" t="n">
        <v>0.2</v>
      </c>
      <c r="H72" s="78" t="n">
        <f aca="false">'Current Form'!L162</f>
        <v>-0.836</v>
      </c>
      <c r="I72" s="78" t="n">
        <v>0.06</v>
      </c>
      <c r="J72" s="76" t="s">
        <v>137</v>
      </c>
      <c r="K72" s="76" t="s">
        <v>468</v>
      </c>
    </row>
    <row r="73" customFormat="false" ht="15" hidden="false" customHeight="true" outlineLevel="0" collapsed="false">
      <c r="A73" s="76" t="s">
        <v>309</v>
      </c>
      <c r="B73" s="77" t="n">
        <f aca="false">'SG OTT'!Q166</f>
        <v>-1.16714285714286</v>
      </c>
      <c r="C73" s="77" t="n">
        <f aca="false">Class!Q166</f>
        <v>0.0242857142857143</v>
      </c>
      <c r="D73" s="77" t="n">
        <f aca="false">'SG APP'!Q166</f>
        <v>-0.845714285714286</v>
      </c>
      <c r="E73" s="77" t="n">
        <f aca="false">'SG PUTT'!Q166</f>
        <v>0.472857142857143</v>
      </c>
      <c r="F73" s="77" t="n">
        <f aca="false">'SG ARG'!Q166</f>
        <v>0.2</v>
      </c>
      <c r="G73" s="78" t="n">
        <v>-0.17</v>
      </c>
      <c r="H73" s="78" t="n">
        <f aca="false">'Current Form'!L166</f>
        <v>-1.724</v>
      </c>
      <c r="I73" s="78" t="n">
        <v>0.25</v>
      </c>
      <c r="J73" s="76" t="s">
        <v>137</v>
      </c>
      <c r="K73" s="76" t="s">
        <v>468</v>
      </c>
    </row>
    <row r="74" customFormat="false" ht="15" hidden="false" customHeight="true" outlineLevel="0" collapsed="false">
      <c r="A74" s="76" t="s">
        <v>313</v>
      </c>
      <c r="B74" s="77" t="n">
        <f aca="false">'SG OTT'!Q170</f>
        <v>0.0411111111111111</v>
      </c>
      <c r="C74" s="77" t="n">
        <f aca="false">Class!Q170</f>
        <v>1.07</v>
      </c>
      <c r="D74" s="77" t="n">
        <f aca="false">'SG APP'!Q170</f>
        <v>0.397777777777778</v>
      </c>
      <c r="E74" s="77" t="n">
        <f aca="false">'SG PUTT'!Q170</f>
        <v>0.113333333333333</v>
      </c>
      <c r="F74" s="77" t="n">
        <f aca="false">'SG ARG'!Q170</f>
        <v>0.427777777777778</v>
      </c>
      <c r="G74" s="78" t="n">
        <v>0.06</v>
      </c>
      <c r="H74" s="78" t="n">
        <f aca="false">'Current Form'!L170</f>
        <v>1.664</v>
      </c>
      <c r="I74" s="78" t="n">
        <v>0.06</v>
      </c>
      <c r="J74" s="76" t="s">
        <v>137</v>
      </c>
      <c r="K74" s="76" t="s">
        <v>468</v>
      </c>
    </row>
    <row r="75" customFormat="false" ht="15" hidden="false" customHeight="true" outlineLevel="0" collapsed="false">
      <c r="A75" s="76" t="s">
        <v>314</v>
      </c>
      <c r="B75" s="77" t="n">
        <f aca="false">'SG OTT'!Q171</f>
        <v>-0.487777777777778</v>
      </c>
      <c r="C75" s="77" t="n">
        <f aca="false">Class!Q171</f>
        <v>0.3</v>
      </c>
      <c r="D75" s="77" t="n">
        <f aca="false">'SG APP'!Q171</f>
        <v>0.121111111111111</v>
      </c>
      <c r="E75" s="77" t="n">
        <f aca="false">'SG PUTT'!Q171</f>
        <v>0.816666666666667</v>
      </c>
      <c r="F75" s="77" t="n">
        <f aca="false">'SG ARG'!Q171</f>
        <v>0.0733333333333333</v>
      </c>
      <c r="G75" s="78" t="n">
        <v>0.03</v>
      </c>
      <c r="H75" s="78" t="n">
        <f aca="false">'Current Form'!L171</f>
        <v>0.3</v>
      </c>
      <c r="I75" s="78" t="n">
        <v>0.21</v>
      </c>
      <c r="J75" s="76" t="s">
        <v>137</v>
      </c>
      <c r="K75" s="76" t="s">
        <v>468</v>
      </c>
    </row>
    <row r="76" customFormat="false" ht="15" hidden="false" customHeight="true" outlineLevel="0" collapsed="false">
      <c r="A76" s="76" t="s">
        <v>315</v>
      </c>
      <c r="B76" s="77" t="n">
        <f aca="false">'SG OTT'!Q172</f>
        <v>-0.361111111111111</v>
      </c>
      <c r="C76" s="77" t="n">
        <f aca="false">Class!Q172</f>
        <v>0.262222222222222</v>
      </c>
      <c r="D76" s="77" t="n">
        <f aca="false">'SG APP'!Q172</f>
        <v>-0.00777777777777778</v>
      </c>
      <c r="E76" s="77" t="n">
        <f aca="false">'SG PUTT'!Q172</f>
        <v>0.58</v>
      </c>
      <c r="F76" s="77" t="n">
        <f aca="false">'SG ARG'!Q172</f>
        <v>-0.131111111111111</v>
      </c>
      <c r="G76" s="78" t="n">
        <v>0.09</v>
      </c>
      <c r="H76" s="78" t="n">
        <f aca="false">'Current Form'!L172</f>
        <v>0.166</v>
      </c>
      <c r="I76" s="78" t="n">
        <v>0.02</v>
      </c>
      <c r="J76" s="76" t="s">
        <v>137</v>
      </c>
      <c r="K76" s="76" t="s">
        <v>468</v>
      </c>
    </row>
    <row r="77" customFormat="false" ht="15" hidden="false" customHeight="true" outlineLevel="0" collapsed="false">
      <c r="A77" s="76" t="s">
        <v>316</v>
      </c>
      <c r="B77" s="77" t="n">
        <f aca="false">'SG OTT'!Q173</f>
        <v>-0.067</v>
      </c>
      <c r="C77" s="77" t="n">
        <f aca="false">Class!Q173</f>
        <v>0.088</v>
      </c>
      <c r="D77" s="77" t="n">
        <f aca="false">'SG APP'!Q173</f>
        <v>0.117</v>
      </c>
      <c r="E77" s="77" t="n">
        <f aca="false">'SG PUTT'!Q173</f>
        <v>-0.334</v>
      </c>
      <c r="F77" s="77" t="n">
        <f aca="false">'SG ARG'!Q173</f>
        <v>0.18</v>
      </c>
      <c r="G77" s="78" t="n">
        <v>0.21</v>
      </c>
      <c r="H77" s="78" t="n">
        <f aca="false">'Current Form'!L173</f>
        <v>0.025</v>
      </c>
      <c r="I77" s="78" t="n">
        <v>0.1</v>
      </c>
      <c r="J77" s="76" t="s">
        <v>137</v>
      </c>
      <c r="K77" s="76" t="s">
        <v>468</v>
      </c>
    </row>
    <row r="78" customFormat="false" ht="15" hidden="false" customHeight="true" outlineLevel="0" collapsed="false">
      <c r="A78" s="76" t="s">
        <v>319</v>
      </c>
      <c r="B78" s="77" t="n">
        <f aca="false">'SG OTT'!Q176</f>
        <v>0.167142857142857</v>
      </c>
      <c r="C78" s="77" t="n">
        <f aca="false">Class!Q176</f>
        <v>0.534285714285714</v>
      </c>
      <c r="D78" s="77" t="n">
        <f aca="false">'SG APP'!Q176</f>
        <v>-0.0857142857142857</v>
      </c>
      <c r="E78" s="77" t="n">
        <f aca="false">'SG PUTT'!Q176</f>
        <v>0.612857142857143</v>
      </c>
      <c r="F78" s="77" t="n">
        <f aca="false">'SG ARG'!Q176</f>
        <v>0.338571428571429</v>
      </c>
      <c r="G78" s="78" t="n">
        <v>-0.13</v>
      </c>
      <c r="H78" s="78" t="n">
        <f aca="false">'Current Form'!L176</f>
        <v>0.8075</v>
      </c>
      <c r="I78" s="78" t="n">
        <v>-0.03</v>
      </c>
      <c r="J78" s="76" t="s">
        <v>137</v>
      </c>
      <c r="K78" s="76" t="s">
        <v>468</v>
      </c>
    </row>
    <row r="79" customFormat="false" ht="15" hidden="false" customHeight="true" outlineLevel="0" collapsed="false">
      <c r="A79" s="76" t="s">
        <v>320</v>
      </c>
      <c r="B79" s="77" t="n">
        <f aca="false">'SG OTT'!Q177</f>
        <v>-0.0333333333333334</v>
      </c>
      <c r="C79" s="77" t="n">
        <f aca="false">Class!Q177</f>
        <v>0.475555555555556</v>
      </c>
      <c r="D79" s="77" t="n">
        <f aca="false">'SG APP'!Q177</f>
        <v>0.0411111111111111</v>
      </c>
      <c r="E79" s="77" t="n">
        <f aca="false">'SG PUTT'!Q177</f>
        <v>0.302222222222222</v>
      </c>
      <c r="F79" s="77" t="n">
        <f aca="false">'SG ARG'!Q177</f>
        <v>0.364444444444444</v>
      </c>
      <c r="G79" s="78" t="n">
        <v>-0.01</v>
      </c>
      <c r="H79" s="78" t="n">
        <f aca="false">'Current Form'!L177</f>
        <v>0.431666666666667</v>
      </c>
      <c r="I79" s="78" t="n">
        <v>0.08</v>
      </c>
      <c r="J79" s="76" t="s">
        <v>137</v>
      </c>
      <c r="K79" s="76" t="s">
        <v>468</v>
      </c>
    </row>
    <row r="80" customFormat="false" ht="15" hidden="false" customHeight="true" outlineLevel="0" collapsed="false">
      <c r="A80" s="76" t="s">
        <v>323</v>
      </c>
      <c r="B80" s="77" t="n">
        <f aca="false">'SG OTT'!Q180</f>
        <v>0.645555555555556</v>
      </c>
      <c r="C80" s="77" t="n">
        <f aca="false">Class!Q180</f>
        <v>0.408888888888889</v>
      </c>
      <c r="D80" s="77" t="n">
        <f aca="false">'SG APP'!Q180</f>
        <v>0.374444444444444</v>
      </c>
      <c r="E80" s="77" t="n">
        <f aca="false">'SG PUTT'!Q180</f>
        <v>-0.298888888888889</v>
      </c>
      <c r="F80" s="77" t="n">
        <f aca="false">'SG ARG'!Q180</f>
        <v>-0.0544444444444445</v>
      </c>
      <c r="G80" s="78" t="n">
        <v>-0.12</v>
      </c>
      <c r="H80" s="78" t="n">
        <f aca="false">'Current Form'!L180</f>
        <v>0.746</v>
      </c>
      <c r="I80" s="78" t="n">
        <v>0.08</v>
      </c>
      <c r="J80" s="76" t="s">
        <v>137</v>
      </c>
      <c r="K80" s="76" t="s">
        <v>468</v>
      </c>
    </row>
    <row r="81" customFormat="false" ht="15" hidden="false" customHeight="true" outlineLevel="0" collapsed="false">
      <c r="A81" s="76" t="s">
        <v>326</v>
      </c>
      <c r="B81" s="77" t="n">
        <f aca="false">'SG OTT'!Q183</f>
        <v>0.272</v>
      </c>
      <c r="C81" s="77" t="n">
        <f aca="false">Class!Q183</f>
        <v>0.158</v>
      </c>
      <c r="D81" s="77" t="n">
        <f aca="false">'SG APP'!Q183</f>
        <v>-0.192</v>
      </c>
      <c r="E81" s="77" t="n">
        <f aca="false">'SG PUTT'!Q183</f>
        <v>-0.02</v>
      </c>
      <c r="F81" s="77" t="n">
        <f aca="false">'SG ARG'!Q183</f>
        <v>-0.044</v>
      </c>
      <c r="G81" s="78" t="n">
        <v>-0.18</v>
      </c>
      <c r="H81" s="78" t="n">
        <f aca="false">'Current Form'!L183</f>
        <v>-0.925</v>
      </c>
      <c r="I81" s="78" t="n">
        <v>0.08</v>
      </c>
      <c r="J81" s="76" t="s">
        <v>137</v>
      </c>
      <c r="K81" s="76" t="s">
        <v>468</v>
      </c>
    </row>
    <row r="82" customFormat="false" ht="15" hidden="false" customHeight="true" outlineLevel="0" collapsed="false">
      <c r="A82" s="76" t="s">
        <v>328</v>
      </c>
      <c r="B82" s="77" t="n">
        <f aca="false">'SG OTT'!Q185</f>
        <v>0.12</v>
      </c>
      <c r="C82" s="77" t="n">
        <f aca="false">Class!Q185</f>
        <v>0.13</v>
      </c>
      <c r="D82" s="77" t="n">
        <f aca="false">'SG APP'!Q185</f>
        <v>0.53625</v>
      </c>
      <c r="E82" s="77" t="n">
        <f aca="false">'SG PUTT'!Q185</f>
        <v>-0.46125</v>
      </c>
      <c r="F82" s="77" t="n">
        <f aca="false">'SG ARG'!Q185</f>
        <v>-0.21875</v>
      </c>
      <c r="G82" s="78" t="n">
        <v>-0.01</v>
      </c>
      <c r="H82" s="78" t="n">
        <f aca="false">'Current Form'!L185</f>
        <v>0.182</v>
      </c>
      <c r="I82" s="78" t="n">
        <v>-0.01</v>
      </c>
      <c r="J82" s="76" t="s">
        <v>137</v>
      </c>
      <c r="K82" s="76" t="s">
        <v>468</v>
      </c>
    </row>
    <row r="83" customFormat="false" ht="15" hidden="false" customHeight="true" outlineLevel="0" collapsed="false">
      <c r="A83" s="76" t="s">
        <v>332</v>
      </c>
      <c r="B83" s="77" t="n">
        <f aca="false">'SG OTT'!Q189</f>
        <v>0.623333333333333</v>
      </c>
      <c r="C83" s="77" t="n">
        <f aca="false">Class!Q189</f>
        <v>0.232222222222222</v>
      </c>
      <c r="D83" s="77" t="n">
        <f aca="false">'SG APP'!Q189</f>
        <v>-0.101111111111111</v>
      </c>
      <c r="E83" s="77" t="n">
        <f aca="false">'SG PUTT'!Q189</f>
        <v>-0.0244444444444445</v>
      </c>
      <c r="F83" s="77" t="n">
        <f aca="false">'SG ARG'!Q189</f>
        <v>-0.201111111111111</v>
      </c>
      <c r="G83" s="78" t="n">
        <v>0.08</v>
      </c>
      <c r="H83" s="78" t="n">
        <f aca="false">'Current Form'!L189</f>
        <v>0.244</v>
      </c>
      <c r="I83" s="78" t="n">
        <v>-0.04</v>
      </c>
      <c r="J83" s="76" t="s">
        <v>137</v>
      </c>
      <c r="K83" s="76" t="s">
        <v>468</v>
      </c>
    </row>
    <row r="84" customFormat="false" ht="15" hidden="false" customHeight="true" outlineLevel="0" collapsed="false">
      <c r="A84" s="76" t="s">
        <v>335</v>
      </c>
      <c r="B84" s="77" t="n">
        <f aca="false">'SG OTT'!Q192</f>
        <v>0.21375</v>
      </c>
      <c r="C84" s="77" t="n">
        <f aca="false">Class!Q192</f>
        <v>0.82</v>
      </c>
      <c r="D84" s="77" t="n">
        <f aca="false">'SG APP'!Q192</f>
        <v>-0.2075</v>
      </c>
      <c r="E84" s="77" t="n">
        <f aca="false">'SG PUTT'!Q192</f>
        <v>0.7575</v>
      </c>
      <c r="F84" s="77" t="n">
        <f aca="false">'SG ARG'!Q192</f>
        <v>0.08</v>
      </c>
      <c r="G84" s="78" t="n">
        <v>0.19</v>
      </c>
      <c r="H84" s="78" t="n">
        <f aca="false">'Current Form'!L192</f>
        <v>0.248</v>
      </c>
      <c r="I84" s="78" t="n">
        <v>0.06</v>
      </c>
      <c r="J84" s="76" t="s">
        <v>137</v>
      </c>
      <c r="K84" s="76" t="s">
        <v>468</v>
      </c>
    </row>
    <row r="85" customFormat="false" ht="15" hidden="false" customHeight="true" outlineLevel="0" collapsed="false">
      <c r="A85" s="76" t="s">
        <v>339</v>
      </c>
      <c r="B85" s="77" t="n">
        <f aca="false">'SG OTT'!Q196</f>
        <v>0.282</v>
      </c>
      <c r="C85" s="77" t="n">
        <f aca="false">Class!Q196</f>
        <v>0.183</v>
      </c>
      <c r="D85" s="77" t="n">
        <f aca="false">'SG APP'!Q196</f>
        <v>0.143</v>
      </c>
      <c r="E85" s="77" t="n">
        <f aca="false">'SG PUTT'!Q196</f>
        <v>-0.736</v>
      </c>
      <c r="F85" s="77" t="n">
        <f aca="false">'SG ARG'!Q196</f>
        <v>0.499</v>
      </c>
      <c r="G85" s="78" t="n">
        <v>0</v>
      </c>
      <c r="H85" s="78" t="n">
        <f aca="false">'Current Form'!L196</f>
        <v>-0.35</v>
      </c>
      <c r="I85" s="78" t="n">
        <v>0.01</v>
      </c>
      <c r="J85" s="76" t="s">
        <v>137</v>
      </c>
      <c r="K85" s="76" t="s">
        <v>468</v>
      </c>
    </row>
    <row r="86" customFormat="false" ht="15" hidden="false" customHeight="true" outlineLevel="0" collapsed="false">
      <c r="A86" s="76" t="s">
        <v>340</v>
      </c>
      <c r="B86" s="77" t="n">
        <f aca="false">'SG OTT'!Q197</f>
        <v>0.0875</v>
      </c>
      <c r="C86" s="77" t="n">
        <f aca="false">Class!Q197</f>
        <v>0.0625</v>
      </c>
      <c r="D86" s="77" t="n">
        <f aca="false">'SG APP'!Q197</f>
        <v>-0.515</v>
      </c>
      <c r="E86" s="77" t="n">
        <f aca="false">'SG PUTT'!Q197</f>
        <v>0.00374999999999998</v>
      </c>
      <c r="F86" s="77" t="n">
        <f aca="false">'SG ARG'!Q197</f>
        <v>-0.14</v>
      </c>
      <c r="G86" s="78" t="n">
        <v>-0.31</v>
      </c>
      <c r="H86" s="78" t="n">
        <f aca="false">'Current Form'!L197</f>
        <v>-0.71</v>
      </c>
      <c r="I86" s="78" t="n">
        <v>-0.04</v>
      </c>
      <c r="J86" s="76" t="s">
        <v>137</v>
      </c>
      <c r="K86" s="76" t="s">
        <v>468</v>
      </c>
    </row>
    <row r="87" customFormat="false" ht="15" hidden="false" customHeight="true" outlineLevel="0" collapsed="false">
      <c r="A87" s="76" t="s">
        <v>341</v>
      </c>
      <c r="B87" s="77" t="n">
        <f aca="false">'SG OTT'!Q198</f>
        <v>-0.266666666666667</v>
      </c>
      <c r="C87" s="77" t="n">
        <f aca="false">Class!Q198</f>
        <v>0</v>
      </c>
      <c r="D87" s="77" t="n">
        <f aca="false">'SG APP'!Q198</f>
        <v>-0.015</v>
      </c>
      <c r="E87" s="77" t="n">
        <f aca="false">'SG PUTT'!Q198</f>
        <v>-0.161666666666667</v>
      </c>
      <c r="F87" s="77" t="n">
        <f aca="false">'SG ARG'!Q198</f>
        <v>-0.08</v>
      </c>
      <c r="G87" s="78" t="n">
        <v>0</v>
      </c>
      <c r="H87" s="78" t="n">
        <f aca="false">'Current Form'!L198</f>
        <v>-0.8175</v>
      </c>
      <c r="I87" s="78" t="n">
        <v>-0.03</v>
      </c>
      <c r="J87" s="76" t="s">
        <v>137</v>
      </c>
      <c r="K87" s="76" t="s">
        <v>468</v>
      </c>
    </row>
    <row r="88" customFormat="false" ht="15" hidden="false" customHeight="true" outlineLevel="0" collapsed="false">
      <c r="A88" s="76" t="s">
        <v>346</v>
      </c>
      <c r="B88" s="77" t="n">
        <f aca="false">'SG OTT'!Q203</f>
        <v>-0.218888888888889</v>
      </c>
      <c r="C88" s="77" t="n">
        <f aca="false">Class!Q203</f>
        <v>0.225555555555556</v>
      </c>
      <c r="D88" s="77" t="n">
        <f aca="false">'SG APP'!Q203</f>
        <v>0.34</v>
      </c>
      <c r="E88" s="77" t="n">
        <f aca="false">'SG PUTT'!Q203</f>
        <v>-0.55</v>
      </c>
      <c r="F88" s="77" t="n">
        <f aca="false">'SG ARG'!Q203</f>
        <v>0.237777777777778</v>
      </c>
      <c r="G88" s="78" t="n">
        <v>0.17</v>
      </c>
      <c r="H88" s="78" t="n">
        <f aca="false">'Current Form'!L203</f>
        <v>0.162</v>
      </c>
      <c r="I88" s="78" t="n">
        <v>-0.04</v>
      </c>
      <c r="J88" s="76" t="s">
        <v>137</v>
      </c>
      <c r="K88" s="76" t="s">
        <v>468</v>
      </c>
    </row>
    <row r="89" customFormat="false" ht="15" hidden="false" customHeight="true" outlineLevel="0" collapsed="false">
      <c r="A89" s="76" t="s">
        <v>348</v>
      </c>
      <c r="B89" s="77" t="n">
        <f aca="false">'SG OTT'!Q205</f>
        <v>0.681428571428572</v>
      </c>
      <c r="C89" s="77" t="n">
        <f aca="false">Class!Q205</f>
        <v>0.0342857142857143</v>
      </c>
      <c r="D89" s="77" t="n">
        <f aca="false">'SG APP'!Q205</f>
        <v>-0.62</v>
      </c>
      <c r="E89" s="77" t="n">
        <f aca="false">'SG PUTT'!Q205</f>
        <v>-0.724285714285714</v>
      </c>
      <c r="F89" s="77" t="n">
        <f aca="false">'SG ARG'!Q205</f>
        <v>0.0528571428571429</v>
      </c>
      <c r="G89" s="78" t="n">
        <v>0.05</v>
      </c>
      <c r="H89" s="78" t="n">
        <f aca="false">'Current Form'!L205</f>
        <v>-1.065</v>
      </c>
      <c r="I89" s="78" t="n">
        <v>-0.03</v>
      </c>
      <c r="J89" s="76" t="s">
        <v>137</v>
      </c>
      <c r="K89" s="76" t="s">
        <v>468</v>
      </c>
    </row>
    <row r="90" customFormat="false" ht="15" hidden="false" customHeight="true" outlineLevel="0" collapsed="false">
      <c r="A90" s="76" t="s">
        <v>349</v>
      </c>
      <c r="B90" s="77" t="n">
        <f aca="false">'SG OTT'!Q206</f>
        <v>0.209090909090909</v>
      </c>
      <c r="C90" s="77" t="n">
        <f aca="false">Class!Q206</f>
        <v>0.164545454545455</v>
      </c>
      <c r="D90" s="77" t="n">
        <f aca="false">'SG APP'!Q206</f>
        <v>0.0463636363636364</v>
      </c>
      <c r="E90" s="77" t="n">
        <f aca="false">'SG PUTT'!Q206</f>
        <v>-0.208181818181818</v>
      </c>
      <c r="F90" s="77" t="n">
        <f aca="false">'SG ARG'!Q206</f>
        <v>0.00454545454545455</v>
      </c>
      <c r="G90" s="78" t="n">
        <v>-0.19</v>
      </c>
      <c r="H90" s="78" t="n">
        <f aca="false">'Current Form'!L206</f>
        <v>-0.588571428571429</v>
      </c>
      <c r="I90" s="78" t="n">
        <v>-0.02</v>
      </c>
      <c r="J90" s="76" t="s">
        <v>137</v>
      </c>
      <c r="K90" s="76" t="s">
        <v>468</v>
      </c>
    </row>
    <row r="91" customFormat="false" ht="15" hidden="false" customHeight="true" outlineLevel="0" collapsed="false">
      <c r="A91" s="76" t="s">
        <v>350</v>
      </c>
      <c r="B91" s="77" t="n">
        <f aca="false">'SG OTT'!Q207</f>
        <v>0.6225</v>
      </c>
      <c r="C91" s="77" t="n">
        <f aca="false">Class!Q207</f>
        <v>0.34</v>
      </c>
      <c r="D91" s="77" t="n">
        <f aca="false">'SG APP'!Q207</f>
        <v>0.2575</v>
      </c>
      <c r="E91" s="77" t="n">
        <f aca="false">'SG PUTT'!Q207</f>
        <v>-0.2575</v>
      </c>
      <c r="F91" s="77" t="n">
        <f aca="false">'SG ARG'!Q207</f>
        <v>-0.0125</v>
      </c>
      <c r="G91" s="78" t="n">
        <v>-0.31</v>
      </c>
      <c r="H91" s="78" t="n">
        <f aca="false">'Current Form'!L207</f>
        <v>0.64</v>
      </c>
      <c r="I91" s="78" t="n">
        <v>-0.04</v>
      </c>
      <c r="J91" s="76" t="s">
        <v>137</v>
      </c>
      <c r="K91" s="76" t="s">
        <v>468</v>
      </c>
    </row>
    <row r="92" customFormat="false" ht="15" hidden="false" customHeight="true" outlineLevel="0" collapsed="false">
      <c r="A92" s="76" t="s">
        <v>353</v>
      </c>
      <c r="B92" s="77" t="n">
        <f aca="false">'SG OTT'!Q210</f>
        <v>-0.10625</v>
      </c>
      <c r="C92" s="77" t="n">
        <f aca="false">Class!Q210</f>
        <v>0.34</v>
      </c>
      <c r="D92" s="77" t="n">
        <f aca="false">'SG APP'!Q210</f>
        <v>-0.3425</v>
      </c>
      <c r="E92" s="77" t="n">
        <f aca="false">'SG PUTT'!Q210</f>
        <v>0.015</v>
      </c>
      <c r="F92" s="77" t="n">
        <f aca="false">'SG ARG'!Q210</f>
        <v>0.5325</v>
      </c>
      <c r="G92" s="78" t="n">
        <v>0.03</v>
      </c>
      <c r="H92" s="78" t="n">
        <f aca="false">'Current Form'!L210</f>
        <v>0.944</v>
      </c>
      <c r="I92" s="78" t="n">
        <v>0.03</v>
      </c>
      <c r="J92" s="76" t="s">
        <v>137</v>
      </c>
      <c r="K92" s="76" t="s">
        <v>468</v>
      </c>
    </row>
    <row r="93" customFormat="false" ht="15" hidden="false" customHeight="true" outlineLevel="0" collapsed="false">
      <c r="A93" s="76" t="s">
        <v>355</v>
      </c>
      <c r="B93" s="77" t="n">
        <f aca="false">'SG OTT'!Q212</f>
        <v>0.3925</v>
      </c>
      <c r="C93" s="77" t="n">
        <f aca="false">Class!Q212</f>
        <v>0.91</v>
      </c>
      <c r="D93" s="77" t="n">
        <f aca="false">'SG APP'!Q212</f>
        <v>0.02875</v>
      </c>
      <c r="E93" s="77" t="n">
        <f aca="false">'SG PUTT'!Q212</f>
        <v>0.25375</v>
      </c>
      <c r="F93" s="77" t="n">
        <f aca="false">'SG ARG'!Q212</f>
        <v>-0.0775</v>
      </c>
      <c r="G93" s="78" t="n">
        <v>0.16</v>
      </c>
      <c r="H93" s="78" t="n">
        <f aca="false">'Current Form'!L212</f>
        <v>0.525</v>
      </c>
      <c r="I93" s="78" t="n">
        <v>0.17</v>
      </c>
      <c r="J93" s="76" t="s">
        <v>137</v>
      </c>
      <c r="K93" s="76" t="s">
        <v>468</v>
      </c>
    </row>
    <row r="94" customFormat="false" ht="15" hidden="false" customHeight="true" outlineLevel="0" collapsed="false">
      <c r="A94" s="76" t="s">
        <v>356</v>
      </c>
      <c r="B94" s="77" t="n">
        <f aca="false">'SG OTT'!Q213</f>
        <v>0.43625</v>
      </c>
      <c r="C94" s="77" t="n">
        <f aca="false">Class!Q213</f>
        <v>0.2275</v>
      </c>
      <c r="D94" s="77" t="n">
        <f aca="false">'SG APP'!Q213</f>
        <v>-0.35875</v>
      </c>
      <c r="E94" s="77" t="n">
        <f aca="false">'SG PUTT'!Q213</f>
        <v>0.18875</v>
      </c>
      <c r="F94" s="77" t="n">
        <f aca="false">'SG ARG'!Q213</f>
        <v>-0.502857142857143</v>
      </c>
      <c r="G94" s="78" t="n">
        <v>-0.42</v>
      </c>
      <c r="H94" s="78" t="n">
        <f aca="false">'Current Form'!L213</f>
        <v>-1.042</v>
      </c>
      <c r="I94" s="78" t="n">
        <v>-0.04</v>
      </c>
      <c r="J94" s="76" t="s">
        <v>137</v>
      </c>
      <c r="K94" s="76" t="s">
        <v>468</v>
      </c>
    </row>
    <row r="95" customFormat="false" ht="15" hidden="false" customHeight="true" outlineLevel="0" collapsed="false">
      <c r="A95" s="76" t="s">
        <v>357</v>
      </c>
      <c r="B95" s="77" t="n">
        <f aca="false">'SG OTT'!Q214</f>
        <v>-0.431428571428571</v>
      </c>
      <c r="C95" s="77" t="n">
        <f aca="false">Class!Q214</f>
        <v>0.142857142857143</v>
      </c>
      <c r="D95" s="77" t="n">
        <f aca="false">'SG APP'!Q214</f>
        <v>-0.728571428571429</v>
      </c>
      <c r="E95" s="77" t="n">
        <f aca="false">'SG PUTT'!Q214</f>
        <v>0.371428571428571</v>
      </c>
      <c r="F95" s="77" t="n">
        <f aca="false">'SG ARG'!Q214</f>
        <v>0.0642857142857143</v>
      </c>
      <c r="G95" s="78" t="n">
        <v>0.05</v>
      </c>
      <c r="H95" s="78" t="n">
        <f aca="false">'Current Form'!L214</f>
        <v>-0.8475</v>
      </c>
      <c r="I95" s="78" t="n">
        <v>0.1</v>
      </c>
      <c r="J95" s="76" t="s">
        <v>137</v>
      </c>
      <c r="K95" s="76" t="s">
        <v>468</v>
      </c>
    </row>
    <row r="96" customFormat="false" ht="15" hidden="false" customHeight="true" outlineLevel="0" collapsed="false">
      <c r="A96" s="76" t="s">
        <v>360</v>
      </c>
      <c r="B96" s="77" t="n">
        <f aca="false">'SG OTT'!Q217</f>
        <v>-0.852222222222222</v>
      </c>
      <c r="C96" s="77" t="n">
        <f aca="false">Class!Q217</f>
        <v>0.101111111111111</v>
      </c>
      <c r="D96" s="77" t="n">
        <f aca="false">'SG APP'!Q217</f>
        <v>0.277777777777778</v>
      </c>
      <c r="E96" s="77" t="n">
        <f aca="false">'SG PUTT'!Q217</f>
        <v>0.436666666666667</v>
      </c>
      <c r="F96" s="77" t="n">
        <f aca="false">'SG ARG'!Q217</f>
        <v>0.3425</v>
      </c>
      <c r="G96" s="78" t="n">
        <v>0.39</v>
      </c>
      <c r="H96" s="78" t="n">
        <f aca="false">'Current Form'!L217</f>
        <v>-0.41</v>
      </c>
      <c r="I96" s="78" t="n">
        <v>0.04</v>
      </c>
      <c r="J96" s="76" t="s">
        <v>137</v>
      </c>
      <c r="K96" s="76" t="s">
        <v>468</v>
      </c>
    </row>
    <row r="97" customFormat="false" ht="15" hidden="false" customHeight="true" outlineLevel="0" collapsed="false">
      <c r="A97" s="76" t="s">
        <v>362</v>
      </c>
      <c r="B97" s="77" t="n">
        <f aca="false">'SG OTT'!Q219</f>
        <v>0.358571428571429</v>
      </c>
      <c r="C97" s="77" t="n">
        <f aca="false">Class!Q219</f>
        <v>0.787142857142857</v>
      </c>
      <c r="D97" s="77" t="n">
        <f aca="false">'SG APP'!Q219</f>
        <v>0.645714285714286</v>
      </c>
      <c r="E97" s="77" t="n">
        <f aca="false">'SG PUTT'!Q219</f>
        <v>0.08</v>
      </c>
      <c r="F97" s="77" t="n">
        <f aca="false">'SG ARG'!Q219</f>
        <v>0.155714285714286</v>
      </c>
      <c r="G97" s="78" t="n">
        <v>0.4</v>
      </c>
      <c r="H97" s="78" t="n">
        <f aca="false">'Current Form'!L219</f>
        <v>0.724</v>
      </c>
      <c r="I97" s="78" t="n">
        <v>0.07</v>
      </c>
      <c r="J97" s="76" t="s">
        <v>137</v>
      </c>
      <c r="K97" s="76" t="s">
        <v>468</v>
      </c>
    </row>
    <row r="98" customFormat="false" ht="15" hidden="false" customHeight="true" outlineLevel="0" collapsed="false">
      <c r="A98" s="76" t="s">
        <v>363</v>
      </c>
      <c r="B98" s="77" t="n">
        <f aca="false">'SG OTT'!Q220</f>
        <v>-0.28625</v>
      </c>
      <c r="C98" s="77" t="n">
        <f aca="false">Class!Q220</f>
        <v>0.02875</v>
      </c>
      <c r="D98" s="77" t="n">
        <f aca="false">'SG APP'!Q220</f>
        <v>-0.7575</v>
      </c>
      <c r="E98" s="77" t="n">
        <f aca="false">'SG PUTT'!Q220</f>
        <v>-0.32875</v>
      </c>
      <c r="F98" s="77" t="n">
        <f aca="false">'SG ARG'!Q220</f>
        <v>0.1575</v>
      </c>
      <c r="G98" s="78" t="n">
        <v>0</v>
      </c>
      <c r="H98" s="78" t="n">
        <f aca="false">'Current Form'!L220</f>
        <v>-1.224</v>
      </c>
      <c r="I98" s="78" t="n">
        <v>-0.01</v>
      </c>
      <c r="J98" s="76" t="s">
        <v>137</v>
      </c>
      <c r="K98" s="76" t="s">
        <v>468</v>
      </c>
    </row>
    <row r="99" customFormat="false" ht="15" hidden="false" customHeight="true" outlineLevel="0" collapsed="false">
      <c r="A99" s="76" t="s">
        <v>369</v>
      </c>
      <c r="B99" s="77" t="n">
        <f aca="false">'SG OTT'!Q226</f>
        <v>-0.392222222222222</v>
      </c>
      <c r="C99" s="77" t="n">
        <f aca="false">Class!Q226</f>
        <v>0.0266666666666667</v>
      </c>
      <c r="D99" s="77" t="n">
        <f aca="false">'SG APP'!Q226</f>
        <v>-0.688888888888889</v>
      </c>
      <c r="E99" s="77" t="n">
        <f aca="false">'SG PUTT'!Q226</f>
        <v>0.252222222222222</v>
      </c>
      <c r="F99" s="77" t="n">
        <f aca="false">'SG ARG'!Q226</f>
        <v>-0.175555555555556</v>
      </c>
      <c r="G99" s="78" t="n">
        <v>-0.24</v>
      </c>
      <c r="H99" s="78" t="n">
        <f aca="false">'Current Form'!L226</f>
        <v>-0.914</v>
      </c>
      <c r="I99" s="78" t="n">
        <v>0.04</v>
      </c>
      <c r="J99" s="76" t="s">
        <v>137</v>
      </c>
      <c r="K99" s="76" t="s">
        <v>468</v>
      </c>
    </row>
    <row r="100" customFormat="false" ht="15" hidden="false" customHeight="true" outlineLevel="0" collapsed="false">
      <c r="A100" s="76" t="s">
        <v>370</v>
      </c>
      <c r="B100" s="77" t="n">
        <f aca="false">'SG OTT'!Q227</f>
        <v>-0.268888888888889</v>
      </c>
      <c r="C100" s="77" t="n">
        <f aca="false">Class!Q227</f>
        <v>0.0266666666666667</v>
      </c>
      <c r="D100" s="77" t="n">
        <f aca="false">'SG APP'!Q227</f>
        <v>-0.618888888888889</v>
      </c>
      <c r="E100" s="77" t="n">
        <f aca="false">'SG PUTT'!Q227</f>
        <v>0.188888888888889</v>
      </c>
      <c r="F100" s="77" t="n">
        <f aca="false">'SG ARG'!Q227</f>
        <v>-0.262222222222222</v>
      </c>
      <c r="G100" s="78" t="n">
        <v>-0.19</v>
      </c>
      <c r="H100" s="78" t="n">
        <f aca="false">'Current Form'!L227</f>
        <v>-1.7225</v>
      </c>
      <c r="I100" s="78" t="n">
        <v>0.17</v>
      </c>
      <c r="J100" s="76" t="s">
        <v>137</v>
      </c>
      <c r="K100" s="76" t="s">
        <v>468</v>
      </c>
    </row>
    <row r="101" customFormat="false" ht="15" hidden="false" customHeight="true" outlineLevel="0" collapsed="false">
      <c r="A101" s="76" t="s">
        <v>374</v>
      </c>
      <c r="B101" s="77" t="n">
        <f aca="false">'SG OTT'!Q231</f>
        <v>0.17</v>
      </c>
      <c r="C101" s="77" t="n">
        <f aca="false">Class!Q231</f>
        <v>0.401111111111111</v>
      </c>
      <c r="D101" s="77" t="n">
        <f aca="false">'SG APP'!Q231</f>
        <v>-0.167777777777778</v>
      </c>
      <c r="E101" s="77" t="n">
        <f aca="false">'SG PUTT'!Q231</f>
        <v>-0.00555555555555555</v>
      </c>
      <c r="F101" s="77" t="n">
        <f aca="false">'SG ARG'!Q231</f>
        <v>-0.06</v>
      </c>
      <c r="G101" s="78" t="n">
        <v>0</v>
      </c>
      <c r="H101" s="78" t="n">
        <f aca="false">'Current Form'!L231</f>
        <v>0.121666666666667</v>
      </c>
      <c r="I101" s="78" t="n">
        <v>-0.03</v>
      </c>
      <c r="J101" s="76" t="s">
        <v>137</v>
      </c>
      <c r="K101" s="76" t="s">
        <v>468</v>
      </c>
    </row>
    <row r="102" customFormat="false" ht="15" hidden="false" customHeight="true" outlineLevel="0" collapsed="false">
      <c r="A102" s="76" t="s">
        <v>376</v>
      </c>
      <c r="B102" s="77" t="n">
        <f aca="false">'SG OTT'!Q233</f>
        <v>0.38</v>
      </c>
      <c r="C102" s="77" t="n">
        <f aca="false">Class!Q233</f>
        <v>0</v>
      </c>
      <c r="D102" s="77" t="n">
        <f aca="false">'SG APP'!Q233</f>
        <v>-0.37</v>
      </c>
      <c r="E102" s="77" t="n">
        <f aca="false">'SG PUTT'!Q233</f>
        <v>-0.653333333333333</v>
      </c>
      <c r="F102" s="77" t="n">
        <f aca="false">'SG ARG'!Q233</f>
        <v>-0.478888888888889</v>
      </c>
      <c r="G102" s="78" t="n">
        <v>0.24</v>
      </c>
      <c r="H102" s="78" t="n">
        <f aca="false">'Current Form'!L233</f>
        <v>-1.36833333333333</v>
      </c>
      <c r="I102" s="78" t="n">
        <v>-0.04</v>
      </c>
      <c r="J102" s="76" t="s">
        <v>137</v>
      </c>
      <c r="K102" s="76" t="s">
        <v>468</v>
      </c>
    </row>
    <row r="103" customFormat="false" ht="15" hidden="false" customHeight="true" outlineLevel="0" collapsed="false">
      <c r="A103" s="76" t="s">
        <v>378</v>
      </c>
      <c r="B103" s="77" t="n">
        <f aca="false">'SG OTT'!Q235</f>
        <v>-0.285</v>
      </c>
      <c r="C103" s="77" t="n">
        <f aca="false">Class!Q235</f>
        <v>0.075</v>
      </c>
      <c r="D103" s="77" t="n">
        <f aca="false">'SG APP'!Q235</f>
        <v>-0.121666666666667</v>
      </c>
      <c r="E103" s="77" t="n">
        <f aca="false">'SG PUTT'!Q235</f>
        <v>-0.0416666666666667</v>
      </c>
      <c r="F103" s="77" t="n">
        <f aca="false">'SG ARG'!Q235</f>
        <v>-0.05</v>
      </c>
      <c r="G103" s="78" t="n">
        <v>0.01</v>
      </c>
      <c r="H103" s="78" t="n">
        <f aca="false">'Current Form'!L235</f>
        <v>-0.473333333333333</v>
      </c>
      <c r="I103" s="78" t="n">
        <v>-0.04</v>
      </c>
      <c r="J103" s="76" t="s">
        <v>137</v>
      </c>
      <c r="K103" s="76" t="s">
        <v>468</v>
      </c>
    </row>
    <row r="104" customFormat="false" ht="15" hidden="false" customHeight="true" outlineLevel="0" collapsed="false">
      <c r="A104" s="76" t="s">
        <v>380</v>
      </c>
      <c r="B104" s="77" t="n">
        <f aca="false">'SG OTT'!Q237</f>
        <v>0.301666666666667</v>
      </c>
      <c r="C104" s="77" t="n">
        <f aca="false">Class!Q237</f>
        <v>0.0516666666666667</v>
      </c>
      <c r="D104" s="77" t="n">
        <f aca="false">'SG APP'!Q237</f>
        <v>-1.65833333333333</v>
      </c>
      <c r="E104" s="77" t="n">
        <f aca="false">'SG PUTT'!Q237</f>
        <v>0.02</v>
      </c>
      <c r="F104" s="77" t="n">
        <f aca="false">'SG ARG'!Q237</f>
        <v>0.163333333333333</v>
      </c>
      <c r="G104" s="78" t="n">
        <v>-0.38</v>
      </c>
      <c r="H104" s="78" t="n">
        <f aca="false">'Current Form'!L237</f>
        <v>-0.275</v>
      </c>
      <c r="I104" s="78" t="n">
        <v>-0.02</v>
      </c>
      <c r="J104" s="76" t="s">
        <v>137</v>
      </c>
      <c r="K104" s="76" t="s">
        <v>468</v>
      </c>
    </row>
    <row r="105" customFormat="false" ht="15" hidden="false" customHeight="true" outlineLevel="0" collapsed="false">
      <c r="A105" s="76" t="s">
        <v>384</v>
      </c>
      <c r="B105" s="77" t="n">
        <f aca="false">'SG OTT'!Q241</f>
        <v>-0.46875</v>
      </c>
      <c r="C105" s="77" t="n">
        <f aca="false">Class!Q241</f>
        <v>0</v>
      </c>
      <c r="D105" s="77" t="n">
        <f aca="false">'SG APP'!Q241</f>
        <v>-0.47375</v>
      </c>
      <c r="E105" s="77" t="n">
        <f aca="false">'SG PUTT'!Q241</f>
        <v>-0.48</v>
      </c>
      <c r="F105" s="77" t="n">
        <f aca="false">'SG ARG'!Q241</f>
        <v>-0.48875</v>
      </c>
      <c r="G105" s="78" t="n">
        <v>-0.07</v>
      </c>
      <c r="H105" s="78" t="n">
        <f aca="false">'Current Form'!L241</f>
        <v>-1.1925</v>
      </c>
      <c r="I105" s="78" t="n">
        <v>-0.04</v>
      </c>
      <c r="J105" s="76" t="s">
        <v>137</v>
      </c>
      <c r="K105" s="76" t="s">
        <v>468</v>
      </c>
    </row>
    <row r="106" customFormat="false" ht="15" hidden="false" customHeight="true" outlineLevel="0" collapsed="false">
      <c r="A106" s="76" t="s">
        <v>385</v>
      </c>
      <c r="B106" s="77" t="n">
        <f aca="false">'SG OTT'!Q242</f>
        <v>0.134285714285714</v>
      </c>
      <c r="C106" s="77" t="n">
        <f aca="false">Class!Q242</f>
        <v>0.162857142857143</v>
      </c>
      <c r="D106" s="77" t="n">
        <f aca="false">'SG APP'!Q242</f>
        <v>-0.0657142857142857</v>
      </c>
      <c r="E106" s="77" t="n">
        <f aca="false">'SG PUTT'!Q242</f>
        <v>-0.468571428571429</v>
      </c>
      <c r="F106" s="77" t="n">
        <f aca="false">'SG ARG'!Q242</f>
        <v>-0.245714285714286</v>
      </c>
      <c r="G106" s="78" t="n">
        <v>-0.19</v>
      </c>
      <c r="H106" s="78" t="n">
        <f aca="false">'Current Form'!L242</f>
        <v>-0.775</v>
      </c>
      <c r="I106" s="78" t="n">
        <v>0.06</v>
      </c>
      <c r="J106" s="76" t="s">
        <v>137</v>
      </c>
      <c r="K106" s="76" t="s">
        <v>468</v>
      </c>
    </row>
    <row r="107" customFormat="false" ht="15" hidden="false" customHeight="true" outlineLevel="0" collapsed="false">
      <c r="A107" s="76" t="s">
        <v>393</v>
      </c>
      <c r="B107" s="77" t="n">
        <f aca="false">'SG OTT'!Q250</f>
        <v>-0.0725</v>
      </c>
      <c r="C107" s="77" t="n">
        <f aca="false">Class!Q250</f>
        <v>0.08375</v>
      </c>
      <c r="D107" s="77" t="n">
        <f aca="false">'SG APP'!Q250</f>
        <v>-0.275</v>
      </c>
      <c r="E107" s="77" t="n">
        <f aca="false">'SG PUTT'!Q250</f>
        <v>0.2825</v>
      </c>
      <c r="F107" s="77" t="n">
        <f aca="false">'SG ARG'!Q250</f>
        <v>-0.1525</v>
      </c>
      <c r="G107" s="78" t="n">
        <v>0.15</v>
      </c>
      <c r="H107" s="78" t="n">
        <f aca="false">'Current Form'!L250</f>
        <v>-0.416666666666667</v>
      </c>
      <c r="I107" s="78" t="n">
        <v>-0.01</v>
      </c>
      <c r="J107" s="76" t="s">
        <v>137</v>
      </c>
      <c r="K107" s="76" t="s">
        <v>468</v>
      </c>
    </row>
    <row r="108" customFormat="false" ht="15" hidden="false" customHeight="true" outlineLevel="0" collapsed="false">
      <c r="A108" s="76" t="s">
        <v>394</v>
      </c>
      <c r="B108" s="77" t="n">
        <f aca="false">'SG OTT'!Q251</f>
        <v>-0.41</v>
      </c>
      <c r="C108" s="77" t="n">
        <f aca="false">Class!Q251</f>
        <v>0.0266666666666667</v>
      </c>
      <c r="D108" s="77" t="n">
        <f aca="false">'SG APP'!Q251</f>
        <v>-0.316666666666667</v>
      </c>
      <c r="E108" s="77" t="n">
        <f aca="false">'SG PUTT'!Q251</f>
        <v>0.186666666666667</v>
      </c>
      <c r="F108" s="77" t="n">
        <f aca="false">'SG ARG'!Q251</f>
        <v>-0.386666666666667</v>
      </c>
      <c r="G108" s="78" t="n">
        <v>-0.04</v>
      </c>
      <c r="H108" s="78" t="n">
        <f aca="false">'Current Form'!L251</f>
        <v>-0.84</v>
      </c>
      <c r="I108" s="78" t="n">
        <v>0.36</v>
      </c>
      <c r="J108" s="76" t="s">
        <v>137</v>
      </c>
      <c r="K108" s="76" t="s">
        <v>468</v>
      </c>
    </row>
    <row r="109" customFormat="false" ht="15" hidden="false" customHeight="true" outlineLevel="0" collapsed="false">
      <c r="A109" s="76" t="s">
        <v>396</v>
      </c>
      <c r="B109" s="77" t="n">
        <f aca="false">'SG OTT'!Q253</f>
        <v>0.25625</v>
      </c>
      <c r="C109" s="77" t="n">
        <f aca="false">Class!Q253</f>
        <v>1.02625</v>
      </c>
      <c r="D109" s="77" t="n">
        <f aca="false">'SG APP'!Q253</f>
        <v>0.50375</v>
      </c>
      <c r="E109" s="77" t="n">
        <f aca="false">'SG PUTT'!Q253</f>
        <v>0.42125</v>
      </c>
      <c r="F109" s="77" t="n">
        <f aca="false">'SG ARG'!Q253</f>
        <v>-0.125</v>
      </c>
      <c r="G109" s="78" t="n">
        <v>0.05</v>
      </c>
      <c r="H109" s="78" t="n">
        <f aca="false">'Current Form'!L253</f>
        <v>-0.2975</v>
      </c>
      <c r="I109" s="78" t="n">
        <v>0.06</v>
      </c>
      <c r="J109" s="76" t="s">
        <v>137</v>
      </c>
      <c r="K109" s="76" t="s">
        <v>468</v>
      </c>
    </row>
    <row r="110" customFormat="false" ht="15" hidden="false" customHeight="true" outlineLevel="0" collapsed="false">
      <c r="A110" s="76" t="s">
        <v>398</v>
      </c>
      <c r="B110" s="77" t="n">
        <f aca="false">'SG OTT'!Q255</f>
        <v>0.41625</v>
      </c>
      <c r="C110" s="77" t="n">
        <f aca="false">Class!Q255</f>
        <v>0.4625</v>
      </c>
      <c r="D110" s="77" t="n">
        <f aca="false">'SG APP'!Q255</f>
        <v>0.49125</v>
      </c>
      <c r="E110" s="77" t="n">
        <f aca="false">'SG PUTT'!Q255</f>
        <v>-0.06875</v>
      </c>
      <c r="F110" s="77" t="n">
        <f aca="false">'SG ARG'!Q255</f>
        <v>-0.1775</v>
      </c>
      <c r="G110" s="78" t="n">
        <v>0.13</v>
      </c>
      <c r="H110" s="78" t="n">
        <f aca="false">'Current Form'!L255</f>
        <v>1.1475</v>
      </c>
      <c r="I110" s="78" t="n">
        <v>-0.04</v>
      </c>
      <c r="J110" s="76" t="s">
        <v>137</v>
      </c>
      <c r="K110" s="76" t="s">
        <v>468</v>
      </c>
    </row>
    <row r="111" customFormat="false" ht="15" hidden="false" customHeight="true" outlineLevel="0" collapsed="false">
      <c r="A111" s="76" t="s">
        <v>399</v>
      </c>
      <c r="B111" s="77" t="n">
        <f aca="false">'SG OTT'!Q256</f>
        <v>0.00714285714285714</v>
      </c>
      <c r="C111" s="77" t="n">
        <f aca="false">Class!Q256</f>
        <v>0.03</v>
      </c>
      <c r="D111" s="77" t="n">
        <f aca="false">'SG APP'!Q256</f>
        <v>0.541428571428572</v>
      </c>
      <c r="E111" s="77" t="n">
        <f aca="false">'SG PUTT'!Q256</f>
        <v>-0.995714285714286</v>
      </c>
      <c r="F111" s="77" t="n">
        <f aca="false">'SG ARG'!Q256</f>
        <v>-0.642857142857143</v>
      </c>
      <c r="G111" s="78" t="n">
        <v>0.2</v>
      </c>
      <c r="H111" s="78" t="n">
        <f aca="false">'Current Form'!L256</f>
        <v>-1.3275</v>
      </c>
      <c r="I111" s="78" t="n">
        <v>0.01</v>
      </c>
      <c r="J111" s="76" t="s">
        <v>137</v>
      </c>
      <c r="K111" s="76" t="s">
        <v>468</v>
      </c>
    </row>
    <row r="112" customFormat="false" ht="15" hidden="false" customHeight="true" outlineLevel="0" collapsed="false">
      <c r="A112" s="76" t="s">
        <v>400</v>
      </c>
      <c r="B112" s="77" t="n">
        <f aca="false">'SG OTT'!Q257</f>
        <v>-0.63</v>
      </c>
      <c r="C112" s="77" t="n">
        <f aca="false">Class!Q257</f>
        <v>0.185</v>
      </c>
      <c r="D112" s="77" t="n">
        <f aca="false">'SG APP'!Q257</f>
        <v>-0.06625</v>
      </c>
      <c r="E112" s="77" t="n">
        <f aca="false">'SG PUTT'!Q257</f>
        <v>0.17875</v>
      </c>
      <c r="F112" s="77" t="n">
        <f aca="false">'SG ARG'!Q257</f>
        <v>0.3075</v>
      </c>
      <c r="G112" s="78" t="n">
        <v>0.36</v>
      </c>
      <c r="H112" s="78" t="n">
        <f aca="false">'Current Form'!L257</f>
        <v>-0.2</v>
      </c>
      <c r="I112" s="78" t="n">
        <v>0.17</v>
      </c>
      <c r="J112" s="76" t="s">
        <v>137</v>
      </c>
      <c r="K112" s="76" t="s">
        <v>468</v>
      </c>
    </row>
    <row r="113" customFormat="false" ht="15" hidden="false" customHeight="true" outlineLevel="0" collapsed="false">
      <c r="A113" s="76" t="s">
        <v>402</v>
      </c>
      <c r="B113" s="77" t="n">
        <f aca="false">'SG OTT'!Q259</f>
        <v>0.35</v>
      </c>
      <c r="C113" s="77" t="n">
        <f aca="false">Class!Q259</f>
        <v>0.271111111111111</v>
      </c>
      <c r="D113" s="77" t="n">
        <f aca="false">'SG APP'!Q259</f>
        <v>-0.08</v>
      </c>
      <c r="E113" s="77" t="n">
        <f aca="false">'SG PUTT'!Q259</f>
        <v>-0.0266666666666667</v>
      </c>
      <c r="F113" s="77" t="n">
        <f aca="false">'SG ARG'!Q259</f>
        <v>-0.0122222222222222</v>
      </c>
      <c r="G113" s="78" t="n">
        <v>-0.09</v>
      </c>
      <c r="H113" s="78" t="n">
        <f aca="false">'Current Form'!L259</f>
        <v>-0.158</v>
      </c>
      <c r="I113" s="78" t="n">
        <v>0.04</v>
      </c>
      <c r="J113" s="76" t="s">
        <v>137</v>
      </c>
      <c r="K113" s="76" t="s">
        <v>468</v>
      </c>
    </row>
    <row r="114" customFormat="false" ht="15" hidden="false" customHeight="true" outlineLevel="0" collapsed="false">
      <c r="A114" s="76" t="s">
        <v>405</v>
      </c>
      <c r="B114" s="77" t="n">
        <f aca="false">'SG OTT'!Q262</f>
        <v>0.093</v>
      </c>
      <c r="C114" s="77" t="n">
        <f aca="false">Class!Q262</f>
        <v>0.092</v>
      </c>
      <c r="D114" s="77" t="n">
        <f aca="false">'SG APP'!Q262</f>
        <v>-0.008</v>
      </c>
      <c r="E114" s="77" t="n">
        <f aca="false">'SG PUTT'!Q262</f>
        <v>-0.514</v>
      </c>
      <c r="F114" s="77" t="n">
        <f aca="false">'SG ARG'!Q262</f>
        <v>0.013</v>
      </c>
      <c r="G114" s="78" t="n">
        <v>-0.06</v>
      </c>
      <c r="H114" s="78" t="n">
        <f aca="false">'Current Form'!L262</f>
        <v>-0.881666666666667</v>
      </c>
      <c r="I114" s="78" t="n">
        <v>-0.06</v>
      </c>
      <c r="J114" s="76" t="s">
        <v>137</v>
      </c>
      <c r="K114" s="76" t="s">
        <v>468</v>
      </c>
    </row>
    <row r="115" customFormat="false" ht="15" hidden="false" customHeight="true" outlineLevel="0" collapsed="false">
      <c r="A115" s="76" t="s">
        <v>406</v>
      </c>
      <c r="B115" s="77" t="n">
        <f aca="false">'SG OTT'!Q263</f>
        <v>-0.111428571428571</v>
      </c>
      <c r="C115" s="77" t="n">
        <f aca="false">Class!Q263</f>
        <v>0.0314285714285714</v>
      </c>
      <c r="D115" s="77" t="n">
        <f aca="false">'SG APP'!Q263</f>
        <v>0.00142857142857144</v>
      </c>
      <c r="E115" s="77" t="n">
        <f aca="false">'SG PUTT'!Q263</f>
        <v>-0.435714285714286</v>
      </c>
      <c r="F115" s="77" t="n">
        <f aca="false">'SG ARG'!Q263</f>
        <v>-0.3</v>
      </c>
      <c r="G115" s="78" t="n">
        <v>0.09</v>
      </c>
      <c r="H115" s="78" t="n">
        <f aca="false">'Current Form'!L263</f>
        <v>-0.915</v>
      </c>
      <c r="I115" s="78" t="n">
        <v>0</v>
      </c>
      <c r="J115" s="76" t="s">
        <v>137</v>
      </c>
      <c r="K115" s="76" t="s">
        <v>468</v>
      </c>
    </row>
    <row r="116" customFormat="false" ht="15" hidden="false" customHeight="true" outlineLevel="0" collapsed="false">
      <c r="A116" s="76" t="s">
        <v>407</v>
      </c>
      <c r="B116" s="77" t="n">
        <f aca="false">'SG OTT'!Q264</f>
        <v>0.0883333333333333</v>
      </c>
      <c r="C116" s="77" t="n">
        <f aca="false">Class!Q264</f>
        <v>0.118333333333333</v>
      </c>
      <c r="D116" s="77" t="n">
        <f aca="false">'SG APP'!Q264</f>
        <v>-0.11</v>
      </c>
      <c r="E116" s="77" t="n">
        <f aca="false">'SG PUTT'!Q264</f>
        <v>-0.316666666666667</v>
      </c>
      <c r="F116" s="77" t="n">
        <f aca="false">'SG ARG'!Q264</f>
        <v>-0.298333333333333</v>
      </c>
      <c r="G116" s="78" t="n">
        <v>0.14</v>
      </c>
      <c r="H116" s="78" t="n">
        <f aca="false">'Current Form'!L264</f>
        <v>0.11</v>
      </c>
      <c r="I116" s="78" t="n">
        <v>0.15</v>
      </c>
      <c r="J116" s="76" t="s">
        <v>137</v>
      </c>
      <c r="K116" s="76" t="s">
        <v>468</v>
      </c>
    </row>
    <row r="117" customFormat="false" ht="15" hidden="false" customHeight="true" outlineLevel="0" collapsed="false">
      <c r="A117" s="76" t="s">
        <v>409</v>
      </c>
      <c r="B117" s="77" t="n">
        <f aca="false">'SG OTT'!Q266</f>
        <v>0.153333333333333</v>
      </c>
      <c r="C117" s="77" t="n">
        <f aca="false">Class!Q266</f>
        <v>0.713333333333333</v>
      </c>
      <c r="D117" s="77" t="n">
        <f aca="false">'SG APP'!Q266</f>
        <v>0.513333333333333</v>
      </c>
      <c r="E117" s="77" t="n">
        <f aca="false">'SG PUTT'!Q266</f>
        <v>0.0544444444444444</v>
      </c>
      <c r="F117" s="77" t="n">
        <f aca="false">'SG ARG'!Q266</f>
        <v>0.254444444444445</v>
      </c>
      <c r="G117" s="78" t="n">
        <v>-0.04</v>
      </c>
      <c r="H117" s="78" t="n">
        <f aca="false">'Current Form'!L266</f>
        <v>1.05833333333333</v>
      </c>
      <c r="I117" s="78" t="n">
        <v>-0.04</v>
      </c>
      <c r="J117" s="76" t="s">
        <v>137</v>
      </c>
      <c r="K117" s="76" t="s">
        <v>468</v>
      </c>
    </row>
    <row r="118" customFormat="false" ht="15" hidden="false" customHeight="true" outlineLevel="0" collapsed="false">
      <c r="A118" s="76" t="s">
        <v>411</v>
      </c>
      <c r="B118" s="77" t="n">
        <f aca="false">'SG OTT'!Q268</f>
        <v>-0.6975</v>
      </c>
      <c r="C118" s="77" t="n">
        <f aca="false">Class!Q268</f>
        <v>0</v>
      </c>
      <c r="D118" s="77" t="n">
        <f aca="false">'SG APP'!Q268</f>
        <v>-0.19875</v>
      </c>
      <c r="E118" s="77" t="n">
        <f aca="false">'SG PUTT'!Q268</f>
        <v>-0.0925</v>
      </c>
      <c r="F118" s="77" t="n">
        <f aca="false">'SG ARG'!Q268</f>
        <v>-0.13125</v>
      </c>
      <c r="G118" s="78" t="n">
        <v>0.13</v>
      </c>
      <c r="H118" s="78" t="n">
        <f aca="false">'Current Form'!L268</f>
        <v>-1.302</v>
      </c>
      <c r="I118" s="78" t="n">
        <v>0.1</v>
      </c>
      <c r="J118" s="76" t="s">
        <v>137</v>
      </c>
      <c r="K118" s="76" t="s">
        <v>468</v>
      </c>
    </row>
    <row r="119" customFormat="false" ht="15" hidden="false" customHeight="true" outlineLevel="0" collapsed="false">
      <c r="A119" s="76" t="s">
        <v>412</v>
      </c>
      <c r="B119" s="77" t="n">
        <f aca="false">'SG OTT'!Q269</f>
        <v>0.621666666666667</v>
      </c>
      <c r="C119" s="77" t="n">
        <f aca="false">Class!Q269</f>
        <v>0.21</v>
      </c>
      <c r="D119" s="77" t="n">
        <f aca="false">'SG APP'!Q269</f>
        <v>-0.525</v>
      </c>
      <c r="E119" s="77" t="n">
        <f aca="false">'SG PUTT'!Q269</f>
        <v>-0.341666666666667</v>
      </c>
      <c r="F119" s="77" t="n">
        <f aca="false">'SG ARG'!Q269</f>
        <v>0.00333333333333333</v>
      </c>
      <c r="G119" s="78" t="n">
        <v>-0.21</v>
      </c>
      <c r="H119" s="78" t="n">
        <f aca="false">'Current Form'!L269</f>
        <v>-0.6675</v>
      </c>
      <c r="I119" s="78" t="n">
        <v>-0.04</v>
      </c>
      <c r="J119" s="76" t="s">
        <v>137</v>
      </c>
      <c r="K119" s="76" t="s">
        <v>468</v>
      </c>
    </row>
    <row r="120" customFormat="false" ht="15" hidden="false" customHeight="true" outlineLevel="0" collapsed="false">
      <c r="A120" s="76" t="s">
        <v>414</v>
      </c>
      <c r="B120" s="77" t="n">
        <f aca="false">'SG OTT'!Q271</f>
        <v>-0.172222222222222</v>
      </c>
      <c r="C120" s="77" t="n">
        <f aca="false">Class!Q271</f>
        <v>0.39</v>
      </c>
      <c r="D120" s="77" t="n">
        <f aca="false">'SG APP'!Q271</f>
        <v>-0.0533333333333333</v>
      </c>
      <c r="E120" s="77" t="n">
        <f aca="false">'SG PUTT'!Q271</f>
        <v>0.723333333333333</v>
      </c>
      <c r="F120" s="77" t="n">
        <f aca="false">'SG ARG'!Q271</f>
        <v>0.0233333333333333</v>
      </c>
      <c r="G120" s="78" t="n">
        <v>0.13</v>
      </c>
      <c r="H120" s="78" t="n">
        <f aca="false">'Current Form'!L271</f>
        <v>0.09</v>
      </c>
      <c r="I120" s="78" t="n">
        <v>0.12</v>
      </c>
      <c r="J120" s="76" t="s">
        <v>137</v>
      </c>
      <c r="K120" s="76" t="s">
        <v>468</v>
      </c>
    </row>
    <row r="121" customFormat="false" ht="15" hidden="false" customHeight="true" outlineLevel="0" collapsed="false">
      <c r="A121" s="76" t="s">
        <v>415</v>
      </c>
      <c r="B121" s="77" t="n">
        <f aca="false">'SG OTT'!Q272</f>
        <v>-0.0977777777777778</v>
      </c>
      <c r="C121" s="77" t="n">
        <f aca="false">Class!Q272</f>
        <v>0.116666666666667</v>
      </c>
      <c r="D121" s="77" t="n">
        <f aca="false">'SG APP'!Q272</f>
        <v>0.284444444444444</v>
      </c>
      <c r="E121" s="77" t="n">
        <f aca="false">'SG PUTT'!Q272</f>
        <v>0.00333333333333333</v>
      </c>
      <c r="F121" s="77" t="n">
        <f aca="false">'SG ARG'!Q272</f>
        <v>0.203333333333333</v>
      </c>
      <c r="G121" s="78" t="n">
        <v>-0.11</v>
      </c>
      <c r="H121" s="78" t="n">
        <f aca="false">'Current Form'!L272</f>
        <v>0.506</v>
      </c>
      <c r="I121" s="78" t="n">
        <v>-0.05</v>
      </c>
      <c r="J121" s="76" t="s">
        <v>137</v>
      </c>
      <c r="K121" s="76" t="s">
        <v>468</v>
      </c>
    </row>
    <row r="122" customFormat="false" ht="15" hidden="false" customHeight="true" outlineLevel="0" collapsed="false">
      <c r="A122" s="76" t="s">
        <v>416</v>
      </c>
      <c r="B122" s="77" t="n">
        <f aca="false">'SG OTT'!Q273</f>
        <v>0.465</v>
      </c>
      <c r="C122" s="77" t="n">
        <f aca="false">Class!Q273</f>
        <v>0.93125</v>
      </c>
      <c r="D122" s="77" t="n">
        <f aca="false">'SG APP'!Q273</f>
        <v>0.33375</v>
      </c>
      <c r="E122" s="77" t="n">
        <f aca="false">'SG PUTT'!Q273</f>
        <v>0.26875</v>
      </c>
      <c r="F122" s="77" t="n">
        <f aca="false">'SG ARG'!Q273</f>
        <v>0.61375</v>
      </c>
      <c r="G122" s="78" t="n">
        <v>-0.04</v>
      </c>
      <c r="H122" s="78" t="n">
        <f aca="false">'Current Form'!L273</f>
        <v>1.545</v>
      </c>
      <c r="I122" s="78" t="n">
        <v>0.02</v>
      </c>
      <c r="J122" s="76" t="s">
        <v>137</v>
      </c>
      <c r="K122" s="76" t="s">
        <v>468</v>
      </c>
    </row>
    <row r="123" customFormat="false" ht="15" hidden="false" customHeight="true" outlineLevel="0" collapsed="false">
      <c r="A123" s="76" t="s">
        <v>417</v>
      </c>
      <c r="B123" s="77" t="n">
        <f aca="false">'SG OTT'!Q274</f>
        <v>0.16375</v>
      </c>
      <c r="C123" s="77" t="n">
        <f aca="false">Class!Q274</f>
        <v>0.52</v>
      </c>
      <c r="D123" s="77" t="n">
        <f aca="false">'SG APP'!Q274</f>
        <v>0.475</v>
      </c>
      <c r="E123" s="77" t="n">
        <f aca="false">'SG PUTT'!Q274</f>
        <v>-0.21375</v>
      </c>
      <c r="F123" s="77" t="n">
        <f aca="false">'SG ARG'!Q274</f>
        <v>-0.19875</v>
      </c>
      <c r="G123" s="78" t="n">
        <v>0.02</v>
      </c>
      <c r="H123" s="78" t="n">
        <f aca="false">'Current Form'!L274</f>
        <v>1.11</v>
      </c>
      <c r="I123" s="78" t="n">
        <v>0.08</v>
      </c>
      <c r="J123" s="76" t="s">
        <v>137</v>
      </c>
      <c r="K123" s="76" t="s">
        <v>468</v>
      </c>
    </row>
    <row r="124" customFormat="false" ht="15" hidden="false" customHeight="true" outlineLevel="0" collapsed="false">
      <c r="A124" s="76" t="s">
        <v>421</v>
      </c>
      <c r="B124" s="77" t="n">
        <f aca="false">'SG OTT'!Q278</f>
        <v>0.288888888888889</v>
      </c>
      <c r="C124" s="77" t="n">
        <f aca="false">Class!Q278</f>
        <v>0.0255555555555556</v>
      </c>
      <c r="D124" s="77" t="n">
        <f aca="false">'SG APP'!Q278</f>
        <v>-1.03</v>
      </c>
      <c r="E124" s="77" t="n">
        <f aca="false">'SG PUTT'!Q278</f>
        <v>-1.05111111111111</v>
      </c>
      <c r="F124" s="77" t="n">
        <f aca="false">'SG ARG'!Q278</f>
        <v>-0.00222222222222222</v>
      </c>
      <c r="G124" s="78" t="n">
        <v>-0.24</v>
      </c>
      <c r="H124" s="78" t="n">
        <f aca="false">'Current Form'!L278</f>
        <v>-1.26833333333333</v>
      </c>
      <c r="I124" s="78" t="n">
        <v>-0.04</v>
      </c>
      <c r="J124" s="76" t="s">
        <v>137</v>
      </c>
      <c r="K124" s="76" t="s">
        <v>468</v>
      </c>
    </row>
    <row r="125" customFormat="false" ht="15" hidden="false" customHeight="true" outlineLevel="0" collapsed="false">
      <c r="A125" s="76" t="s">
        <v>424</v>
      </c>
      <c r="B125" s="77" t="n">
        <f aca="false">'SG OTT'!Q281</f>
        <v>-0.23</v>
      </c>
      <c r="C125" s="77" t="n">
        <f aca="false">Class!Q281</f>
        <v>0.151428571428571</v>
      </c>
      <c r="D125" s="77" t="n">
        <f aca="false">'SG APP'!Q281</f>
        <v>-0.172857142857143</v>
      </c>
      <c r="E125" s="77" t="n">
        <f aca="false">'SG PUTT'!Q281</f>
        <v>0.488571428571429</v>
      </c>
      <c r="F125" s="77" t="n">
        <f aca="false">'SG ARG'!Q281</f>
        <v>0.191428571428571</v>
      </c>
      <c r="G125" s="78" t="n">
        <v>-0.12</v>
      </c>
      <c r="H125" s="78" t="n">
        <f aca="false">'Current Form'!L281</f>
        <v>0.1525</v>
      </c>
      <c r="I125" s="78" t="n">
        <v>-0.02</v>
      </c>
      <c r="J125" s="76" t="s">
        <v>137</v>
      </c>
      <c r="K125" s="76" t="s">
        <v>468</v>
      </c>
    </row>
    <row r="126" customFormat="false" ht="15" hidden="false" customHeight="true" outlineLevel="0" collapsed="false">
      <c r="A126" s="76" t="s">
        <v>425</v>
      </c>
      <c r="B126" s="77" t="n">
        <f aca="false">'SG OTT'!Q282</f>
        <v>0.15</v>
      </c>
      <c r="C126" s="77" t="n">
        <f aca="false">Class!Q282</f>
        <v>0.025</v>
      </c>
      <c r="D126" s="77" t="n">
        <f aca="false">'SG APP'!Q282</f>
        <v>-0.7375</v>
      </c>
      <c r="E126" s="77" t="n">
        <f aca="false">'SG PUTT'!Q282</f>
        <v>-0.575</v>
      </c>
      <c r="F126" s="77" t="n">
        <f aca="false">'SG ARG'!Q282</f>
        <v>0.09</v>
      </c>
      <c r="G126" s="78" t="n">
        <v>-0.07</v>
      </c>
      <c r="H126" s="78" t="n">
        <f aca="false">'Current Form'!L282</f>
        <v>-1.236</v>
      </c>
      <c r="I126" s="78" t="n">
        <v>-0.04</v>
      </c>
      <c r="J126" s="76" t="s">
        <v>137</v>
      </c>
      <c r="K126" s="76" t="s">
        <v>468</v>
      </c>
    </row>
    <row r="127" customFormat="false" ht="15" hidden="false" customHeight="true" outlineLevel="0" collapsed="false">
      <c r="A127" s="76" t="s">
        <v>430</v>
      </c>
      <c r="B127" s="77" t="n">
        <f aca="false">'SG OTT'!Q287</f>
        <v>-0.405714285714286</v>
      </c>
      <c r="C127" s="77" t="n">
        <f aca="false">Class!Q287</f>
        <v>0.08</v>
      </c>
      <c r="D127" s="77" t="n">
        <f aca="false">'SG APP'!Q287</f>
        <v>-0.138571428571429</v>
      </c>
      <c r="E127" s="77" t="n">
        <f aca="false">'SG PUTT'!Q287</f>
        <v>-0.292857142857143</v>
      </c>
      <c r="F127" s="77" t="n">
        <f aca="false">'SG ARG'!Q287</f>
        <v>0.164285714285714</v>
      </c>
      <c r="G127" s="78" t="n">
        <v>-0.17</v>
      </c>
      <c r="H127" s="78" t="n">
        <f aca="false">'Current Form'!L287</f>
        <v>-0.295</v>
      </c>
      <c r="I127" s="78" t="n">
        <v>0.02</v>
      </c>
      <c r="J127" s="76" t="s">
        <v>137</v>
      </c>
      <c r="K127" s="76" t="s">
        <v>468</v>
      </c>
    </row>
    <row r="128" customFormat="false" ht="15" hidden="false" customHeight="true" outlineLevel="0" collapsed="false">
      <c r="A128" s="76" t="s">
        <v>431</v>
      </c>
      <c r="B128" s="77" t="n">
        <f aca="false">'SG OTT'!Q288</f>
        <v>-0.755714285714286</v>
      </c>
      <c r="C128" s="77" t="n">
        <f aca="false">Class!Q288</f>
        <v>0.0185714285714286</v>
      </c>
      <c r="D128" s="77" t="n">
        <f aca="false">'SG APP'!Q288</f>
        <v>-0.332857142857143</v>
      </c>
      <c r="E128" s="77" t="n">
        <f aca="false">'SG PUTT'!Q288</f>
        <v>0.335714285714286</v>
      </c>
      <c r="F128" s="77" t="n">
        <f aca="false">'SG ARG'!Q288</f>
        <v>0.135714285714286</v>
      </c>
      <c r="G128" s="78" t="n">
        <v>-0.03</v>
      </c>
      <c r="H128" s="78" t="n">
        <f aca="false">'Current Form'!L288</f>
        <v>-0.945</v>
      </c>
      <c r="I128" s="78" t="n">
        <v>0.25</v>
      </c>
      <c r="J128" s="76" t="s">
        <v>137</v>
      </c>
      <c r="K128" s="76" t="s">
        <v>468</v>
      </c>
    </row>
    <row r="129" customFormat="false" ht="15" hidden="false" customHeight="true" outlineLevel="0" collapsed="false">
      <c r="A129" s="76" t="s">
        <v>433</v>
      </c>
      <c r="B129" s="77" t="n">
        <f aca="false">'SG OTT'!Q290</f>
        <v>-0.09375</v>
      </c>
      <c r="C129" s="77" t="n">
        <f aca="false">Class!Q290</f>
        <v>0.02</v>
      </c>
      <c r="D129" s="77" t="n">
        <f aca="false">'SG APP'!Q290</f>
        <v>-0.5225</v>
      </c>
      <c r="E129" s="77" t="n">
        <f aca="false">'SG PUTT'!Q290</f>
        <v>-0.61625</v>
      </c>
      <c r="F129" s="77" t="n">
        <f aca="false">'SG ARG'!Q290</f>
        <v>-0.52125</v>
      </c>
      <c r="G129" s="78" t="n">
        <v>-0.22</v>
      </c>
      <c r="H129" s="78" t="n">
        <f aca="false">'Current Form'!L290</f>
        <v>-1.958</v>
      </c>
      <c r="I129" s="78" t="n">
        <v>-0.03</v>
      </c>
      <c r="J129" s="76" t="s">
        <v>137</v>
      </c>
      <c r="K129" s="76" t="s">
        <v>468</v>
      </c>
    </row>
    <row r="130" customFormat="false" ht="15" hidden="false" customHeight="true" outlineLevel="0" collapsed="false">
      <c r="A130" s="76" t="s">
        <v>434</v>
      </c>
      <c r="B130" s="77" t="n">
        <f aca="false">'SG OTT'!Q291</f>
        <v>0.2</v>
      </c>
      <c r="C130" s="77" t="n">
        <f aca="false">Class!Q291</f>
        <v>0.538571428571429</v>
      </c>
      <c r="D130" s="77" t="n">
        <f aca="false">'SG APP'!Q291</f>
        <v>0.777142857142857</v>
      </c>
      <c r="E130" s="77" t="n">
        <f aca="false">'SG PUTT'!Q291</f>
        <v>-0.0985714285714286</v>
      </c>
      <c r="F130" s="77" t="n">
        <f aca="false">'SG ARG'!Q291</f>
        <v>0.32</v>
      </c>
      <c r="G130" s="78" t="n">
        <v>0</v>
      </c>
      <c r="H130" s="78" t="n">
        <f aca="false">'Current Form'!L291</f>
        <v>0.89</v>
      </c>
      <c r="I130" s="78" t="n">
        <v>0.07</v>
      </c>
      <c r="J130" s="76" t="s">
        <v>137</v>
      </c>
      <c r="K130" s="76" t="s">
        <v>468</v>
      </c>
    </row>
    <row r="131" customFormat="false" ht="15" hidden="false" customHeight="true" outlineLevel="0" collapsed="false">
      <c r="A131" s="76" t="s">
        <v>437</v>
      </c>
      <c r="B131" s="77" t="n">
        <f aca="false">'SG OTT'!Q294</f>
        <v>-0.72125</v>
      </c>
      <c r="C131" s="77" t="n">
        <f aca="false">Class!Q294</f>
        <v>0</v>
      </c>
      <c r="D131" s="77" t="n">
        <f aca="false">'SG APP'!Q294</f>
        <v>-0.885</v>
      </c>
      <c r="E131" s="77" t="n">
        <f aca="false">'SG PUTT'!Q294</f>
        <v>0.18375</v>
      </c>
      <c r="F131" s="77" t="n">
        <f aca="false">'SG ARG'!Q294</f>
        <v>0.09625</v>
      </c>
      <c r="G131" s="78" t="n">
        <v>-0.26</v>
      </c>
      <c r="H131" s="78" t="n">
        <f aca="false">'Current Form'!L294</f>
        <v>-1.02</v>
      </c>
      <c r="I131" s="78" t="n">
        <v>0</v>
      </c>
      <c r="J131" s="76" t="s">
        <v>137</v>
      </c>
      <c r="K131" s="76" t="s">
        <v>468</v>
      </c>
    </row>
    <row r="132" customFormat="false" ht="15" hidden="false" customHeight="true" outlineLevel="0" collapsed="false">
      <c r="A132" s="76" t="s">
        <v>442</v>
      </c>
      <c r="B132" s="77" t="n">
        <f aca="false">'SG OTT'!Q299</f>
        <v>-0.281666666666667</v>
      </c>
      <c r="C132" s="77" t="n">
        <f aca="false">Class!Q299</f>
        <v>0.111666666666667</v>
      </c>
      <c r="D132" s="77" t="n">
        <f aca="false">'SG APP'!Q299</f>
        <v>0.413333333333333</v>
      </c>
      <c r="E132" s="77" t="n">
        <f aca="false">'SG PUTT'!Q299</f>
        <v>-0.77</v>
      </c>
      <c r="F132" s="77" t="n">
        <f aca="false">'SG ARG'!Q299</f>
        <v>0.09</v>
      </c>
      <c r="G132" s="78" t="n">
        <v>-0.09</v>
      </c>
      <c r="H132" s="78" t="n">
        <f aca="false">'Current Form'!L299</f>
        <v>-0.25</v>
      </c>
      <c r="I132" s="78" t="n">
        <v>0.05</v>
      </c>
      <c r="J132" s="76" t="s">
        <v>137</v>
      </c>
      <c r="K132" s="76" t="s">
        <v>468</v>
      </c>
    </row>
    <row r="133" customFormat="false" ht="15" hidden="false" customHeight="true" outlineLevel="0" collapsed="false">
      <c r="A133" s="76" t="s">
        <v>446</v>
      </c>
      <c r="B133" s="77" t="n">
        <f aca="false">'SG OTT'!Q303</f>
        <v>-0.742222222222222</v>
      </c>
      <c r="C133" s="77" t="n">
        <f aca="false">Class!Q303</f>
        <v>0.0211111111111111</v>
      </c>
      <c r="D133" s="77" t="n">
        <f aca="false">'SG APP'!Q303</f>
        <v>0.0177777777777778</v>
      </c>
      <c r="E133" s="77" t="n">
        <f aca="false">'SG PUTT'!Q303</f>
        <v>-0.221111111111111</v>
      </c>
      <c r="F133" s="77" t="n">
        <f aca="false">'SG ARG'!Q303</f>
        <v>-0.171111111111111</v>
      </c>
      <c r="G133" s="78" t="n">
        <v>0.06</v>
      </c>
      <c r="H133" s="78" t="n">
        <f aca="false">'Current Form'!L303</f>
        <v>-0.716666666666667</v>
      </c>
      <c r="I133" s="78" t="n">
        <v>-0.06</v>
      </c>
      <c r="J133" s="76" t="s">
        <v>137</v>
      </c>
      <c r="K133" s="76" t="s">
        <v>468</v>
      </c>
    </row>
    <row r="134" customFormat="false" ht="15" hidden="false" customHeight="true" outlineLevel="0" collapsed="false">
      <c r="A134" s="76" t="s">
        <v>449</v>
      </c>
      <c r="B134" s="77" t="n">
        <f aca="false">'SG OTT'!Q306</f>
        <v>0.792857142857143</v>
      </c>
      <c r="C134" s="77" t="n">
        <f aca="false">Class!Q306</f>
        <v>2.75285714285714</v>
      </c>
      <c r="D134" s="77" t="n">
        <f aca="false">'SG APP'!Q306</f>
        <v>0.74</v>
      </c>
      <c r="E134" s="77" t="n">
        <f aca="false">'SG PUTT'!Q306</f>
        <v>-0.308571428571429</v>
      </c>
      <c r="F134" s="77" t="n">
        <f aca="false">'SG ARG'!Q306</f>
        <v>0.231428571428571</v>
      </c>
      <c r="G134" s="78" t="n">
        <v>-0.09</v>
      </c>
      <c r="H134" s="78" t="n">
        <f aca="false">'Current Form'!L306</f>
        <v>0.855</v>
      </c>
      <c r="I134" s="78" t="n">
        <v>0.08</v>
      </c>
      <c r="J134" s="76" t="s">
        <v>137</v>
      </c>
      <c r="K134" s="76" t="s">
        <v>468</v>
      </c>
    </row>
    <row r="135" customFormat="false" ht="15" hidden="false" customHeight="true" outlineLevel="0" collapsed="false">
      <c r="A135" s="76" t="s">
        <v>451</v>
      </c>
      <c r="B135" s="77" t="n">
        <f aca="false">'SG OTT'!Q308</f>
        <v>0.43125</v>
      </c>
      <c r="C135" s="77" t="n">
        <f aca="false">Class!Q308</f>
        <v>0.365</v>
      </c>
      <c r="D135" s="77" t="n">
        <f aca="false">'SG APP'!Q308</f>
        <v>0.17</v>
      </c>
      <c r="E135" s="77" t="n">
        <f aca="false">'SG PUTT'!Q308</f>
        <v>0.03125</v>
      </c>
      <c r="F135" s="77" t="n">
        <f aca="false">'SG ARG'!Q308</f>
        <v>0.0225</v>
      </c>
      <c r="G135" s="78" t="n">
        <v>-0.08</v>
      </c>
      <c r="H135" s="78" t="n">
        <f aca="false">'Current Form'!L308</f>
        <v>1.364</v>
      </c>
      <c r="I135" s="78" t="n">
        <v>-0.06</v>
      </c>
      <c r="J135" s="76" t="s">
        <v>137</v>
      </c>
      <c r="K135" s="76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32.43"/>
    <col collapsed="false" customWidth="true" hidden="false" outlineLevel="0" max="3" min="2" style="1" width="9.14"/>
    <col collapsed="false" customWidth="true" hidden="false" outlineLevel="0" max="11" min="5" style="1" width="9.14"/>
  </cols>
  <sheetData>
    <row r="1" customFormat="false" ht="15" hidden="false" customHeight="true" outlineLevel="0" collapsed="false">
      <c r="E1" s="79"/>
      <c r="F1" s="79"/>
      <c r="G1" s="79"/>
      <c r="H1" s="79"/>
      <c r="I1" s="79"/>
      <c r="J1" s="80"/>
    </row>
    <row r="2" customFormat="false" ht="15" hidden="false" customHeight="true" outlineLevel="0" collapsed="false">
      <c r="A2" s="80" t="s">
        <v>470</v>
      </c>
      <c r="B2" s="80" t="s">
        <v>471</v>
      </c>
      <c r="C2" s="80"/>
      <c r="D2" s="80" t="s">
        <v>472</v>
      </c>
      <c r="E2" s="80" t="s">
        <v>473</v>
      </c>
      <c r="F2" s="80" t="s">
        <v>474</v>
      </c>
      <c r="G2" s="80" t="s">
        <v>475</v>
      </c>
      <c r="H2" s="80" t="s">
        <v>476</v>
      </c>
      <c r="I2" s="80" t="s">
        <v>477</v>
      </c>
      <c r="J2" s="80" t="s">
        <v>457</v>
      </c>
      <c r="K2" s="80" t="s">
        <v>464</v>
      </c>
    </row>
    <row r="3" customFormat="false" ht="15" hidden="false" customHeight="true" outlineLevel="0" collapsed="false">
      <c r="A3" s="1" t="s">
        <v>478</v>
      </c>
      <c r="B3" s="1" t="n">
        <v>3</v>
      </c>
      <c r="D3" s="1"/>
    </row>
    <row r="4" customFormat="false" ht="15" hidden="false" customHeight="true" outlineLevel="0" collapsed="false">
      <c r="A4" s="1" t="s">
        <v>479</v>
      </c>
      <c r="B4" s="1" t="n">
        <v>2</v>
      </c>
      <c r="D4" s="1"/>
    </row>
    <row r="5" customFormat="false" ht="15" hidden="false" customHeight="true" outlineLevel="0" collapsed="false">
      <c r="A5" s="1" t="s">
        <v>480</v>
      </c>
      <c r="B5" s="1" t="n">
        <v>2</v>
      </c>
      <c r="D5" s="1"/>
    </row>
    <row r="6" customFormat="false" ht="15" hidden="false" customHeight="true" outlineLevel="0" collapsed="false">
      <c r="A6" s="1" t="s">
        <v>481</v>
      </c>
      <c r="B6" s="1" t="n">
        <v>2</v>
      </c>
      <c r="D6" s="1"/>
    </row>
    <row r="7" customFormat="false" ht="15" hidden="false" customHeight="true" outlineLevel="0" collapsed="false">
      <c r="A7" s="1" t="s">
        <v>482</v>
      </c>
      <c r="B7" s="1" t="n">
        <v>3</v>
      </c>
      <c r="D7" s="1"/>
    </row>
    <row r="8" customFormat="false" ht="15" hidden="false" customHeight="true" outlineLevel="0" collapsed="false">
      <c r="A8" s="1" t="s">
        <v>483</v>
      </c>
      <c r="B8" s="1" t="n">
        <v>2</v>
      </c>
      <c r="D8" s="1"/>
    </row>
    <row r="9" customFormat="false" ht="15" hidden="false" customHeight="true" outlineLevel="0" collapsed="false">
      <c r="A9" s="1" t="s">
        <v>484</v>
      </c>
      <c r="B9" s="1" t="n">
        <v>2</v>
      </c>
      <c r="D9" s="1"/>
    </row>
    <row r="10" customFormat="false" ht="15" hidden="false" customHeight="true" outlineLevel="0" collapsed="false">
      <c r="A10" s="1" t="s">
        <v>485</v>
      </c>
      <c r="B10" s="1" t="n">
        <v>2</v>
      </c>
      <c r="D10" s="1" t="n">
        <v>0.25</v>
      </c>
      <c r="E10" s="1" t="n">
        <v>2</v>
      </c>
      <c r="F10" s="1" t="n">
        <v>1</v>
      </c>
      <c r="G10" s="1" t="n">
        <v>2.5</v>
      </c>
      <c r="H10" s="1" t="n">
        <v>1.5</v>
      </c>
      <c r="I10" s="1" t="n">
        <v>1</v>
      </c>
      <c r="J10" s="1" t="n">
        <v>2</v>
      </c>
      <c r="K10" s="1" t="n">
        <v>1</v>
      </c>
      <c r="L10" s="2" t="s">
        <v>486</v>
      </c>
    </row>
    <row r="11" customFormat="false" ht="15" hidden="false" customHeight="true" outlineLevel="0" collapsed="false">
      <c r="A11" s="1" t="s">
        <v>487</v>
      </c>
      <c r="B11" s="1" t="n">
        <v>3</v>
      </c>
      <c r="D11" s="1"/>
    </row>
    <row r="12" customFormat="false" ht="15" hidden="false" customHeight="true" outlineLevel="0" collapsed="false">
      <c r="A12" s="1" t="s">
        <v>488</v>
      </c>
      <c r="B12" s="1" t="n">
        <v>5</v>
      </c>
      <c r="D12" s="1" t="n">
        <v>0.25</v>
      </c>
      <c r="E12" s="1" t="n">
        <v>2</v>
      </c>
      <c r="F12" s="1" t="n">
        <v>1</v>
      </c>
      <c r="G12" s="1" t="n">
        <v>2.5</v>
      </c>
      <c r="H12" s="1" t="n">
        <v>1.5</v>
      </c>
      <c r="I12" s="1" t="n">
        <v>0.5</v>
      </c>
      <c r="J12" s="1" t="n">
        <v>2</v>
      </c>
      <c r="K12" s="1" t="n">
        <v>2.5</v>
      </c>
    </row>
    <row r="13" customFormat="false" ht="15" hidden="false" customHeight="true" outlineLevel="0" collapsed="false">
      <c r="A13" s="1" t="s">
        <v>489</v>
      </c>
      <c r="B13" s="1" t="n">
        <v>2</v>
      </c>
      <c r="D13" s="1"/>
    </row>
    <row r="14" customFormat="false" ht="15" hidden="false" customHeight="true" outlineLevel="0" collapsed="false">
      <c r="A14" s="1" t="s">
        <v>490</v>
      </c>
      <c r="B14" s="1" t="n">
        <v>2</v>
      </c>
      <c r="D14" s="1"/>
    </row>
    <row r="15" customFormat="false" ht="15" hidden="false" customHeight="true" outlineLevel="0" collapsed="false">
      <c r="A15" s="1" t="s">
        <v>491</v>
      </c>
      <c r="B15" s="1" t="s">
        <v>492</v>
      </c>
      <c r="D15" s="1" t="n">
        <v>0.25</v>
      </c>
      <c r="E15" s="1" t="n">
        <v>2.5</v>
      </c>
      <c r="F15" s="1" t="n">
        <v>1</v>
      </c>
      <c r="G15" s="1" t="n">
        <v>2.5</v>
      </c>
      <c r="H15" s="1" t="n">
        <v>1.5</v>
      </c>
      <c r="I15" s="1" t="n">
        <v>2.5</v>
      </c>
      <c r="J15" s="1" t="n">
        <v>2</v>
      </c>
      <c r="K15" s="1" t="n">
        <v>0</v>
      </c>
      <c r="L15" s="2" t="s">
        <v>493</v>
      </c>
      <c r="O15" s="2" t="s">
        <v>494</v>
      </c>
    </row>
    <row r="16" customFormat="false" ht="15" hidden="false" customHeight="true" outlineLevel="0" collapsed="false">
      <c r="A16" s="1" t="s">
        <v>495</v>
      </c>
      <c r="B16" s="1" t="n">
        <v>2</v>
      </c>
      <c r="D16" s="1"/>
    </row>
    <row r="17" customFormat="false" ht="15" hidden="false" customHeight="true" outlineLevel="0" collapsed="false">
      <c r="A17" s="1" t="s">
        <v>496</v>
      </c>
      <c r="B17" s="1" t="n">
        <v>4</v>
      </c>
      <c r="D17" s="1"/>
    </row>
    <row r="18" customFormat="false" ht="15" hidden="false" customHeight="true" outlineLevel="0" collapsed="false">
      <c r="A18" s="1" t="s">
        <v>497</v>
      </c>
      <c r="B18" s="1" t="n">
        <v>3</v>
      </c>
      <c r="D18" s="1"/>
    </row>
    <row r="19" customFormat="false" ht="15" hidden="false" customHeight="true" outlineLevel="0" collapsed="false">
      <c r="A19" s="1" t="s">
        <v>498</v>
      </c>
      <c r="B19" s="1" t="n">
        <v>3</v>
      </c>
      <c r="D19" s="1"/>
    </row>
    <row r="20" customFormat="false" ht="15" hidden="false" customHeight="true" outlineLevel="0" collapsed="false">
      <c r="A20" s="1" t="s">
        <v>499</v>
      </c>
      <c r="B20" s="1" t="s">
        <v>500</v>
      </c>
      <c r="D20" s="1"/>
    </row>
    <row r="21" customFormat="false" ht="15" hidden="false" customHeight="true" outlineLevel="0" collapsed="false">
      <c r="A21" s="1" t="s">
        <v>501</v>
      </c>
      <c r="B21" s="1" t="n">
        <v>3</v>
      </c>
      <c r="D21" s="1"/>
    </row>
    <row r="22" customFormat="false" ht="15" hidden="false" customHeight="true" outlineLevel="0" collapsed="false">
      <c r="A22" s="1" t="s">
        <v>502</v>
      </c>
      <c r="B22" s="1" t="n">
        <v>3</v>
      </c>
      <c r="D22" s="1"/>
    </row>
    <row r="23" customFormat="false" ht="15" hidden="false" customHeight="true" outlineLevel="0" collapsed="false">
      <c r="A23" s="1" t="s">
        <v>503</v>
      </c>
      <c r="B23" s="1" t="n">
        <v>4</v>
      </c>
      <c r="D23" s="1"/>
    </row>
    <row r="24" customFormat="false" ht="15" hidden="false" customHeight="true" outlineLevel="0" collapsed="false">
      <c r="A24" s="1" t="s">
        <v>504</v>
      </c>
      <c r="B24" s="1" t="n">
        <v>2</v>
      </c>
      <c r="D24" s="1"/>
    </row>
    <row r="25" customFormat="false" ht="15" hidden="false" customHeight="true" outlineLevel="0" collapsed="false">
      <c r="A25" s="1" t="s">
        <v>478</v>
      </c>
      <c r="B25" s="1" t="n">
        <v>3</v>
      </c>
      <c r="D25" s="1"/>
    </row>
    <row r="26" customFormat="false" ht="15" hidden="false" customHeight="true" outlineLevel="0" collapsed="false">
      <c r="A26" s="1" t="s">
        <v>505</v>
      </c>
      <c r="B26" s="1" t="n">
        <v>3</v>
      </c>
      <c r="D26" s="1"/>
    </row>
    <row r="27" customFormat="false" ht="15" hidden="false" customHeight="true" outlineLevel="0" collapsed="false">
      <c r="A27" s="1" t="s">
        <v>481</v>
      </c>
      <c r="D27" s="55"/>
    </row>
  </sheetData>
  <mergeCells count="1">
    <mergeCell ref="E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57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pane xSplit="1" ySplit="0" topLeftCell="Y79" activePane="topRight" state="frozen"/>
      <selection pane="topLeft" activeCell="A79" activeCellId="0" sqref="A79"/>
      <selection pane="topRight" activeCell="AB105" activeCellId="0" sqref="AB105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40" min="2" style="18" width="26.43"/>
    <col collapsed="false" customWidth="true" hidden="false" outlineLevel="0" max="41" min="41" style="51" width="24.57"/>
    <col collapsed="false" customWidth="true" hidden="false" outlineLevel="0" max="42" min="42" style="1" width="20"/>
    <col collapsed="false" customWidth="true" hidden="false" outlineLevel="0" max="43" min="43" style="1" width="23.57"/>
    <col collapsed="false" customWidth="true" hidden="false" outlineLevel="0" max="44" min="44" style="2" width="19.57"/>
    <col collapsed="false" customWidth="true" hidden="false" outlineLevel="0" max="45" min="45" style="2" width="16.43"/>
  </cols>
  <sheetData>
    <row r="1" customFormat="false" ht="15" hidden="false" customHeight="true" outlineLevel="0" collapsed="false">
      <c r="A1" s="53" t="s">
        <v>506</v>
      </c>
      <c r="B1" s="81" t="s">
        <v>507</v>
      </c>
      <c r="C1" s="81" t="s">
        <v>508</v>
      </c>
      <c r="D1" s="81" t="s">
        <v>509</v>
      </c>
      <c r="E1" s="81" t="s">
        <v>510</v>
      </c>
      <c r="F1" s="81" t="s">
        <v>511</v>
      </c>
      <c r="G1" s="81" t="s">
        <v>512</v>
      </c>
      <c r="H1" s="81" t="s">
        <v>513</v>
      </c>
      <c r="I1" s="81" t="s">
        <v>514</v>
      </c>
      <c r="J1" s="81" t="s">
        <v>515</v>
      </c>
      <c r="K1" s="81" t="s">
        <v>516</v>
      </c>
      <c r="L1" s="81" t="s">
        <v>517</v>
      </c>
      <c r="M1" s="81" t="s">
        <v>518</v>
      </c>
      <c r="N1" s="81" t="s">
        <v>519</v>
      </c>
      <c r="O1" s="81" t="s">
        <v>520</v>
      </c>
      <c r="P1" s="81" t="s">
        <v>521</v>
      </c>
      <c r="Q1" s="81" t="s">
        <v>522</v>
      </c>
      <c r="R1" s="81" t="s">
        <v>523</v>
      </c>
      <c r="S1" s="81" t="s">
        <v>524</v>
      </c>
      <c r="T1" s="82" t="s">
        <v>525</v>
      </c>
      <c r="U1" s="81" t="s">
        <v>526</v>
      </c>
      <c r="V1" s="81" t="s">
        <v>527</v>
      </c>
      <c r="W1" s="81" t="s">
        <v>528</v>
      </c>
      <c r="X1" s="81" t="s">
        <v>529</v>
      </c>
      <c r="Y1" s="81" t="s">
        <v>530</v>
      </c>
      <c r="Z1" s="81" t="s">
        <v>531</v>
      </c>
      <c r="AA1" s="81" t="s">
        <v>532</v>
      </c>
      <c r="AB1" s="81" t="s">
        <v>533</v>
      </c>
      <c r="AC1" s="53" t="s">
        <v>534</v>
      </c>
      <c r="AD1" s="53" t="s">
        <v>535</v>
      </c>
      <c r="AE1" s="53" t="s">
        <v>536</v>
      </c>
      <c r="AF1" s="53" t="s">
        <v>537</v>
      </c>
      <c r="AG1" s="53" t="s">
        <v>538</v>
      </c>
      <c r="AH1" s="53" t="s">
        <v>539</v>
      </c>
      <c r="AI1" s="53" t="s">
        <v>540</v>
      </c>
      <c r="AJ1" s="53" t="s">
        <v>541</v>
      </c>
      <c r="AK1" s="53" t="s">
        <v>542</v>
      </c>
      <c r="AL1" s="53" t="s">
        <v>543</v>
      </c>
      <c r="AM1" s="53" t="s">
        <v>544</v>
      </c>
      <c r="AN1" s="53" t="s">
        <v>545</v>
      </c>
      <c r="AO1" s="54" t="s">
        <v>546</v>
      </c>
      <c r="AP1" s="54" t="s">
        <v>547</v>
      </c>
      <c r="AQ1" s="54" t="s">
        <v>548</v>
      </c>
      <c r="AR1" s="54" t="s">
        <v>549</v>
      </c>
      <c r="AS1" s="54" t="s">
        <v>550</v>
      </c>
    </row>
    <row r="2" customFormat="false" ht="15" hidden="false" customHeight="true" outlineLevel="0" collapsed="false">
      <c r="A2" s="83" t="s">
        <v>146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9" t="n">
        <v>-0.2</v>
      </c>
      <c r="AC2" s="83"/>
      <c r="AD2" s="83"/>
      <c r="AE2" s="9"/>
      <c r="AF2" s="9" t="n">
        <v>1.07</v>
      </c>
      <c r="AG2" s="9" t="n">
        <v>-0.23</v>
      </c>
      <c r="AH2" s="9" t="n">
        <v>0.8</v>
      </c>
      <c r="AI2" s="9"/>
      <c r="AJ2" s="9"/>
      <c r="AK2" s="9" t="n">
        <v>0.48</v>
      </c>
      <c r="AL2" s="9" t="n">
        <v>0.45</v>
      </c>
      <c r="AM2" s="9"/>
      <c r="AN2" s="9" t="n">
        <v>0.34</v>
      </c>
      <c r="AO2" s="9" t="n">
        <v>0.43</v>
      </c>
      <c r="AP2" s="9"/>
      <c r="AQ2" s="6" t="n">
        <v>-2.59</v>
      </c>
      <c r="AR2" s="6"/>
      <c r="AS2" s="6"/>
    </row>
    <row r="3" customFormat="false" ht="15" hidden="false" customHeight="true" outlineLevel="0" collapsed="false">
      <c r="A3" s="83" t="s">
        <v>149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9"/>
      <c r="AC3" s="83"/>
      <c r="AD3" s="83"/>
      <c r="AE3" s="9"/>
      <c r="AF3" s="9"/>
      <c r="AG3" s="9"/>
      <c r="AH3" s="9" t="n">
        <v>0.95</v>
      </c>
      <c r="AI3" s="9" t="n">
        <v>-0.38</v>
      </c>
      <c r="AJ3" s="9" t="n">
        <v>-0.39</v>
      </c>
      <c r="AK3" s="9" t="n">
        <v>-0.13</v>
      </c>
      <c r="AL3" s="9"/>
      <c r="AM3" s="9" t="n">
        <v>-0.02</v>
      </c>
      <c r="AN3" s="9"/>
      <c r="AO3" s="9"/>
      <c r="AP3" s="9" t="n">
        <v>0.25</v>
      </c>
      <c r="AQ3" s="6" t="n">
        <v>0.45</v>
      </c>
      <c r="AR3" s="6" t="n">
        <v>0.48</v>
      </c>
      <c r="AS3" s="6" t="n">
        <v>-0.42</v>
      </c>
    </row>
    <row r="4" customFormat="false" ht="15" hidden="false" customHeight="true" outlineLevel="0" collapsed="false">
      <c r="A4" s="83" t="s">
        <v>150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9" t="n">
        <v>1.48</v>
      </c>
      <c r="AC4" s="83"/>
      <c r="AD4" s="83"/>
      <c r="AE4" s="9"/>
      <c r="AF4" s="9"/>
      <c r="AG4" s="9"/>
      <c r="AH4" s="9" t="n">
        <v>-0.58</v>
      </c>
      <c r="AI4" s="9" t="n">
        <v>1.49</v>
      </c>
      <c r="AJ4" s="9" t="n">
        <v>0.45</v>
      </c>
      <c r="AK4" s="9" t="n">
        <v>-0.01</v>
      </c>
      <c r="AL4" s="9"/>
      <c r="AM4" s="9" t="n">
        <v>-0.09</v>
      </c>
      <c r="AN4" s="9"/>
      <c r="AO4" s="9"/>
      <c r="AP4" s="9" t="n">
        <v>-0.45</v>
      </c>
      <c r="AQ4" s="6" t="n">
        <v>2.2</v>
      </c>
      <c r="AR4" s="6" t="n">
        <v>1.11</v>
      </c>
      <c r="AS4" s="6"/>
    </row>
    <row r="5" customFormat="false" ht="15" hidden="false" customHeight="true" outlineLevel="0" collapsed="false">
      <c r="A5" s="83" t="s">
        <v>151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9" t="n">
        <v>0.72</v>
      </c>
      <c r="AC5" s="83"/>
      <c r="AD5" s="83"/>
      <c r="AE5" s="9" t="n">
        <v>0.52</v>
      </c>
      <c r="AF5" s="9" t="n">
        <v>0.06</v>
      </c>
      <c r="AG5" s="9" t="n">
        <v>-1.75</v>
      </c>
      <c r="AH5" s="9"/>
      <c r="AI5" s="9"/>
      <c r="AJ5" s="9"/>
      <c r="AK5" s="9" t="n">
        <v>0.28</v>
      </c>
      <c r="AL5" s="9" t="n">
        <v>0.95</v>
      </c>
      <c r="AM5" s="9" t="n">
        <v>-0.21</v>
      </c>
      <c r="AN5" s="9" t="n">
        <v>-1.18</v>
      </c>
      <c r="AO5" s="9" t="n">
        <v>-1.2</v>
      </c>
      <c r="AP5" s="9" t="n">
        <v>0.05</v>
      </c>
      <c r="AQ5" s="6"/>
      <c r="AR5" s="6" t="n">
        <v>-0.66</v>
      </c>
      <c r="AS5" s="6" t="n">
        <v>0.9</v>
      </c>
    </row>
    <row r="6" customFormat="false" ht="15" hidden="false" customHeight="true" outlineLevel="0" collapsed="false">
      <c r="A6" s="83" t="s">
        <v>152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9" t="n">
        <v>0.49</v>
      </c>
      <c r="AC6" s="83"/>
      <c r="AD6" s="83"/>
      <c r="AE6" s="9" t="n">
        <v>1.33</v>
      </c>
      <c r="AF6" s="9" t="n">
        <v>1.28</v>
      </c>
      <c r="AG6" s="9" t="n">
        <v>1.38</v>
      </c>
      <c r="AH6" s="9"/>
      <c r="AI6" s="9"/>
      <c r="AJ6" s="9"/>
      <c r="AK6" s="9" t="n">
        <v>0.31</v>
      </c>
      <c r="AL6" s="9" t="n">
        <v>2.84</v>
      </c>
      <c r="AM6" s="9"/>
      <c r="AN6" s="9" t="n">
        <v>0.78</v>
      </c>
      <c r="AO6" s="9" t="n">
        <v>0.49</v>
      </c>
      <c r="AP6" s="9" t="n">
        <v>1.43</v>
      </c>
      <c r="AQ6" s="6" t="n">
        <v>-3.86</v>
      </c>
      <c r="AR6" s="6" t="n">
        <v>-0.68</v>
      </c>
      <c r="AS6" s="6"/>
    </row>
    <row r="7" customFormat="false" ht="15" hidden="false" customHeight="true" outlineLevel="0" collapsed="false">
      <c r="A7" s="83" t="s">
        <v>153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9"/>
      <c r="AC7" s="83"/>
      <c r="AD7" s="83"/>
      <c r="AE7" s="9"/>
      <c r="AF7" s="9"/>
      <c r="AG7" s="9"/>
      <c r="AH7" s="9"/>
      <c r="AI7" s="9"/>
      <c r="AJ7" s="9" t="n">
        <v>-0.3</v>
      </c>
      <c r="AK7" s="9"/>
      <c r="AL7" s="9"/>
      <c r="AM7" s="9"/>
      <c r="AN7" s="9"/>
      <c r="AO7" s="9"/>
      <c r="AP7" s="9"/>
      <c r="AQ7" s="6"/>
      <c r="AR7" s="6"/>
      <c r="AS7" s="6" t="n">
        <v>-0.48</v>
      </c>
    </row>
    <row r="8" customFormat="false" ht="15" hidden="false" customHeight="true" outlineLevel="0" collapsed="false">
      <c r="A8" s="83" t="s">
        <v>154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9" t="n">
        <v>0.47</v>
      </c>
      <c r="AC8" s="83"/>
      <c r="AD8" s="83"/>
      <c r="AE8" s="9" t="n">
        <v>-1.45</v>
      </c>
      <c r="AF8" s="9" t="n">
        <v>0.88</v>
      </c>
      <c r="AG8" s="9"/>
      <c r="AH8" s="9" t="n">
        <v>-0.47</v>
      </c>
      <c r="AI8" s="9" t="n">
        <v>-1.02</v>
      </c>
      <c r="AJ8" s="9" t="n">
        <v>0.83</v>
      </c>
      <c r="AK8" s="9"/>
      <c r="AL8" s="9"/>
      <c r="AM8" s="9" t="n">
        <v>-1.94</v>
      </c>
      <c r="AN8" s="9"/>
      <c r="AO8" s="9"/>
      <c r="AP8" s="9" t="n">
        <v>-0.64</v>
      </c>
      <c r="AQ8" s="6" t="n">
        <v>-1.4</v>
      </c>
      <c r="AR8" s="6" t="n">
        <v>-2.08</v>
      </c>
      <c r="AS8" s="6" t="n">
        <v>-2.36</v>
      </c>
    </row>
    <row r="9" customFormat="false" ht="15" hidden="false" customHeight="true" outlineLevel="0" collapsed="false">
      <c r="A9" s="83" t="s">
        <v>156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9" t="n">
        <v>-0.74</v>
      </c>
      <c r="AC9" s="83"/>
      <c r="AD9" s="83"/>
      <c r="AE9" s="9" t="n">
        <v>-0.35</v>
      </c>
      <c r="AF9" s="9" t="n">
        <v>0.54</v>
      </c>
      <c r="AG9" s="9" t="n">
        <v>1.12</v>
      </c>
      <c r="AH9" s="9"/>
      <c r="AI9" s="9"/>
      <c r="AJ9" s="9" t="n">
        <v>-0.01</v>
      </c>
      <c r="AK9" s="9" t="n">
        <v>1.42</v>
      </c>
      <c r="AL9" s="9" t="n">
        <v>-1.74</v>
      </c>
      <c r="AM9" s="9"/>
      <c r="AN9" s="9" t="n">
        <v>-2.59</v>
      </c>
      <c r="AO9" s="9" t="n">
        <v>0.78</v>
      </c>
      <c r="AP9" s="9"/>
      <c r="AQ9" s="6" t="n">
        <v>-0.62</v>
      </c>
      <c r="AR9" s="6"/>
      <c r="AS9" s="6" t="n">
        <v>-0.18</v>
      </c>
    </row>
    <row r="10" customFormat="false" ht="15" hidden="false" customHeight="true" outlineLevel="0" collapsed="false">
      <c r="A10" s="83" t="s">
        <v>157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9" t="n">
        <v>-1.2</v>
      </c>
      <c r="AC10" s="83"/>
      <c r="AD10" s="83"/>
      <c r="AE10" s="9"/>
      <c r="AF10" s="9" t="n">
        <v>0.48</v>
      </c>
      <c r="AG10" s="9" t="n">
        <v>-0.34</v>
      </c>
      <c r="AH10" s="9"/>
      <c r="AI10" s="9" t="n">
        <v>0.96</v>
      </c>
      <c r="AJ10" s="9" t="n">
        <v>-0.15</v>
      </c>
      <c r="AK10" s="9" t="n">
        <v>-0.79</v>
      </c>
      <c r="AL10" s="9"/>
      <c r="AM10" s="9" t="n">
        <v>-1.15</v>
      </c>
      <c r="AN10" s="9"/>
      <c r="AO10" s="9"/>
      <c r="AP10" s="9" t="n">
        <v>-0.5</v>
      </c>
      <c r="AQ10" s="6"/>
      <c r="AR10" s="6" t="n">
        <v>-1.21</v>
      </c>
      <c r="AS10" s="6" t="n">
        <v>-1.44</v>
      </c>
    </row>
    <row r="11" customFormat="false" ht="15" hidden="false" customHeight="true" outlineLevel="0" collapsed="false">
      <c r="A11" s="83" t="s">
        <v>158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9" t="n">
        <v>-1.3</v>
      </c>
      <c r="AC11" s="83"/>
      <c r="AD11" s="83"/>
      <c r="AE11" s="9" t="n">
        <v>0.41</v>
      </c>
      <c r="AF11" s="9" t="n">
        <v>0.31</v>
      </c>
      <c r="AG11" s="9" t="n">
        <v>-0.45</v>
      </c>
      <c r="AH11" s="9"/>
      <c r="AI11" s="9"/>
      <c r="AJ11" s="9" t="n">
        <v>0.89</v>
      </c>
      <c r="AK11" s="9" t="n">
        <v>2.56</v>
      </c>
      <c r="AL11" s="9" t="n">
        <v>1.16</v>
      </c>
      <c r="AM11" s="9"/>
      <c r="AN11" s="9" t="n">
        <v>2.02</v>
      </c>
      <c r="AO11" s="9" t="n">
        <v>0.83</v>
      </c>
      <c r="AP11" s="9" t="n">
        <v>1.78</v>
      </c>
      <c r="AQ11" s="6"/>
      <c r="AR11" s="6" t="n">
        <v>0.82</v>
      </c>
      <c r="AS11" s="6" t="n">
        <v>1.11</v>
      </c>
    </row>
    <row r="12" customFormat="false" ht="15" hidden="false" customHeight="true" outlineLevel="0" collapsed="false">
      <c r="A12" s="83" t="s">
        <v>159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9"/>
      <c r="AC12" s="83"/>
      <c r="AD12" s="83"/>
      <c r="AE12" s="9"/>
      <c r="AF12" s="9"/>
      <c r="AG12" s="9"/>
      <c r="AH12" s="9"/>
      <c r="AI12" s="9"/>
      <c r="AJ12" s="9" t="n">
        <v>0.13</v>
      </c>
      <c r="AK12" s="9"/>
      <c r="AL12" s="9"/>
      <c r="AM12" s="9" t="n">
        <v>1.21</v>
      </c>
      <c r="AN12" s="9"/>
      <c r="AO12" s="9"/>
      <c r="AP12" s="9"/>
      <c r="AQ12" s="6"/>
      <c r="AR12" s="6" t="n">
        <v>-0.22</v>
      </c>
      <c r="AS12" s="6"/>
    </row>
    <row r="13" customFormat="false" ht="15" hidden="false" customHeight="true" outlineLevel="0" collapsed="false">
      <c r="A13" s="83" t="s">
        <v>160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9" t="n">
        <v>0.09</v>
      </c>
      <c r="AC13" s="83"/>
      <c r="AD13" s="83"/>
      <c r="AE13" s="9"/>
      <c r="AF13" s="9"/>
      <c r="AG13" s="9"/>
      <c r="AH13" s="9" t="n">
        <v>0.21</v>
      </c>
      <c r="AI13" s="9" t="n">
        <v>-0.43</v>
      </c>
      <c r="AJ13" s="9" t="n">
        <v>-1.79</v>
      </c>
      <c r="AK13" s="9"/>
      <c r="AL13" s="9"/>
      <c r="AM13" s="9" t="n">
        <v>-1.26</v>
      </c>
      <c r="AN13" s="9"/>
      <c r="AO13" s="9"/>
      <c r="AP13" s="9" t="n">
        <v>0.81</v>
      </c>
      <c r="AQ13" s="6" t="n">
        <v>1</v>
      </c>
      <c r="AR13" s="6" t="n">
        <v>0.92</v>
      </c>
      <c r="AS13" s="6" t="n">
        <v>1.11</v>
      </c>
    </row>
    <row r="14" customFormat="false" ht="15" hidden="false" customHeight="true" outlineLevel="0" collapsed="false">
      <c r="A14" s="83" t="s">
        <v>161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9"/>
      <c r="AC14" s="83"/>
      <c r="AD14" s="83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6" t="n">
        <v>-1</v>
      </c>
      <c r="AR14" s="6"/>
      <c r="AS14" s="6"/>
    </row>
    <row r="15" customFormat="false" ht="15" hidden="false" customHeight="true" outlineLevel="0" collapsed="false">
      <c r="A15" s="83" t="s">
        <v>162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9"/>
      <c r="AC15" s="83"/>
      <c r="AD15" s="83"/>
      <c r="AE15" s="9"/>
      <c r="AF15" s="9"/>
      <c r="AG15" s="9"/>
      <c r="AH15" s="9" t="n">
        <v>0.39</v>
      </c>
      <c r="AI15" s="9"/>
      <c r="AJ15" s="9"/>
      <c r="AK15" s="9"/>
      <c r="AL15" s="9"/>
      <c r="AM15" s="9"/>
      <c r="AN15" s="9"/>
      <c r="AO15" s="9"/>
      <c r="AP15" s="9"/>
      <c r="AQ15" s="6"/>
      <c r="AR15" s="6"/>
      <c r="AS15" s="6"/>
    </row>
    <row r="16" customFormat="false" ht="15" hidden="false" customHeight="true" outlineLevel="0" collapsed="false">
      <c r="A16" s="83" t="s">
        <v>163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9" t="n">
        <v>1.04</v>
      </c>
      <c r="AC16" s="83"/>
      <c r="AD16" s="83"/>
      <c r="AE16" s="9" t="n">
        <v>0.09</v>
      </c>
      <c r="AF16" s="9" t="n">
        <v>1.42</v>
      </c>
      <c r="AG16" s="9" t="n">
        <v>1.67</v>
      </c>
      <c r="AH16" s="9"/>
      <c r="AI16" s="9" t="n">
        <v>0.73</v>
      </c>
      <c r="AJ16" s="9"/>
      <c r="AK16" s="9" t="n">
        <v>2.05</v>
      </c>
      <c r="AL16" s="9" t="n">
        <v>-0.1</v>
      </c>
      <c r="AM16" s="9"/>
      <c r="AN16" s="9" t="n">
        <v>0.09</v>
      </c>
      <c r="AO16" s="9" t="n">
        <v>1.51</v>
      </c>
      <c r="AP16" s="9" t="n">
        <v>-0.85</v>
      </c>
      <c r="AQ16" s="6"/>
      <c r="AR16" s="6" t="n">
        <v>-0.4</v>
      </c>
      <c r="AS16" s="6"/>
    </row>
    <row r="17" customFormat="false" ht="15" hidden="false" customHeight="true" outlineLevel="0" collapsed="false">
      <c r="A17" s="83" t="s">
        <v>164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9" t="n">
        <v>-0.11</v>
      </c>
      <c r="AC17" s="83"/>
      <c r="AD17" s="83"/>
      <c r="AE17" s="9" t="n">
        <v>0.6</v>
      </c>
      <c r="AF17" s="9" t="n">
        <v>0.05</v>
      </c>
      <c r="AG17" s="9" t="n">
        <v>2.09</v>
      </c>
      <c r="AH17" s="9"/>
      <c r="AI17" s="9" t="n">
        <v>-1.29</v>
      </c>
      <c r="AJ17" s="9" t="n">
        <v>-0.74</v>
      </c>
      <c r="AK17" s="9" t="n">
        <v>-1.03</v>
      </c>
      <c r="AL17" s="9" t="n">
        <v>-0.14</v>
      </c>
      <c r="AM17" s="9"/>
      <c r="AN17" s="9" t="n">
        <v>-0.06</v>
      </c>
      <c r="AO17" s="9" t="n">
        <v>0.44</v>
      </c>
      <c r="AP17" s="9" t="n">
        <v>0.9</v>
      </c>
      <c r="AQ17" s="6"/>
      <c r="AR17" s="6" t="n">
        <v>0.75</v>
      </c>
      <c r="AS17" s="6" t="n">
        <v>-0.38</v>
      </c>
    </row>
    <row r="18" customFormat="false" ht="15" hidden="false" customHeight="true" outlineLevel="0" collapsed="false">
      <c r="A18" s="83" t="s">
        <v>165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9"/>
      <c r="AC18" s="83"/>
      <c r="AD18" s="83"/>
      <c r="AE18" s="9"/>
      <c r="AF18" s="9"/>
      <c r="AG18" s="9"/>
      <c r="AH18" s="9" t="n">
        <v>-3.43</v>
      </c>
      <c r="AI18" s="9" t="n">
        <v>0.34</v>
      </c>
      <c r="AJ18" s="9" t="n">
        <v>0.33</v>
      </c>
      <c r="AK18" s="9"/>
      <c r="AL18" s="9"/>
      <c r="AM18" s="9" t="n">
        <v>-0.81</v>
      </c>
      <c r="AN18" s="9"/>
      <c r="AO18" s="9"/>
      <c r="AP18" s="9" t="n">
        <v>0.61</v>
      </c>
      <c r="AQ18" s="6" t="n">
        <v>-3.14</v>
      </c>
      <c r="AR18" s="6" t="n">
        <v>0.32</v>
      </c>
      <c r="AS18" s="6" t="n">
        <v>0.48</v>
      </c>
    </row>
    <row r="19" customFormat="false" ht="15" hidden="false" customHeight="true" outlineLevel="0" collapsed="false">
      <c r="A19" s="83" t="s">
        <v>167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9" t="n">
        <v>-0.27</v>
      </c>
      <c r="AC19" s="83"/>
      <c r="AD19" s="83"/>
      <c r="AE19" s="9"/>
      <c r="AF19" s="9" t="n">
        <v>-0.91</v>
      </c>
      <c r="AG19" s="9" t="n">
        <v>-0.2</v>
      </c>
      <c r="AH19" s="9"/>
      <c r="AI19" s="9"/>
      <c r="AJ19" s="9" t="n">
        <v>0.91</v>
      </c>
      <c r="AK19" s="9" t="n">
        <v>0.23</v>
      </c>
      <c r="AL19" s="9" t="n">
        <v>-1.16</v>
      </c>
      <c r="AM19" s="9"/>
      <c r="AN19" s="9" t="n">
        <v>-0.54</v>
      </c>
      <c r="AO19" s="9" t="n">
        <v>0.67</v>
      </c>
      <c r="AP19" s="9"/>
      <c r="AQ19" s="6" t="n">
        <v>-1.14</v>
      </c>
      <c r="AR19" s="6" t="n">
        <v>-0.27</v>
      </c>
      <c r="AS19" s="6"/>
    </row>
    <row r="20" customFormat="false" ht="15" hidden="false" customHeight="true" outlineLevel="0" collapsed="false">
      <c r="A20" s="83" t="s">
        <v>168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9"/>
      <c r="AC20" s="83"/>
      <c r="AD20" s="83"/>
      <c r="AE20" s="9"/>
      <c r="AF20" s="9"/>
      <c r="AG20" s="9"/>
      <c r="AH20" s="9"/>
      <c r="AI20" s="9"/>
      <c r="AJ20" s="9"/>
      <c r="AK20" s="9"/>
      <c r="AL20" s="9"/>
      <c r="AM20" s="9" t="n">
        <v>0.21</v>
      </c>
      <c r="AN20" s="9"/>
      <c r="AO20" s="9"/>
      <c r="AP20" s="9"/>
      <c r="AQ20" s="6" t="n">
        <v>-2.49</v>
      </c>
      <c r="AR20" s="6" t="n">
        <v>0.3</v>
      </c>
      <c r="AS20" s="6"/>
    </row>
    <row r="21" customFormat="false" ht="15" hidden="false" customHeight="true" outlineLevel="0" collapsed="false">
      <c r="A21" s="83" t="s">
        <v>169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9" t="n">
        <v>0.02</v>
      </c>
      <c r="AC21" s="83"/>
      <c r="AD21" s="83"/>
      <c r="AE21" s="9" t="n">
        <v>-1.48</v>
      </c>
      <c r="AF21" s="9" t="n">
        <v>0.02</v>
      </c>
      <c r="AG21" s="9"/>
      <c r="AH21" s="9"/>
      <c r="AI21" s="9" t="n">
        <v>0.62</v>
      </c>
      <c r="AJ21" s="9" t="n">
        <v>0.42</v>
      </c>
      <c r="AK21" s="9" t="n">
        <v>-0.46</v>
      </c>
      <c r="AL21" s="9"/>
      <c r="AM21" s="9" t="n">
        <v>0.46</v>
      </c>
      <c r="AN21" s="9"/>
      <c r="AO21" s="9"/>
      <c r="AP21" s="9"/>
      <c r="AQ21" s="6" t="n">
        <v>0.36</v>
      </c>
      <c r="AR21" s="6" t="n">
        <v>-0.57</v>
      </c>
      <c r="AS21" s="6" t="n">
        <v>1</v>
      </c>
    </row>
    <row r="22" customFormat="false" ht="15" hidden="false" customHeight="true" outlineLevel="0" collapsed="false">
      <c r="A22" s="83" t="s">
        <v>170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9" t="n">
        <v>0.96</v>
      </c>
      <c r="AC22" s="83"/>
      <c r="AD22" s="83"/>
      <c r="AE22" s="9" t="n">
        <v>-2.59</v>
      </c>
      <c r="AF22" s="9" t="n">
        <v>0.85</v>
      </c>
      <c r="AG22" s="9"/>
      <c r="AH22" s="9" t="n">
        <v>-0.12</v>
      </c>
      <c r="AI22" s="9"/>
      <c r="AJ22" s="9" t="n">
        <v>-0.42</v>
      </c>
      <c r="AK22" s="9" t="n">
        <v>-0.35</v>
      </c>
      <c r="AL22" s="9" t="n">
        <v>0.31</v>
      </c>
      <c r="AM22" s="9"/>
      <c r="AN22" s="9" t="n">
        <v>0.19</v>
      </c>
      <c r="AO22" s="9" t="n">
        <v>-0.17</v>
      </c>
      <c r="AP22" s="9" t="n">
        <v>-1.95</v>
      </c>
      <c r="AQ22" s="6"/>
      <c r="AR22" s="6" t="n">
        <v>-1.47</v>
      </c>
      <c r="AS22" s="6" t="n">
        <v>0.17</v>
      </c>
    </row>
    <row r="23" customFormat="false" ht="15" hidden="false" customHeight="true" outlineLevel="0" collapsed="false">
      <c r="A23" s="83" t="s">
        <v>172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9"/>
      <c r="AC23" s="83"/>
      <c r="AD23" s="83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6"/>
      <c r="AR23" s="6"/>
      <c r="AS23" s="6"/>
    </row>
    <row r="24" customFormat="false" ht="15" hidden="false" customHeight="true" outlineLevel="0" collapsed="false">
      <c r="A24" s="83" t="s">
        <v>173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9"/>
      <c r="AC24" s="83"/>
      <c r="AD24" s="83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6"/>
      <c r="AR24" s="6"/>
      <c r="AS24" s="6"/>
    </row>
    <row r="25" customFormat="false" ht="15" hidden="false" customHeight="true" outlineLevel="0" collapsed="false">
      <c r="A25" s="83" t="s">
        <v>174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9"/>
      <c r="AC25" s="83"/>
      <c r="AD25" s="83"/>
      <c r="AE25" s="9"/>
      <c r="AF25" s="9"/>
      <c r="AG25" s="9"/>
      <c r="AH25" s="9" t="n">
        <v>-0.21</v>
      </c>
      <c r="AI25" s="9" t="n">
        <v>0.41</v>
      </c>
      <c r="AJ25" s="9" t="n">
        <v>-0.24</v>
      </c>
      <c r="AK25" s="9"/>
      <c r="AL25" s="9"/>
      <c r="AM25" s="9" t="n">
        <v>-0.4</v>
      </c>
      <c r="AN25" s="9"/>
      <c r="AO25" s="9"/>
      <c r="AP25" s="9" t="n">
        <v>-1.47</v>
      </c>
      <c r="AQ25" s="6" t="n">
        <v>-1.5</v>
      </c>
      <c r="AR25" s="6" t="n">
        <v>-1.16</v>
      </c>
      <c r="AS25" s="6" t="n">
        <v>-0.88</v>
      </c>
    </row>
    <row r="26" customFormat="false" ht="15" hidden="false" customHeight="true" outlineLevel="0" collapsed="false">
      <c r="A26" s="83" t="s">
        <v>175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9"/>
      <c r="AC26" s="83"/>
      <c r="AD26" s="83"/>
      <c r="AE26" s="9"/>
      <c r="AF26" s="9"/>
      <c r="AG26" s="9"/>
      <c r="AH26" s="9" t="n">
        <v>0.39</v>
      </c>
      <c r="AI26" s="9" t="n">
        <v>-1.56</v>
      </c>
      <c r="AJ26" s="9" t="n">
        <v>-2.58</v>
      </c>
      <c r="AK26" s="9"/>
      <c r="AL26" s="9"/>
      <c r="AM26" s="9" t="n">
        <v>-0.28</v>
      </c>
      <c r="AN26" s="9"/>
      <c r="AO26" s="9"/>
      <c r="AP26" s="9"/>
      <c r="AQ26" s="6" t="n">
        <v>-2.35</v>
      </c>
      <c r="AR26" s="6"/>
      <c r="AS26" s="6" t="n">
        <v>-1.66</v>
      </c>
    </row>
    <row r="27" customFormat="false" ht="15" hidden="false" customHeight="true" outlineLevel="0" collapsed="false">
      <c r="A27" s="83" t="s">
        <v>176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9" t="n">
        <v>0.42</v>
      </c>
      <c r="AC27" s="83"/>
      <c r="AD27" s="83"/>
      <c r="AE27" s="9"/>
      <c r="AF27" s="9" t="n">
        <v>1.45</v>
      </c>
      <c r="AG27" s="9" t="n">
        <v>-0.05</v>
      </c>
      <c r="AH27" s="9"/>
      <c r="AI27" s="9" t="n">
        <v>-1.67</v>
      </c>
      <c r="AJ27" s="9" t="n">
        <v>-0.75</v>
      </c>
      <c r="AK27" s="9" t="n">
        <v>-0.36</v>
      </c>
      <c r="AL27" s="9"/>
      <c r="AM27" s="9"/>
      <c r="AN27" s="9" t="n">
        <v>-1.65</v>
      </c>
      <c r="AO27" s="9" t="n">
        <v>-1.54</v>
      </c>
      <c r="AP27" s="9" t="n">
        <v>0.24</v>
      </c>
      <c r="AQ27" s="6" t="n">
        <v>-0.16</v>
      </c>
      <c r="AR27" s="6" t="n">
        <v>1.24</v>
      </c>
      <c r="AS27" s="6"/>
    </row>
    <row r="28" customFormat="false" ht="15" hidden="false" customHeight="true" outlineLevel="0" collapsed="false">
      <c r="A28" s="83" t="s">
        <v>177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9"/>
      <c r="AC28" s="83"/>
      <c r="AD28" s="83"/>
      <c r="AE28" s="9"/>
      <c r="AF28" s="9"/>
      <c r="AG28" s="9"/>
      <c r="AH28" s="9" t="n">
        <v>0.63</v>
      </c>
      <c r="AI28" s="9" t="n">
        <v>0.79</v>
      </c>
      <c r="AJ28" s="9" t="n">
        <v>-1.09</v>
      </c>
      <c r="AK28" s="9" t="n">
        <v>1.35</v>
      </c>
      <c r="AL28" s="9"/>
      <c r="AM28" s="9" t="n">
        <v>0.85</v>
      </c>
      <c r="AN28" s="9"/>
      <c r="AO28" s="9"/>
      <c r="AP28" s="9" t="n">
        <v>-0.89</v>
      </c>
      <c r="AQ28" s="6" t="n">
        <v>-0.28</v>
      </c>
      <c r="AR28" s="6" t="n">
        <v>1.08</v>
      </c>
      <c r="AS28" s="6" t="n">
        <v>-1</v>
      </c>
    </row>
    <row r="29" customFormat="false" ht="15" hidden="false" customHeight="true" outlineLevel="0" collapsed="false">
      <c r="A29" s="83" t="s">
        <v>178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9"/>
      <c r="AC29" s="83"/>
      <c r="AD29" s="83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6"/>
      <c r="AR29" s="6"/>
      <c r="AS29" s="6"/>
    </row>
    <row r="30" customFormat="false" ht="15" hidden="false" customHeight="true" outlineLevel="0" collapsed="false">
      <c r="A30" s="83" t="s">
        <v>179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9" t="n">
        <v>-0.7</v>
      </c>
      <c r="AC30" s="83"/>
      <c r="AD30" s="83"/>
      <c r="AE30" s="9" t="n">
        <v>0.78</v>
      </c>
      <c r="AF30" s="9" t="n">
        <v>0.77</v>
      </c>
      <c r="AG30" s="9" t="n">
        <v>-0.21</v>
      </c>
      <c r="AH30" s="9"/>
      <c r="AI30" s="9"/>
      <c r="AJ30" s="9" t="n">
        <v>-0.05</v>
      </c>
      <c r="AK30" s="9" t="n">
        <v>0.24</v>
      </c>
      <c r="AL30" s="9" t="n">
        <v>-1.15</v>
      </c>
      <c r="AM30" s="9"/>
      <c r="AN30" s="9" t="n">
        <v>0.32</v>
      </c>
      <c r="AO30" s="9" t="n">
        <v>-0.99</v>
      </c>
      <c r="AP30" s="9" t="n">
        <v>-0.43</v>
      </c>
      <c r="AQ30" s="6"/>
      <c r="AR30" s="6"/>
      <c r="AS30" s="6" t="n">
        <v>-0.81</v>
      </c>
    </row>
    <row r="31" customFormat="false" ht="15" hidden="false" customHeight="true" outlineLevel="0" collapsed="false">
      <c r="A31" s="83" t="s">
        <v>180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9" t="n">
        <v>1.32</v>
      </c>
      <c r="AC31" s="83"/>
      <c r="AD31" s="83"/>
      <c r="AE31" s="9" t="n">
        <v>-0.09</v>
      </c>
      <c r="AF31" s="9" t="n">
        <v>0.25</v>
      </c>
      <c r="AG31" s="9"/>
      <c r="AH31" s="9"/>
      <c r="AI31" s="9" t="n">
        <v>-1.15</v>
      </c>
      <c r="AJ31" s="9" t="n">
        <v>0.8</v>
      </c>
      <c r="AK31" s="9" t="n">
        <v>-2</v>
      </c>
      <c r="AL31" s="9" t="n">
        <v>0.11</v>
      </c>
      <c r="AM31" s="9"/>
      <c r="AN31" s="9" t="n">
        <v>0.39</v>
      </c>
      <c r="AO31" s="9" t="n">
        <v>-0.35</v>
      </c>
      <c r="AP31" s="9" t="n">
        <v>-0.08</v>
      </c>
      <c r="AQ31" s="6" t="n">
        <v>0.92</v>
      </c>
      <c r="AR31" s="6" t="n">
        <v>-0.94</v>
      </c>
      <c r="AS31" s="6" t="n">
        <v>0.59</v>
      </c>
    </row>
    <row r="32" customFormat="false" ht="15" hidden="false" customHeight="true" outlineLevel="0" collapsed="false">
      <c r="A32" s="83" t="s">
        <v>181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9"/>
      <c r="AC32" s="83"/>
      <c r="AD32" s="83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6"/>
      <c r="AR32" s="6"/>
      <c r="AS32" s="6"/>
    </row>
    <row r="33" customFormat="false" ht="15" hidden="false" customHeight="true" outlineLevel="0" collapsed="false">
      <c r="A33" s="83" t="s">
        <v>183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9"/>
      <c r="AC33" s="83"/>
      <c r="AD33" s="83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6"/>
      <c r="AR33" s="6"/>
      <c r="AS33" s="6"/>
    </row>
    <row r="34" customFormat="false" ht="15" hidden="false" customHeight="true" outlineLevel="0" collapsed="false">
      <c r="A34" s="83" t="s">
        <v>184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9"/>
      <c r="AC34" s="83"/>
      <c r="AD34" s="83"/>
      <c r="AE34" s="9" t="n">
        <v>1.06</v>
      </c>
      <c r="AF34" s="9"/>
      <c r="AG34" s="9"/>
      <c r="AH34" s="9" t="n">
        <v>-1.22</v>
      </c>
      <c r="AI34" s="9"/>
      <c r="AJ34" s="9"/>
      <c r="AK34" s="9" t="n">
        <v>-1.94</v>
      </c>
      <c r="AL34" s="9" t="n">
        <v>-1.38</v>
      </c>
      <c r="AM34" s="9" t="n">
        <v>-0.18</v>
      </c>
      <c r="AN34" s="9"/>
      <c r="AO34" s="9"/>
      <c r="AP34" s="9" t="n">
        <v>-1.19</v>
      </c>
      <c r="AQ34" s="6" t="n">
        <v>0.99</v>
      </c>
      <c r="AR34" s="6" t="n">
        <v>-0.35</v>
      </c>
      <c r="AS34" s="6"/>
    </row>
    <row r="35" customFormat="false" ht="15" hidden="false" customHeight="true" outlineLevel="0" collapsed="false">
      <c r="A35" s="83" t="s">
        <v>185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9"/>
      <c r="AC35" s="83"/>
      <c r="AD35" s="83"/>
      <c r="AE35" s="9"/>
      <c r="AF35" s="9"/>
      <c r="AG35" s="9"/>
      <c r="AH35" s="9"/>
      <c r="AI35" s="9"/>
      <c r="AJ35" s="9" t="n">
        <v>-0.05</v>
      </c>
      <c r="AK35" s="9" t="n">
        <v>-0.57</v>
      </c>
      <c r="AL35" s="9"/>
      <c r="AM35" s="9" t="n">
        <v>-1.25</v>
      </c>
      <c r="AN35" s="9"/>
      <c r="AO35" s="9"/>
      <c r="AP35" s="9" t="n">
        <v>-0.73</v>
      </c>
      <c r="AQ35" s="6" t="n">
        <v>-0.4</v>
      </c>
      <c r="AR35" s="6" t="n">
        <v>-0.45</v>
      </c>
      <c r="AS35" s="6" t="n">
        <v>-1.23</v>
      </c>
    </row>
    <row r="36" customFormat="false" ht="15" hidden="false" customHeight="true" outlineLevel="0" collapsed="false">
      <c r="A36" s="83" t="s">
        <v>186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9" t="n">
        <v>0.02</v>
      </c>
      <c r="AC36" s="83"/>
      <c r="AD36" s="83"/>
      <c r="AE36" s="9" t="n">
        <v>0.51</v>
      </c>
      <c r="AF36" s="9" t="n">
        <v>0.86</v>
      </c>
      <c r="AG36" s="9" t="n">
        <v>1.06</v>
      </c>
      <c r="AH36" s="9"/>
      <c r="AI36" s="9" t="n">
        <v>1.52</v>
      </c>
      <c r="AJ36" s="9"/>
      <c r="AK36" s="9" t="n">
        <v>-0.53</v>
      </c>
      <c r="AL36" s="9" t="n">
        <v>-0.58</v>
      </c>
      <c r="AM36" s="9"/>
      <c r="AN36" s="9" t="n">
        <v>-0.31</v>
      </c>
      <c r="AO36" s="9" t="n">
        <v>1.2</v>
      </c>
      <c r="AP36" s="9"/>
      <c r="AQ36" s="6" t="n">
        <v>-0.22</v>
      </c>
      <c r="AR36" s="6" t="n">
        <v>2.93</v>
      </c>
      <c r="AS36" s="6"/>
    </row>
    <row r="37" customFormat="false" ht="15" hidden="false" customHeight="true" outlineLevel="0" collapsed="false">
      <c r="A37" s="83" t="s">
        <v>187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9" t="n">
        <v>0.2</v>
      </c>
      <c r="AC37" s="83"/>
      <c r="AD37" s="83"/>
      <c r="AE37" s="9"/>
      <c r="AF37" s="9"/>
      <c r="AG37" s="9" t="n">
        <v>0.64</v>
      </c>
      <c r="AH37" s="9"/>
      <c r="AI37" s="9"/>
      <c r="AJ37" s="9"/>
      <c r="AK37" s="9"/>
      <c r="AL37" s="9"/>
      <c r="AM37" s="9"/>
      <c r="AN37" s="9"/>
      <c r="AO37" s="9"/>
      <c r="AP37" s="9"/>
      <c r="AQ37" s="6"/>
      <c r="AR37" s="6"/>
      <c r="AS37" s="6"/>
    </row>
    <row r="38" customFormat="false" ht="15" hidden="false" customHeight="true" outlineLevel="0" collapsed="false">
      <c r="A38" s="83" t="s">
        <v>189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9"/>
      <c r="AC38" s="83"/>
      <c r="AD38" s="83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6"/>
      <c r="AR38" s="6"/>
      <c r="AS38" s="6"/>
    </row>
    <row r="39" customFormat="false" ht="15" hidden="false" customHeight="true" outlineLevel="0" collapsed="false">
      <c r="A39" s="83" t="s">
        <v>190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9" t="n">
        <v>-0.96</v>
      </c>
      <c r="AC39" s="83"/>
      <c r="AD39" s="83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6"/>
      <c r="AR39" s="6"/>
      <c r="AS39" s="6"/>
    </row>
    <row r="40" customFormat="false" ht="15" hidden="false" customHeight="true" outlineLevel="0" collapsed="false">
      <c r="A40" s="83" t="s">
        <v>191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9"/>
      <c r="AC40" s="83"/>
      <c r="AD40" s="83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6"/>
      <c r="AR40" s="6"/>
      <c r="AS40" s="6"/>
    </row>
    <row r="41" customFormat="false" ht="15" hidden="false" customHeight="true" outlineLevel="0" collapsed="false">
      <c r="A41" s="83" t="s">
        <v>192</v>
      </c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9"/>
      <c r="AC41" s="83"/>
      <c r="AD41" s="83"/>
      <c r="AE41" s="9"/>
      <c r="AF41" s="9"/>
      <c r="AG41" s="9"/>
      <c r="AH41" s="9" t="n">
        <v>-2.05</v>
      </c>
      <c r="AI41" s="9" t="n">
        <v>0.62</v>
      </c>
      <c r="AJ41" s="9" t="n">
        <v>-0.07</v>
      </c>
      <c r="AK41" s="9" t="n">
        <v>-0.36</v>
      </c>
      <c r="AL41" s="9"/>
      <c r="AM41" s="9" t="n">
        <v>-0.34</v>
      </c>
      <c r="AN41" s="9"/>
      <c r="AO41" s="9"/>
      <c r="AP41" s="9" t="n">
        <v>1.06</v>
      </c>
      <c r="AQ41" s="6" t="n">
        <v>0.16</v>
      </c>
      <c r="AR41" s="6" t="n">
        <v>-1.23</v>
      </c>
      <c r="AS41" s="6" t="n">
        <v>-0.12</v>
      </c>
    </row>
    <row r="42" customFormat="false" ht="15" hidden="false" customHeight="true" outlineLevel="0" collapsed="false">
      <c r="A42" s="83" t="s">
        <v>193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9" t="n">
        <v>0.08</v>
      </c>
      <c r="AC42" s="83"/>
      <c r="AD42" s="83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6"/>
      <c r="AR42" s="6" t="n">
        <v>0.29</v>
      </c>
      <c r="AS42" s="6"/>
    </row>
    <row r="43" customFormat="false" ht="15" hidden="false" customHeight="true" outlineLevel="0" collapsed="false">
      <c r="A43" s="83" t="s">
        <v>194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9"/>
      <c r="AC43" s="83"/>
      <c r="AD43" s="83"/>
      <c r="AE43" s="9"/>
      <c r="AF43" s="9"/>
      <c r="AG43" s="9"/>
      <c r="AH43" s="9" t="n">
        <v>-0.61</v>
      </c>
      <c r="AI43" s="9" t="n">
        <v>1.09</v>
      </c>
      <c r="AJ43" s="9" t="n">
        <v>-0.08</v>
      </c>
      <c r="AK43" s="9"/>
      <c r="AL43" s="9"/>
      <c r="AM43" s="9" t="n">
        <v>-0.04</v>
      </c>
      <c r="AN43" s="9"/>
      <c r="AO43" s="9"/>
      <c r="AP43" s="9" t="n">
        <v>-0.44</v>
      </c>
      <c r="AQ43" s="6" t="n">
        <v>-2.29</v>
      </c>
      <c r="AR43" s="6" t="n">
        <v>1.57</v>
      </c>
      <c r="AS43" s="6" t="n">
        <v>-0.81</v>
      </c>
    </row>
    <row r="44" customFormat="false" ht="15" hidden="false" customHeight="true" outlineLevel="0" collapsed="false">
      <c r="A44" s="83" t="s">
        <v>195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9"/>
      <c r="AC44" s="83"/>
      <c r="AD44" s="83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6"/>
      <c r="AR44" s="6"/>
      <c r="AS44" s="6"/>
    </row>
    <row r="45" customFormat="false" ht="15" hidden="false" customHeight="true" outlineLevel="0" collapsed="false">
      <c r="A45" s="83" t="s">
        <v>196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9"/>
      <c r="AC45" s="83"/>
      <c r="AD45" s="83"/>
      <c r="AE45" s="9"/>
      <c r="AF45" s="9"/>
      <c r="AG45" s="9"/>
      <c r="AH45" s="9" t="n">
        <v>-1.46</v>
      </c>
      <c r="AI45" s="9" t="n">
        <v>0.86</v>
      </c>
      <c r="AJ45" s="9" t="n">
        <v>1.04</v>
      </c>
      <c r="AK45" s="9"/>
      <c r="AL45" s="9"/>
      <c r="AM45" s="9" t="n">
        <v>0.79</v>
      </c>
      <c r="AN45" s="9"/>
      <c r="AO45" s="9"/>
      <c r="AP45" s="9"/>
      <c r="AQ45" s="6"/>
      <c r="AR45" s="6" t="n">
        <v>-0.71</v>
      </c>
      <c r="AS45" s="6" t="n">
        <v>-0.09</v>
      </c>
    </row>
    <row r="46" customFormat="false" ht="15" hidden="false" customHeight="true" outlineLevel="0" collapsed="false">
      <c r="A46" s="83" t="s">
        <v>198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9" t="n">
        <v>-1.32</v>
      </c>
      <c r="AC46" s="83"/>
      <c r="AD46" s="83"/>
      <c r="AE46" s="9" t="n">
        <v>0.59</v>
      </c>
      <c r="AF46" s="9" t="n">
        <v>-0.48</v>
      </c>
      <c r="AG46" s="9" t="n">
        <v>-0.25</v>
      </c>
      <c r="AH46" s="9"/>
      <c r="AI46" s="9" t="n">
        <v>0.53</v>
      </c>
      <c r="AJ46" s="9"/>
      <c r="AK46" s="9" t="n">
        <v>0.04</v>
      </c>
      <c r="AL46" s="9" t="n">
        <v>0.77</v>
      </c>
      <c r="AM46" s="9" t="n">
        <v>1.04</v>
      </c>
      <c r="AN46" s="9" t="n">
        <v>-1.14</v>
      </c>
      <c r="AO46" s="9" t="n">
        <v>0.37</v>
      </c>
      <c r="AP46" s="9" t="n">
        <v>-0.68</v>
      </c>
      <c r="AQ46" s="6"/>
      <c r="AR46" s="6" t="n">
        <v>-0.06</v>
      </c>
      <c r="AS46" s="6" t="n">
        <v>-2.68</v>
      </c>
    </row>
    <row r="47" customFormat="false" ht="15" hidden="false" customHeight="true" outlineLevel="0" collapsed="false">
      <c r="A47" s="83" t="s">
        <v>199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9"/>
      <c r="AC47" s="83"/>
      <c r="AD47" s="83"/>
      <c r="AE47" s="9"/>
      <c r="AF47" s="9"/>
      <c r="AG47" s="9"/>
      <c r="AH47" s="9" t="n">
        <v>0.12</v>
      </c>
      <c r="AI47" s="9" t="n">
        <v>0.56</v>
      </c>
      <c r="AJ47" s="9" t="n">
        <v>-0.73</v>
      </c>
      <c r="AK47" s="9"/>
      <c r="AL47" s="9"/>
      <c r="AM47" s="9" t="n">
        <v>-0.49</v>
      </c>
      <c r="AN47" s="9"/>
      <c r="AO47" s="9"/>
      <c r="AP47" s="9" t="n">
        <v>-1.34</v>
      </c>
      <c r="AQ47" s="6" t="n">
        <v>-0.58</v>
      </c>
      <c r="AR47" s="6" t="n">
        <v>0.7</v>
      </c>
      <c r="AS47" s="6" t="n">
        <v>0</v>
      </c>
    </row>
    <row r="48" customFormat="false" ht="15" hidden="false" customHeight="true" outlineLevel="0" collapsed="false">
      <c r="A48" s="83" t="s">
        <v>201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9" t="n">
        <v>0.75</v>
      </c>
      <c r="AC48" s="83"/>
      <c r="AD48" s="83"/>
      <c r="AE48" s="9" t="n">
        <v>-1.13</v>
      </c>
      <c r="AF48" s="9" t="n">
        <v>1.64</v>
      </c>
      <c r="AG48" s="9" t="n">
        <v>1.4</v>
      </c>
      <c r="AH48" s="9"/>
      <c r="AI48" s="9" t="n">
        <v>1.04</v>
      </c>
      <c r="AJ48" s="9"/>
      <c r="AK48" s="9" t="n">
        <v>1.78</v>
      </c>
      <c r="AL48" s="9" t="n">
        <v>0.52</v>
      </c>
      <c r="AM48" s="9"/>
      <c r="AN48" s="9" t="n">
        <v>0.99</v>
      </c>
      <c r="AO48" s="9" t="n">
        <v>1.04</v>
      </c>
      <c r="AP48" s="9" t="n">
        <v>0.37</v>
      </c>
      <c r="AQ48" s="6" t="n">
        <v>-0.16</v>
      </c>
      <c r="AR48" s="6" t="n">
        <v>0.45</v>
      </c>
      <c r="AS48" s="6"/>
    </row>
    <row r="49" customFormat="false" ht="15" hidden="false" customHeight="true" outlineLevel="0" collapsed="false">
      <c r="A49" s="83" t="s">
        <v>202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9"/>
      <c r="AC49" s="83"/>
      <c r="AD49" s="83"/>
      <c r="AE49" s="9"/>
      <c r="AF49" s="9"/>
      <c r="AG49" s="9"/>
      <c r="AH49" s="9" t="n">
        <v>1.34</v>
      </c>
      <c r="AI49" s="9" t="n">
        <v>0.3</v>
      </c>
      <c r="AJ49" s="9" t="n">
        <v>1.01</v>
      </c>
      <c r="AK49" s="9" t="n">
        <v>-0.04</v>
      </c>
      <c r="AL49" s="9"/>
      <c r="AM49" s="9" t="n">
        <v>1.25</v>
      </c>
      <c r="AN49" s="9"/>
      <c r="AO49" s="9"/>
      <c r="AP49" s="9" t="n">
        <v>-0.5</v>
      </c>
      <c r="AQ49" s="6" t="n">
        <v>1.2</v>
      </c>
      <c r="AR49" s="6" t="n">
        <v>0.19</v>
      </c>
      <c r="AS49" s="6" t="n">
        <v>-1.37</v>
      </c>
    </row>
    <row r="50" customFormat="false" ht="15" hidden="false" customHeight="true" outlineLevel="0" collapsed="false">
      <c r="A50" s="83" t="s">
        <v>204</v>
      </c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9"/>
      <c r="AC50" s="83"/>
      <c r="AD50" s="83"/>
      <c r="AE50" s="9"/>
      <c r="AF50" s="9" t="n">
        <v>-0.46</v>
      </c>
      <c r="AG50" s="9"/>
      <c r="AH50" s="9" t="n">
        <v>-0.09</v>
      </c>
      <c r="AI50" s="9" t="n">
        <v>0.31</v>
      </c>
      <c r="AJ50" s="9" t="n">
        <v>-0.35</v>
      </c>
      <c r="AK50" s="9" t="n">
        <v>-0.49</v>
      </c>
      <c r="AL50" s="9"/>
      <c r="AM50" s="9"/>
      <c r="AN50" s="9" t="n">
        <v>0.34</v>
      </c>
      <c r="AO50" s="9" t="n">
        <v>2.22</v>
      </c>
      <c r="AP50" s="9" t="n">
        <v>0.25</v>
      </c>
      <c r="AQ50" s="6" t="n">
        <v>-0.1</v>
      </c>
      <c r="AR50" s="6" t="n">
        <v>-1.77</v>
      </c>
      <c r="AS50" s="6" t="n">
        <v>-1.12</v>
      </c>
    </row>
    <row r="51" customFormat="false" ht="15" hidden="false" customHeight="true" outlineLevel="0" collapsed="false">
      <c r="A51" s="83" t="s">
        <v>205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9"/>
      <c r="AC51" s="83"/>
      <c r="AD51" s="83"/>
      <c r="AE51" s="9"/>
      <c r="AF51" s="9"/>
      <c r="AG51" s="9"/>
      <c r="AH51" s="9" t="n">
        <v>-1.7</v>
      </c>
      <c r="AI51" s="9" t="n">
        <v>0.3</v>
      </c>
      <c r="AJ51" s="9" t="n">
        <v>-0.3</v>
      </c>
      <c r="AK51" s="9"/>
      <c r="AL51" s="9"/>
      <c r="AM51" s="9" t="n">
        <v>1.11</v>
      </c>
      <c r="AN51" s="9"/>
      <c r="AO51" s="9"/>
      <c r="AP51" s="9"/>
      <c r="AQ51" s="6" t="n">
        <v>-0.03</v>
      </c>
      <c r="AR51" s="6" t="n">
        <v>-0.6</v>
      </c>
      <c r="AS51" s="6"/>
    </row>
    <row r="52" customFormat="false" ht="15" hidden="false" customHeight="true" outlineLevel="0" collapsed="false">
      <c r="A52" s="83" t="s">
        <v>206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9" t="n">
        <v>0.79</v>
      </c>
      <c r="AC52" s="83"/>
      <c r="AD52" s="83"/>
      <c r="AE52" s="9"/>
      <c r="AF52" s="9" t="n">
        <v>0.93</v>
      </c>
      <c r="AG52" s="9"/>
      <c r="AH52" s="9" t="n">
        <v>0.82</v>
      </c>
      <c r="AI52" s="9" t="n">
        <v>0.01</v>
      </c>
      <c r="AJ52" s="9" t="n">
        <v>-0.81</v>
      </c>
      <c r="AK52" s="9" t="n">
        <v>0.37</v>
      </c>
      <c r="AL52" s="9"/>
      <c r="AM52" s="9" t="n">
        <v>-0.43</v>
      </c>
      <c r="AN52" s="9"/>
      <c r="AO52" s="9" t="n">
        <v>0.07</v>
      </c>
      <c r="AP52" s="9"/>
      <c r="AQ52" s="6" t="n">
        <v>0.16</v>
      </c>
      <c r="AR52" s="6" t="n">
        <v>0.02</v>
      </c>
      <c r="AS52" s="6" t="n">
        <v>0.36</v>
      </c>
    </row>
    <row r="53" customFormat="false" ht="15" hidden="false" customHeight="true" outlineLevel="0" collapsed="false">
      <c r="A53" s="83" t="s">
        <v>207</v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9" t="n">
        <v>-0.02</v>
      </c>
      <c r="AC53" s="83"/>
      <c r="AD53" s="83"/>
      <c r="AE53" s="9" t="n">
        <v>-0.73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6"/>
      <c r="AR53" s="6"/>
      <c r="AS53" s="6"/>
    </row>
    <row r="54" customFormat="false" ht="15" hidden="false" customHeight="true" outlineLevel="0" collapsed="false">
      <c r="A54" s="83" t="s">
        <v>208</v>
      </c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9" t="n">
        <v>0.27</v>
      </c>
      <c r="AC54" s="83"/>
      <c r="AD54" s="83"/>
      <c r="AE54" s="9"/>
      <c r="AF54" s="9" t="n">
        <v>1.09</v>
      </c>
      <c r="AG54" s="9" t="n">
        <v>-0.26</v>
      </c>
      <c r="AH54" s="9"/>
      <c r="AI54" s="9"/>
      <c r="AJ54" s="9" t="n">
        <v>0.15</v>
      </c>
      <c r="AK54" s="9" t="n">
        <v>0.49</v>
      </c>
      <c r="AL54" s="9" t="n">
        <v>0.82</v>
      </c>
      <c r="AM54" s="9"/>
      <c r="AN54" s="9" t="n">
        <v>-0.87</v>
      </c>
      <c r="AO54" s="9" t="n">
        <v>0.14</v>
      </c>
      <c r="AP54" s="9" t="n">
        <v>-0.35</v>
      </c>
      <c r="AQ54" s="6"/>
      <c r="AR54" s="6" t="n">
        <v>-0.43</v>
      </c>
      <c r="AS54" s="6"/>
    </row>
    <row r="55" customFormat="false" ht="15" hidden="false" customHeight="true" outlineLevel="0" collapsed="false">
      <c r="A55" s="83" t="s">
        <v>209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9" t="n">
        <v>-0.33</v>
      </c>
      <c r="AC55" s="83"/>
      <c r="AD55" s="83"/>
      <c r="AE55" s="9" t="n">
        <v>0.36</v>
      </c>
      <c r="AF55" s="9" t="n">
        <v>0.32</v>
      </c>
      <c r="AG55" s="9" t="n">
        <v>1.13</v>
      </c>
      <c r="AH55" s="9" t="n">
        <v>-0.07</v>
      </c>
      <c r="AI55" s="9"/>
      <c r="AJ55" s="9"/>
      <c r="AK55" s="9" t="n">
        <v>-0.56</v>
      </c>
      <c r="AL55" s="9" t="n">
        <v>-1.15</v>
      </c>
      <c r="AM55" s="9"/>
      <c r="AN55" s="9" t="n">
        <v>0.57</v>
      </c>
      <c r="AO55" s="9" t="n">
        <v>0.56</v>
      </c>
      <c r="AP55" s="9"/>
      <c r="AQ55" s="6"/>
      <c r="AR55" s="6"/>
      <c r="AS55" s="6"/>
    </row>
    <row r="56" customFormat="false" ht="15" hidden="false" customHeight="true" outlineLevel="0" collapsed="false">
      <c r="A56" s="83" t="s">
        <v>210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9"/>
      <c r="AC56" s="83"/>
      <c r="AD56" s="83"/>
      <c r="AE56" s="9"/>
      <c r="AF56" s="9"/>
      <c r="AG56" s="9"/>
      <c r="AH56" s="9" t="n">
        <v>0.42</v>
      </c>
      <c r="AI56" s="9" t="n">
        <v>-0.78</v>
      </c>
      <c r="AJ56" s="9" t="n">
        <v>0.15</v>
      </c>
      <c r="AK56" s="9" t="n">
        <v>0.25</v>
      </c>
      <c r="AL56" s="9"/>
      <c r="AM56" s="9" t="n">
        <v>-0.21</v>
      </c>
      <c r="AN56" s="9"/>
      <c r="AO56" s="9"/>
      <c r="AP56" s="9"/>
      <c r="AQ56" s="6" t="n">
        <v>-0.58</v>
      </c>
      <c r="AR56" s="6" t="n">
        <v>0.72</v>
      </c>
      <c r="AS56" s="6" t="n">
        <v>-0.62</v>
      </c>
    </row>
    <row r="57" customFormat="false" ht="15" hidden="false" customHeight="true" outlineLevel="0" collapsed="false">
      <c r="A57" s="83" t="s">
        <v>212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9" t="n">
        <v>-0.48</v>
      </c>
      <c r="AC57" s="83"/>
      <c r="AD57" s="83"/>
      <c r="AE57" s="9" t="n">
        <v>0.35</v>
      </c>
      <c r="AF57" s="9" t="n">
        <v>0.2</v>
      </c>
      <c r="AG57" s="9"/>
      <c r="AH57" s="9" t="n">
        <v>-0.99</v>
      </c>
      <c r="AI57" s="9" t="n">
        <v>0.24</v>
      </c>
      <c r="AJ57" s="9"/>
      <c r="AK57" s="9" t="n">
        <v>0.67</v>
      </c>
      <c r="AL57" s="9" t="n">
        <v>1.36</v>
      </c>
      <c r="AM57" s="9"/>
      <c r="AN57" s="9" t="n">
        <v>1.04</v>
      </c>
      <c r="AO57" s="9" t="n">
        <v>0.99</v>
      </c>
      <c r="AP57" s="9" t="n">
        <v>0.92</v>
      </c>
      <c r="AQ57" s="6"/>
      <c r="AR57" s="6" t="n">
        <v>-0.2</v>
      </c>
      <c r="AS57" s="6"/>
    </row>
    <row r="58" customFormat="false" ht="15" hidden="false" customHeight="true" outlineLevel="0" collapsed="false">
      <c r="A58" s="83" t="s">
        <v>213</v>
      </c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9" t="n">
        <v>-0.23</v>
      </c>
      <c r="AC58" s="83"/>
      <c r="AD58" s="83"/>
      <c r="AE58" s="9" t="n">
        <v>-0.71</v>
      </c>
      <c r="AF58" s="9" t="n">
        <v>0.18</v>
      </c>
      <c r="AG58" s="9" t="n">
        <v>-0.77</v>
      </c>
      <c r="AH58" s="9"/>
      <c r="AI58" s="9" t="n">
        <v>-0.54</v>
      </c>
      <c r="AJ58" s="9"/>
      <c r="AK58" s="9"/>
      <c r="AL58" s="9" t="n">
        <v>-0.02</v>
      </c>
      <c r="AM58" s="9"/>
      <c r="AN58" s="9" t="n">
        <v>1.14</v>
      </c>
      <c r="AO58" s="9" t="n">
        <v>0.37</v>
      </c>
      <c r="AP58" s="9" t="n">
        <v>0.57</v>
      </c>
      <c r="AQ58" s="6"/>
      <c r="AR58" s="6"/>
      <c r="AS58" s="6"/>
    </row>
    <row r="59" customFormat="false" ht="15" hidden="false" customHeight="true" outlineLevel="0" collapsed="false">
      <c r="A59" s="83" t="s">
        <v>214</v>
      </c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9"/>
      <c r="AC59" s="83"/>
      <c r="AD59" s="83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6"/>
      <c r="AR59" s="6"/>
      <c r="AS59" s="6"/>
    </row>
    <row r="60" customFormat="false" ht="15" hidden="false" customHeight="true" outlineLevel="0" collapsed="false">
      <c r="A60" s="83" t="s">
        <v>215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9"/>
      <c r="AC60" s="83"/>
      <c r="AD60" s="83"/>
      <c r="AE60" s="9"/>
      <c r="AF60" s="9"/>
      <c r="AG60" s="9" t="n">
        <v>-0.75</v>
      </c>
      <c r="AH60" s="9"/>
      <c r="AI60" s="9"/>
      <c r="AJ60" s="9"/>
      <c r="AK60" s="9"/>
      <c r="AL60" s="9"/>
      <c r="AM60" s="9"/>
      <c r="AN60" s="9"/>
      <c r="AO60" s="9"/>
      <c r="AP60" s="9"/>
      <c r="AQ60" s="6"/>
      <c r="AR60" s="6"/>
      <c r="AS60" s="6"/>
    </row>
    <row r="61" customFormat="false" ht="15" hidden="false" customHeight="true" outlineLevel="0" collapsed="false">
      <c r="A61" s="83" t="s">
        <v>216</v>
      </c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9"/>
      <c r="AC61" s="83"/>
      <c r="AD61" s="83"/>
      <c r="AE61" s="9"/>
      <c r="AF61" s="9"/>
      <c r="AG61" s="9"/>
      <c r="AH61" s="9" t="n">
        <v>-1.9</v>
      </c>
      <c r="AI61" s="9" t="n">
        <v>-1.02</v>
      </c>
      <c r="AJ61" s="9" t="n">
        <v>-0.16</v>
      </c>
      <c r="AK61" s="9"/>
      <c r="AL61" s="9"/>
      <c r="AM61" s="9" t="n">
        <v>1.18</v>
      </c>
      <c r="AN61" s="9"/>
      <c r="AO61" s="9"/>
      <c r="AP61" s="9" t="n">
        <v>-0.84</v>
      </c>
      <c r="AQ61" s="6" t="n">
        <v>0.15</v>
      </c>
      <c r="AR61" s="6" t="n">
        <v>2.01</v>
      </c>
      <c r="AS61" s="6" t="n">
        <v>-0.11</v>
      </c>
    </row>
    <row r="62" customFormat="false" ht="15" hidden="false" customHeight="true" outlineLevel="0" collapsed="false">
      <c r="A62" s="83" t="s">
        <v>217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9" t="n">
        <v>-0.33</v>
      </c>
      <c r="AC62" s="83"/>
      <c r="AD62" s="83"/>
      <c r="AE62" s="9" t="n">
        <v>0.38</v>
      </c>
      <c r="AF62" s="9" t="n">
        <v>-0.13</v>
      </c>
      <c r="AG62" s="9" t="n">
        <v>1.07</v>
      </c>
      <c r="AH62" s="9"/>
      <c r="AI62" s="9" t="n">
        <v>-0.03</v>
      </c>
      <c r="AJ62" s="9"/>
      <c r="AK62" s="9" t="n">
        <v>0.61</v>
      </c>
      <c r="AL62" s="9" t="n">
        <v>-0.2</v>
      </c>
      <c r="AM62" s="9" t="n">
        <v>-0.28</v>
      </c>
      <c r="AN62" s="9" t="n">
        <v>-0.75</v>
      </c>
      <c r="AO62" s="9" t="n">
        <v>0.42</v>
      </c>
      <c r="AP62" s="9"/>
      <c r="AQ62" s="6" t="n">
        <v>1.4</v>
      </c>
      <c r="AR62" s="6" t="n">
        <v>1.61</v>
      </c>
      <c r="AS62" s="6" t="n">
        <v>0.3</v>
      </c>
    </row>
    <row r="63" customFormat="false" ht="15" hidden="false" customHeight="true" outlineLevel="0" collapsed="false">
      <c r="A63" s="83" t="s">
        <v>218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9"/>
      <c r="AC63" s="83"/>
      <c r="AD63" s="83"/>
      <c r="AE63" s="9"/>
      <c r="AF63" s="9"/>
      <c r="AG63" s="9"/>
      <c r="AH63" s="9" t="n">
        <v>-0.68</v>
      </c>
      <c r="AI63" s="9" t="n">
        <v>-0.86</v>
      </c>
      <c r="AJ63" s="9" t="n">
        <v>-0.24</v>
      </c>
      <c r="AK63" s="9"/>
      <c r="AL63" s="9"/>
      <c r="AM63" s="9" t="n">
        <v>-0.09</v>
      </c>
      <c r="AN63" s="9"/>
      <c r="AO63" s="9"/>
      <c r="AP63" s="9"/>
      <c r="AQ63" s="6" t="n">
        <v>0.94</v>
      </c>
      <c r="AR63" s="6" t="n">
        <v>-0.25</v>
      </c>
      <c r="AS63" s="6" t="n">
        <v>-0.13</v>
      </c>
    </row>
    <row r="64" customFormat="false" ht="15" hidden="false" customHeight="true" outlineLevel="0" collapsed="false">
      <c r="A64" s="83" t="s">
        <v>219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9" t="n">
        <v>-0.73</v>
      </c>
      <c r="AC64" s="83"/>
      <c r="AD64" s="83"/>
      <c r="AE64" s="9" t="n">
        <v>-0.08</v>
      </c>
      <c r="AF64" s="9" t="n">
        <v>0.5</v>
      </c>
      <c r="AG64" s="9"/>
      <c r="AH64" s="9" t="n">
        <v>-0.42</v>
      </c>
      <c r="AI64" s="9" t="n">
        <v>-2.08</v>
      </c>
      <c r="AJ64" s="9" t="n">
        <v>-2.03</v>
      </c>
      <c r="AK64" s="9" t="n">
        <v>0.29</v>
      </c>
      <c r="AL64" s="9" t="n">
        <v>-0.01</v>
      </c>
      <c r="AM64" s="9"/>
      <c r="AN64" s="9" t="n">
        <v>0.74</v>
      </c>
      <c r="AO64" s="9" t="n">
        <v>-1.32</v>
      </c>
      <c r="AP64" s="9"/>
      <c r="AQ64" s="6"/>
      <c r="AR64" s="6"/>
      <c r="AS64" s="6"/>
    </row>
    <row r="65" customFormat="false" ht="15" hidden="false" customHeight="true" outlineLevel="0" collapsed="false">
      <c r="A65" s="83" t="s">
        <v>220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9"/>
      <c r="AC65" s="83"/>
      <c r="AD65" s="83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 t="n">
        <v>0.3</v>
      </c>
      <c r="AQ65" s="6" t="n">
        <v>0.17</v>
      </c>
      <c r="AR65" s="6" t="n">
        <v>-2.22</v>
      </c>
      <c r="AS65" s="6" t="n">
        <v>1.09</v>
      </c>
    </row>
    <row r="66" customFormat="false" ht="15" hidden="false" customHeight="true" outlineLevel="0" collapsed="false">
      <c r="A66" s="83" t="s">
        <v>221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9"/>
      <c r="AC66" s="83"/>
      <c r="AD66" s="83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6"/>
      <c r="AR66" s="6"/>
      <c r="AS66" s="6"/>
    </row>
    <row r="67" customFormat="false" ht="15" hidden="false" customHeight="true" outlineLevel="0" collapsed="false">
      <c r="A67" s="83" t="s">
        <v>222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9"/>
      <c r="AC67" s="83"/>
      <c r="AD67" s="83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6"/>
      <c r="AR67" s="6"/>
      <c r="AS67" s="6"/>
    </row>
    <row r="68" customFormat="false" ht="15" hidden="false" customHeight="true" outlineLevel="0" collapsed="false">
      <c r="A68" s="83" t="s">
        <v>223</v>
      </c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9" t="n">
        <v>0.76</v>
      </c>
      <c r="AC68" s="83"/>
      <c r="AD68" s="83"/>
      <c r="AE68" s="9" t="n">
        <v>1.1</v>
      </c>
      <c r="AF68" s="9" t="n">
        <v>0.42</v>
      </c>
      <c r="AG68" s="9" t="n">
        <v>0.01</v>
      </c>
      <c r="AH68" s="9"/>
      <c r="AI68" s="9" t="n">
        <v>0.83</v>
      </c>
      <c r="AJ68" s="9"/>
      <c r="AK68" s="9" t="n">
        <v>0.18</v>
      </c>
      <c r="AL68" s="9" t="n">
        <v>0.27</v>
      </c>
      <c r="AM68" s="9"/>
      <c r="AN68" s="9" t="n">
        <v>-1.14</v>
      </c>
      <c r="AO68" s="9" t="n">
        <v>-0.53</v>
      </c>
      <c r="AP68" s="9" t="n">
        <v>-0.12</v>
      </c>
      <c r="AQ68" s="6" t="n">
        <v>-0.68</v>
      </c>
      <c r="AR68" s="6" t="n">
        <v>1.27</v>
      </c>
      <c r="AS68" s="6"/>
    </row>
    <row r="69" customFormat="false" ht="15" hidden="false" customHeight="true" outlineLevel="0" collapsed="false">
      <c r="A69" s="83" t="s">
        <v>224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9" t="n">
        <v>0.32</v>
      </c>
      <c r="AC69" s="83"/>
      <c r="AD69" s="83"/>
      <c r="AE69" s="9" t="n">
        <v>0.03</v>
      </c>
      <c r="AF69" s="9"/>
      <c r="AG69" s="9" t="n">
        <v>-1.68</v>
      </c>
      <c r="AH69" s="9"/>
      <c r="AI69" s="9" t="n">
        <v>-1.22</v>
      </c>
      <c r="AJ69" s="9"/>
      <c r="AK69" s="9" t="n">
        <v>0.57</v>
      </c>
      <c r="AL69" s="9" t="n">
        <v>1.93</v>
      </c>
      <c r="AM69" s="9"/>
      <c r="AN69" s="9" t="n">
        <v>0.25</v>
      </c>
      <c r="AO69" s="9" t="n">
        <v>0.56</v>
      </c>
      <c r="AP69" s="9" t="n">
        <v>0.51</v>
      </c>
      <c r="AQ69" s="6" t="n">
        <v>-2.48</v>
      </c>
      <c r="AR69" s="6" t="n">
        <v>-0.61</v>
      </c>
      <c r="AS69" s="6"/>
    </row>
    <row r="70" customFormat="false" ht="15" hidden="false" customHeight="true" outlineLevel="0" collapsed="false">
      <c r="A70" s="83" t="s">
        <v>225</v>
      </c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9" t="n">
        <v>1.23</v>
      </c>
      <c r="AC70" s="83"/>
      <c r="AD70" s="83"/>
      <c r="AE70" s="9" t="n">
        <v>1.45</v>
      </c>
      <c r="AF70" s="9" t="n">
        <v>0.24</v>
      </c>
      <c r="AG70" s="9" t="n">
        <v>1.03</v>
      </c>
      <c r="AH70" s="9"/>
      <c r="AI70" s="9" t="n">
        <v>-0.3</v>
      </c>
      <c r="AJ70" s="9" t="n">
        <v>-0.71</v>
      </c>
      <c r="AK70" s="9" t="n">
        <v>1.44</v>
      </c>
      <c r="AL70" s="9" t="n">
        <v>0.68</v>
      </c>
      <c r="AM70" s="9"/>
      <c r="AN70" s="9" t="n">
        <v>0.29</v>
      </c>
      <c r="AO70" s="9" t="n">
        <v>0.52</v>
      </c>
      <c r="AP70" s="9" t="n">
        <v>0.37</v>
      </c>
      <c r="AQ70" s="6" t="n">
        <v>0.16</v>
      </c>
      <c r="AR70" s="6" t="n">
        <v>-0.01</v>
      </c>
      <c r="AS70" s="6"/>
    </row>
    <row r="71" customFormat="false" ht="15" hidden="false" customHeight="true" outlineLevel="0" collapsed="false">
      <c r="A71" s="83" t="s">
        <v>226</v>
      </c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9"/>
      <c r="AC71" s="83"/>
      <c r="AD71" s="83"/>
      <c r="AE71" s="9"/>
      <c r="AF71" s="9"/>
      <c r="AG71" s="9"/>
      <c r="AH71" s="9" t="n">
        <v>-0.78</v>
      </c>
      <c r="AI71" s="9"/>
      <c r="AJ71" s="9"/>
      <c r="AK71" s="9"/>
      <c r="AL71" s="9"/>
      <c r="AM71" s="9" t="n">
        <v>-0.56</v>
      </c>
      <c r="AN71" s="9"/>
      <c r="AO71" s="9"/>
      <c r="AP71" s="9"/>
      <c r="AQ71" s="6" t="n">
        <v>-1.08</v>
      </c>
      <c r="AR71" s="6" t="n">
        <v>-0.58</v>
      </c>
      <c r="AS71" s="6"/>
    </row>
    <row r="72" customFormat="false" ht="15" hidden="false" customHeight="true" outlineLevel="0" collapsed="false">
      <c r="A72" s="83" t="s">
        <v>227</v>
      </c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9" t="n">
        <v>-1.46</v>
      </c>
      <c r="AC72" s="83"/>
      <c r="AD72" s="83"/>
      <c r="AE72" s="9"/>
      <c r="AF72" s="9"/>
      <c r="AG72" s="9"/>
      <c r="AH72" s="9" t="n">
        <v>-1.71</v>
      </c>
      <c r="AI72" s="9" t="n">
        <v>-0.75</v>
      </c>
      <c r="AJ72" s="9" t="n">
        <v>0.28</v>
      </c>
      <c r="AK72" s="9" t="n">
        <v>-0.92</v>
      </c>
      <c r="AL72" s="9"/>
      <c r="AM72" s="9" t="n">
        <v>-1.4</v>
      </c>
      <c r="AN72" s="9"/>
      <c r="AO72" s="9" t="n">
        <v>0.13</v>
      </c>
      <c r="AP72" s="9" t="n">
        <v>0.98</v>
      </c>
      <c r="AQ72" s="6" t="n">
        <v>-0.16</v>
      </c>
      <c r="AR72" s="6" t="n">
        <v>-1.47</v>
      </c>
      <c r="AS72" s="6" t="n">
        <v>-1.55</v>
      </c>
    </row>
    <row r="73" customFormat="false" ht="15" hidden="false" customHeight="true" outlineLevel="0" collapsed="false">
      <c r="A73" s="83" t="s">
        <v>230</v>
      </c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9"/>
      <c r="AC73" s="83"/>
      <c r="AD73" s="83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6"/>
      <c r="AR73" s="6"/>
      <c r="AS73" s="6"/>
    </row>
    <row r="74" customFormat="false" ht="15" hidden="false" customHeight="true" outlineLevel="0" collapsed="false">
      <c r="A74" s="83" t="s">
        <v>231</v>
      </c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9"/>
      <c r="AC74" s="83"/>
      <c r="AD74" s="83"/>
      <c r="AE74" s="9"/>
      <c r="AF74" s="9"/>
      <c r="AG74" s="9"/>
      <c r="AH74" s="9"/>
      <c r="AI74" s="9"/>
      <c r="AJ74" s="9" t="n">
        <v>-1.42</v>
      </c>
      <c r="AK74" s="9"/>
      <c r="AL74" s="9"/>
      <c r="AM74" s="9" t="n">
        <v>-0.18</v>
      </c>
      <c r="AN74" s="9"/>
      <c r="AO74" s="9"/>
      <c r="AP74" s="9"/>
      <c r="AQ74" s="6"/>
      <c r="AR74" s="6"/>
      <c r="AS74" s="6"/>
    </row>
    <row r="75" customFormat="false" ht="15" hidden="false" customHeight="true" outlineLevel="0" collapsed="false">
      <c r="A75" s="83" t="s">
        <v>232</v>
      </c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9"/>
      <c r="AC75" s="83"/>
      <c r="AD75" s="83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6"/>
      <c r="AR75" s="6"/>
      <c r="AS75" s="6"/>
    </row>
    <row r="76" customFormat="false" ht="15" hidden="false" customHeight="true" outlineLevel="0" collapsed="false">
      <c r="A76" s="83" t="s">
        <v>233</v>
      </c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9" t="n">
        <v>-1.07</v>
      </c>
      <c r="AC76" s="83"/>
      <c r="AD76" s="83"/>
      <c r="AE76" s="9" t="n">
        <v>0.2</v>
      </c>
      <c r="AF76" s="9" t="n">
        <v>0.3</v>
      </c>
      <c r="AG76" s="9" t="n">
        <v>0.25</v>
      </c>
      <c r="AH76" s="9"/>
      <c r="AI76" s="9" t="n">
        <v>0.02</v>
      </c>
      <c r="AJ76" s="9"/>
      <c r="AK76" s="9" t="n">
        <v>0.59</v>
      </c>
      <c r="AL76" s="9" t="n">
        <v>1.11</v>
      </c>
      <c r="AM76" s="9"/>
      <c r="AN76" s="9" t="n">
        <v>-1.09</v>
      </c>
      <c r="AO76" s="9" t="n">
        <v>0.87</v>
      </c>
      <c r="AP76" s="9" t="n">
        <v>-0.35</v>
      </c>
      <c r="AQ76" s="6"/>
      <c r="AR76" s="6" t="n">
        <v>2.01</v>
      </c>
      <c r="AS76" s="6" t="n">
        <v>0.68</v>
      </c>
    </row>
    <row r="77" customFormat="false" ht="15" hidden="false" customHeight="true" outlineLevel="0" collapsed="false">
      <c r="A77" s="83" t="s">
        <v>234</v>
      </c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9"/>
      <c r="AC77" s="83"/>
      <c r="AD77" s="83"/>
      <c r="AE77" s="9"/>
      <c r="AF77" s="9"/>
      <c r="AG77" s="9"/>
      <c r="AH77" s="9" t="n">
        <v>-0.36</v>
      </c>
      <c r="AI77" s="9"/>
      <c r="AJ77" s="9"/>
      <c r="AK77" s="9"/>
      <c r="AL77" s="9"/>
      <c r="AM77" s="9"/>
      <c r="AN77" s="9"/>
      <c r="AO77" s="9"/>
      <c r="AP77" s="9"/>
      <c r="AQ77" s="6"/>
      <c r="AR77" s="6"/>
      <c r="AS77" s="6"/>
    </row>
    <row r="78" customFormat="false" ht="15" hidden="false" customHeight="true" outlineLevel="0" collapsed="false">
      <c r="A78" s="83" t="s">
        <v>235</v>
      </c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9" t="n">
        <v>1.05</v>
      </c>
      <c r="AC78" s="83"/>
      <c r="AD78" s="83"/>
      <c r="AE78" s="9" t="n">
        <v>-0.09</v>
      </c>
      <c r="AF78" s="9" t="n">
        <v>0.53</v>
      </c>
      <c r="AG78" s="9" t="n">
        <v>0.64</v>
      </c>
      <c r="AH78" s="9" t="n">
        <v>-0.39</v>
      </c>
      <c r="AI78" s="9"/>
      <c r="AJ78" s="9"/>
      <c r="AK78" s="9" t="n">
        <v>0.06</v>
      </c>
      <c r="AL78" s="9" t="n">
        <v>-0.69</v>
      </c>
      <c r="AM78" s="9"/>
      <c r="AN78" s="9" t="n">
        <v>-0.18</v>
      </c>
      <c r="AO78" s="9" t="n">
        <v>-0.08</v>
      </c>
      <c r="AP78" s="9" t="n">
        <v>-1.74</v>
      </c>
      <c r="AQ78" s="6"/>
      <c r="AR78" s="6" t="n">
        <v>-0.05</v>
      </c>
      <c r="AS78" s="6" t="n">
        <v>0.2</v>
      </c>
    </row>
    <row r="79" customFormat="false" ht="15" hidden="false" customHeight="true" outlineLevel="0" collapsed="false">
      <c r="A79" s="83" t="s">
        <v>237</v>
      </c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9"/>
      <c r="AC79" s="83"/>
      <c r="AD79" s="83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6" t="n">
        <v>-2.2</v>
      </c>
      <c r="AR79" s="6"/>
      <c r="AS79" s="6"/>
    </row>
    <row r="80" customFormat="false" ht="15" hidden="false" customHeight="true" outlineLevel="0" collapsed="false">
      <c r="A80" s="83" t="s">
        <v>238</v>
      </c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9" t="n">
        <v>-1.58</v>
      </c>
      <c r="AC80" s="83"/>
      <c r="AD80" s="83"/>
      <c r="AE80" s="9"/>
      <c r="AF80" s="9"/>
      <c r="AG80" s="9" t="n">
        <v>0.44</v>
      </c>
      <c r="AH80" s="9"/>
      <c r="AI80" s="9"/>
      <c r="AJ80" s="9"/>
      <c r="AK80" s="9"/>
      <c r="AL80" s="9"/>
      <c r="AM80" s="9"/>
      <c r="AN80" s="9"/>
      <c r="AO80" s="9"/>
      <c r="AP80" s="9"/>
      <c r="AQ80" s="6"/>
      <c r="AR80" s="6"/>
      <c r="AS80" s="6"/>
    </row>
    <row r="81" customFormat="false" ht="15" hidden="false" customHeight="true" outlineLevel="0" collapsed="false">
      <c r="A81" s="83" t="s">
        <v>239</v>
      </c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9" t="n">
        <v>-1.32</v>
      </c>
      <c r="AC81" s="83"/>
      <c r="AD81" s="83"/>
      <c r="AE81" s="9" t="n">
        <v>-0.45</v>
      </c>
      <c r="AF81" s="9" t="n">
        <v>0.56</v>
      </c>
      <c r="AG81" s="9" t="n">
        <v>0.3</v>
      </c>
      <c r="AH81" s="9" t="n">
        <v>-0.73</v>
      </c>
      <c r="AI81" s="9"/>
      <c r="AJ81" s="9"/>
      <c r="AK81" s="9" t="n">
        <v>0.8</v>
      </c>
      <c r="AL81" s="9" t="n">
        <v>1.49</v>
      </c>
      <c r="AM81" s="9"/>
      <c r="AN81" s="9" t="n">
        <v>0.6</v>
      </c>
      <c r="AO81" s="9" t="n">
        <v>1</v>
      </c>
      <c r="AP81" s="9"/>
      <c r="AQ81" s="6"/>
      <c r="AR81" s="6" t="n">
        <v>-0.31</v>
      </c>
      <c r="AS81" s="6" t="n">
        <v>0.45</v>
      </c>
    </row>
    <row r="82" customFormat="false" ht="15" hidden="false" customHeight="true" outlineLevel="0" collapsed="false">
      <c r="A82" s="83" t="s">
        <v>241</v>
      </c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9" t="n">
        <v>0.51</v>
      </c>
      <c r="AC82" s="83"/>
      <c r="AD82" s="83"/>
      <c r="AE82" s="9"/>
      <c r="AF82" s="9" t="n">
        <v>0.11</v>
      </c>
      <c r="AG82" s="9"/>
      <c r="AH82" s="9" t="n">
        <v>-0.27</v>
      </c>
      <c r="AI82" s="9" t="n">
        <v>-1.31</v>
      </c>
      <c r="AJ82" s="9" t="n">
        <v>0.29</v>
      </c>
      <c r="AK82" s="9" t="n">
        <v>-0.11</v>
      </c>
      <c r="AL82" s="9"/>
      <c r="AM82" s="9" t="n">
        <v>-0.86</v>
      </c>
      <c r="AN82" s="9" t="n">
        <v>-2.35</v>
      </c>
      <c r="AO82" s="9" t="n">
        <v>0.58</v>
      </c>
      <c r="AP82" s="9" t="n">
        <v>-0.28</v>
      </c>
      <c r="AQ82" s="6" t="n">
        <v>-3.08</v>
      </c>
      <c r="AR82" s="6"/>
      <c r="AS82" s="6"/>
    </row>
    <row r="83" customFormat="false" ht="15" hidden="false" customHeight="true" outlineLevel="0" collapsed="false">
      <c r="A83" s="83" t="s">
        <v>242</v>
      </c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9"/>
      <c r="AC83" s="83"/>
      <c r="AD83" s="83"/>
      <c r="AE83" s="9"/>
      <c r="AF83" s="9"/>
      <c r="AG83" s="9"/>
      <c r="AH83" s="9"/>
      <c r="AI83" s="9"/>
      <c r="AJ83" s="9"/>
      <c r="AK83" s="9"/>
      <c r="AL83" s="9"/>
      <c r="AM83" s="9" t="n">
        <v>-2.48</v>
      </c>
      <c r="AN83" s="9"/>
      <c r="AO83" s="9"/>
      <c r="AP83" s="9"/>
      <c r="AQ83" s="6"/>
      <c r="AR83" s="6" t="n">
        <v>0.48</v>
      </c>
      <c r="AS83" s="6"/>
    </row>
    <row r="84" customFormat="false" ht="15" hidden="false" customHeight="true" outlineLevel="0" collapsed="false">
      <c r="A84" s="83" t="s">
        <v>243</v>
      </c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9" t="n">
        <v>-0.66</v>
      </c>
      <c r="AC84" s="83"/>
      <c r="AD84" s="83"/>
      <c r="AE84" s="9"/>
      <c r="AF84" s="9" t="n">
        <v>0.54</v>
      </c>
      <c r="AG84" s="9"/>
      <c r="AH84" s="9" t="n">
        <v>-0.3</v>
      </c>
      <c r="AI84" s="9" t="n">
        <v>0.38</v>
      </c>
      <c r="AJ84" s="9" t="n">
        <v>-2.55</v>
      </c>
      <c r="AK84" s="9" t="n">
        <v>0.47</v>
      </c>
      <c r="AL84" s="9"/>
      <c r="AM84" s="9" t="n">
        <v>-0.68</v>
      </c>
      <c r="AN84" s="9"/>
      <c r="AO84" s="9" t="n">
        <v>-0.14</v>
      </c>
      <c r="AP84" s="9" t="n">
        <v>-0.46</v>
      </c>
      <c r="AQ84" s="6" t="n">
        <v>-1.17</v>
      </c>
      <c r="AR84" s="6" t="n">
        <v>-1.77</v>
      </c>
      <c r="AS84" s="6" t="n">
        <v>0.09</v>
      </c>
    </row>
    <row r="85" customFormat="false" ht="15" hidden="false" customHeight="true" outlineLevel="0" collapsed="false">
      <c r="A85" s="83" t="s">
        <v>246</v>
      </c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9"/>
      <c r="AC85" s="83"/>
      <c r="AD85" s="83"/>
      <c r="AE85" s="9"/>
      <c r="AF85" s="9"/>
      <c r="AG85" s="9"/>
      <c r="AH85" s="9" t="n">
        <v>-1.11</v>
      </c>
      <c r="AI85" s="9" t="n">
        <v>-1.42</v>
      </c>
      <c r="AJ85" s="9" t="n">
        <v>1.71</v>
      </c>
      <c r="AK85" s="9"/>
      <c r="AL85" s="9"/>
      <c r="AM85" s="9" t="n">
        <v>-0.76</v>
      </c>
      <c r="AN85" s="9"/>
      <c r="AO85" s="9"/>
      <c r="AP85" s="9" t="n">
        <v>-0.61</v>
      </c>
      <c r="AQ85" s="6" t="n">
        <v>0.59</v>
      </c>
      <c r="AR85" s="6" t="n">
        <v>-1.2</v>
      </c>
      <c r="AS85" s="6" t="n">
        <v>-0.09</v>
      </c>
    </row>
    <row r="86" customFormat="false" ht="15" hidden="false" customHeight="true" outlineLevel="0" collapsed="false">
      <c r="A86" s="83" t="s">
        <v>247</v>
      </c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9" t="n">
        <v>0.1</v>
      </c>
      <c r="AC86" s="83"/>
      <c r="AD86" s="83"/>
      <c r="AE86" s="9" t="n">
        <v>-0.07</v>
      </c>
      <c r="AF86" s="9" t="n">
        <v>-0.37</v>
      </c>
      <c r="AG86" s="9"/>
      <c r="AH86" s="9" t="n">
        <v>1.03</v>
      </c>
      <c r="AI86" s="9"/>
      <c r="AJ86" s="9" t="n">
        <v>0.01</v>
      </c>
      <c r="AK86" s="9" t="n">
        <v>-0.65</v>
      </c>
      <c r="AL86" s="9" t="n">
        <v>-0.41</v>
      </c>
      <c r="AM86" s="9"/>
      <c r="AN86" s="9" t="n">
        <v>-1.24</v>
      </c>
      <c r="AO86" s="9" t="n">
        <v>1.13</v>
      </c>
      <c r="AP86" s="9" t="n">
        <v>0.59</v>
      </c>
      <c r="AQ86" s="6" t="n">
        <v>1.37</v>
      </c>
      <c r="AR86" s="6" t="n">
        <v>-0.92</v>
      </c>
      <c r="AS86" s="6" t="n">
        <v>-1.15</v>
      </c>
    </row>
    <row r="87" customFormat="false" ht="15" hidden="false" customHeight="true" outlineLevel="0" collapsed="false">
      <c r="A87" s="83" t="s">
        <v>248</v>
      </c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9"/>
      <c r="AC87" s="83"/>
      <c r="AD87" s="83"/>
      <c r="AE87" s="9"/>
      <c r="AF87" s="9"/>
      <c r="AG87" s="9"/>
      <c r="AH87" s="9" t="n">
        <v>-0.59</v>
      </c>
      <c r="AI87" s="9" t="n">
        <v>-1.47</v>
      </c>
      <c r="AJ87" s="9" t="n">
        <v>0.14</v>
      </c>
      <c r="AK87" s="9" t="n">
        <v>0.93</v>
      </c>
      <c r="AL87" s="9"/>
      <c r="AM87" s="9" t="n">
        <v>-0.57</v>
      </c>
      <c r="AN87" s="9"/>
      <c r="AO87" s="9"/>
      <c r="AP87" s="9"/>
      <c r="AQ87" s="6" t="n">
        <v>-1.6</v>
      </c>
      <c r="AR87" s="6" t="n">
        <v>0.37</v>
      </c>
      <c r="AS87" s="6" t="n">
        <v>1.93</v>
      </c>
    </row>
    <row r="88" customFormat="false" ht="15" hidden="false" customHeight="true" outlineLevel="0" collapsed="false">
      <c r="A88" s="83" t="s">
        <v>249</v>
      </c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9" t="n">
        <v>-0.97</v>
      </c>
      <c r="AC88" s="83"/>
      <c r="AD88" s="83"/>
      <c r="AE88" s="9"/>
      <c r="AF88" s="9"/>
      <c r="AG88" s="9"/>
      <c r="AH88" s="9" t="n">
        <v>1.03</v>
      </c>
      <c r="AI88" s="9" t="n">
        <v>-0.28</v>
      </c>
      <c r="AJ88" s="9" t="n">
        <v>-0.44</v>
      </c>
      <c r="AK88" s="9" t="n">
        <v>1.03</v>
      </c>
      <c r="AL88" s="9"/>
      <c r="AM88" s="9" t="n">
        <v>-2.42</v>
      </c>
      <c r="AN88" s="9" t="n">
        <v>0.98</v>
      </c>
      <c r="AO88" s="9" t="n">
        <v>-0.86</v>
      </c>
      <c r="AP88" s="9" t="n">
        <v>-0.75</v>
      </c>
      <c r="AQ88" s="6" t="n">
        <v>-1.34</v>
      </c>
      <c r="AR88" s="6" t="n">
        <v>-2.7</v>
      </c>
      <c r="AS88" s="6" t="n">
        <v>0.16</v>
      </c>
    </row>
    <row r="89" customFormat="false" ht="15" hidden="false" customHeight="true" outlineLevel="0" collapsed="false">
      <c r="A89" s="83" t="s">
        <v>250</v>
      </c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9"/>
      <c r="AC89" s="83"/>
      <c r="AD89" s="83"/>
      <c r="AE89" s="9"/>
      <c r="AF89" s="9"/>
      <c r="AG89" s="9"/>
      <c r="AH89" s="9" t="n">
        <v>-0.41</v>
      </c>
      <c r="AI89" s="9" t="n">
        <v>-0.45</v>
      </c>
      <c r="AJ89" s="9" t="n">
        <v>1.4</v>
      </c>
      <c r="AK89" s="9"/>
      <c r="AL89" s="9"/>
      <c r="AM89" s="9" t="n">
        <v>-1.41</v>
      </c>
      <c r="AN89" s="9"/>
      <c r="AO89" s="9"/>
      <c r="AP89" s="9" t="n">
        <v>-0.22</v>
      </c>
      <c r="AQ89" s="6" t="n">
        <v>-1.34</v>
      </c>
      <c r="AR89" s="6" t="n">
        <v>-4.06</v>
      </c>
      <c r="AS89" s="6"/>
    </row>
    <row r="90" customFormat="false" ht="15" hidden="false" customHeight="true" outlineLevel="0" collapsed="false">
      <c r="A90" s="83" t="s">
        <v>251</v>
      </c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9" t="n">
        <v>0.97</v>
      </c>
      <c r="AC90" s="83"/>
      <c r="AD90" s="83"/>
      <c r="AE90" s="9" t="n">
        <v>0.08</v>
      </c>
      <c r="AF90" s="9" t="n">
        <v>-0.38</v>
      </c>
      <c r="AG90" s="9"/>
      <c r="AH90" s="9" t="n">
        <v>-2.3</v>
      </c>
      <c r="AI90" s="9" t="n">
        <v>-0.65</v>
      </c>
      <c r="AJ90" s="9"/>
      <c r="AK90" s="9" t="n">
        <v>-0.98</v>
      </c>
      <c r="AL90" s="9" t="n">
        <v>0.2</v>
      </c>
      <c r="AM90" s="9"/>
      <c r="AN90" s="9" t="n">
        <v>-1.14</v>
      </c>
      <c r="AO90" s="9" t="n">
        <v>0.55</v>
      </c>
      <c r="AP90" s="9" t="n">
        <v>1.27</v>
      </c>
      <c r="AQ90" s="6" t="n">
        <v>0.72</v>
      </c>
      <c r="AR90" s="6" t="n">
        <v>1.03</v>
      </c>
      <c r="AS90" s="6" t="n">
        <v>0.25</v>
      </c>
    </row>
    <row r="91" customFormat="false" ht="15" hidden="false" customHeight="true" outlineLevel="0" collapsed="false">
      <c r="A91" s="83" t="s">
        <v>252</v>
      </c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9" t="n">
        <v>0.12</v>
      </c>
      <c r="AC91" s="83"/>
      <c r="AD91" s="83"/>
      <c r="AE91" s="9" t="n">
        <v>-0.23</v>
      </c>
      <c r="AF91" s="9" t="n">
        <v>-0.79</v>
      </c>
      <c r="AG91" s="9" t="n">
        <v>-1.28</v>
      </c>
      <c r="AH91" s="9"/>
      <c r="AI91" s="9" t="n">
        <v>0.42</v>
      </c>
      <c r="AJ91" s="9" t="n">
        <v>0.3</v>
      </c>
      <c r="AK91" s="9" t="n">
        <v>1.51</v>
      </c>
      <c r="AL91" s="9" t="n">
        <v>0.14</v>
      </c>
      <c r="AM91" s="9" t="n">
        <v>0.23</v>
      </c>
      <c r="AN91" s="9"/>
      <c r="AO91" s="9"/>
      <c r="AP91" s="9" t="n">
        <v>0.68</v>
      </c>
      <c r="AQ91" s="6" t="n">
        <v>0.53</v>
      </c>
      <c r="AR91" s="6"/>
      <c r="AS91" s="6"/>
    </row>
    <row r="92" customFormat="false" ht="15" hidden="false" customHeight="true" outlineLevel="0" collapsed="false">
      <c r="A92" s="83" t="s">
        <v>253</v>
      </c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9" t="n">
        <v>0.1</v>
      </c>
      <c r="AC92" s="83"/>
      <c r="AD92" s="83"/>
      <c r="AE92" s="9"/>
      <c r="AF92" s="9"/>
      <c r="AG92" s="9" t="n">
        <v>-0.13</v>
      </c>
      <c r="AH92" s="9"/>
      <c r="AI92" s="9" t="n">
        <v>0.4</v>
      </c>
      <c r="AJ92" s="9" t="n">
        <v>1.2</v>
      </c>
      <c r="AK92" s="9" t="n">
        <v>-1.17</v>
      </c>
      <c r="AL92" s="9"/>
      <c r="AM92" s="9" t="n">
        <v>0.7</v>
      </c>
      <c r="AN92" s="9"/>
      <c r="AO92" s="9"/>
      <c r="AP92" s="9" t="n">
        <v>1.12</v>
      </c>
      <c r="AQ92" s="6" t="n">
        <v>0.15</v>
      </c>
      <c r="AR92" s="6" t="n">
        <v>1.21</v>
      </c>
      <c r="AS92" s="6"/>
    </row>
    <row r="93" customFormat="false" ht="15" hidden="false" customHeight="true" outlineLevel="0" collapsed="false">
      <c r="A93" s="83" t="s">
        <v>254</v>
      </c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9" t="n">
        <v>-1.43</v>
      </c>
      <c r="AC93" s="83"/>
      <c r="AD93" s="83"/>
      <c r="AE93" s="9" t="n">
        <v>0.37</v>
      </c>
      <c r="AF93" s="9" t="n">
        <v>0.6</v>
      </c>
      <c r="AG93" s="9" t="n">
        <v>1.53</v>
      </c>
      <c r="AH93" s="9" t="n">
        <v>-0.44</v>
      </c>
      <c r="AI93" s="9"/>
      <c r="AJ93" s="9" t="n">
        <v>-2.45</v>
      </c>
      <c r="AK93" s="9" t="n">
        <v>0.72</v>
      </c>
      <c r="AL93" s="9"/>
      <c r="AM93" s="9" t="n">
        <v>0.37</v>
      </c>
      <c r="AN93" s="9" t="n">
        <v>0.21</v>
      </c>
      <c r="AO93" s="9"/>
      <c r="AP93" s="9" t="n">
        <v>0.26</v>
      </c>
      <c r="AQ93" s="6" t="n">
        <v>-2.6</v>
      </c>
      <c r="AR93" s="6" t="n">
        <v>1.13</v>
      </c>
      <c r="AS93" s="6"/>
    </row>
    <row r="94" customFormat="false" ht="15" hidden="false" customHeight="true" outlineLevel="0" collapsed="false">
      <c r="A94" s="83" t="s">
        <v>255</v>
      </c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9" t="n">
        <v>-0.46</v>
      </c>
      <c r="AC94" s="83"/>
      <c r="AD94" s="83"/>
      <c r="AE94" s="9"/>
      <c r="AF94" s="9" t="n">
        <v>-0.88</v>
      </c>
      <c r="AG94" s="9"/>
      <c r="AH94" s="9" t="n">
        <v>1.23</v>
      </c>
      <c r="AI94" s="9" t="n">
        <v>-2.01</v>
      </c>
      <c r="AJ94" s="9" t="n">
        <v>0.31</v>
      </c>
      <c r="AK94" s="9"/>
      <c r="AL94" s="9" t="n">
        <v>1.97</v>
      </c>
      <c r="AM94" s="9" t="n">
        <v>0.24</v>
      </c>
      <c r="AN94" s="9"/>
      <c r="AO94" s="9" t="n">
        <v>-0.25</v>
      </c>
      <c r="AP94" s="9" t="n">
        <v>-1.47</v>
      </c>
      <c r="AQ94" s="6" t="n">
        <v>-0.94</v>
      </c>
      <c r="AR94" s="6" t="n">
        <v>0.83</v>
      </c>
      <c r="AS94" s="6" t="n">
        <v>-0.65</v>
      </c>
    </row>
    <row r="95" customFormat="false" ht="15" hidden="false" customHeight="true" outlineLevel="0" collapsed="false">
      <c r="A95" s="83" t="s">
        <v>256</v>
      </c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9"/>
      <c r="AC95" s="83"/>
      <c r="AD95" s="83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6"/>
      <c r="AR95" s="6"/>
      <c r="AS95" s="6"/>
    </row>
    <row r="96" customFormat="false" ht="15" hidden="false" customHeight="true" outlineLevel="0" collapsed="false">
      <c r="A96" s="83" t="s">
        <v>257</v>
      </c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9"/>
      <c r="AC96" s="83"/>
      <c r="AD96" s="83"/>
      <c r="AE96" s="9"/>
      <c r="AF96" s="9"/>
      <c r="AG96" s="9"/>
      <c r="AH96" s="9" t="n">
        <v>0.59</v>
      </c>
      <c r="AI96" s="9" t="n">
        <v>1.63</v>
      </c>
      <c r="AJ96" s="9" t="n">
        <v>-0.3</v>
      </c>
      <c r="AK96" s="9"/>
      <c r="AL96" s="9"/>
      <c r="AM96" s="9" t="n">
        <v>0.61</v>
      </c>
      <c r="AN96" s="9"/>
      <c r="AO96" s="9"/>
      <c r="AP96" s="9"/>
      <c r="AQ96" s="6" t="n">
        <v>0.69</v>
      </c>
      <c r="AR96" s="6" t="n">
        <v>1.26</v>
      </c>
      <c r="AS96" s="6" t="n">
        <v>0.14</v>
      </c>
    </row>
    <row r="97" customFormat="false" ht="15" hidden="false" customHeight="true" outlineLevel="0" collapsed="false">
      <c r="A97" s="83" t="s">
        <v>258</v>
      </c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9" t="n">
        <v>-2.41</v>
      </c>
      <c r="AC97" s="83"/>
      <c r="AD97" s="83"/>
      <c r="AE97" s="9" t="n">
        <v>0.48</v>
      </c>
      <c r="AF97" s="9" t="n">
        <v>0.01</v>
      </c>
      <c r="AG97" s="9" t="n">
        <v>0.44</v>
      </c>
      <c r="AH97" s="9"/>
      <c r="AI97" s="9"/>
      <c r="AJ97" s="9" t="n">
        <v>-1.23</v>
      </c>
      <c r="AK97" s="9" t="n">
        <v>0.28</v>
      </c>
      <c r="AL97" s="9" t="n">
        <v>1.18</v>
      </c>
      <c r="AM97" s="9"/>
      <c r="AN97" s="9" t="n">
        <v>-0.79</v>
      </c>
      <c r="AO97" s="9" t="n">
        <v>-0.28</v>
      </c>
      <c r="AP97" s="9" t="n">
        <v>0.95</v>
      </c>
      <c r="AQ97" s="6"/>
      <c r="AR97" s="6"/>
      <c r="AS97" s="6"/>
    </row>
    <row r="98" customFormat="false" ht="15" hidden="false" customHeight="true" outlineLevel="0" collapsed="false">
      <c r="A98" s="83" t="s">
        <v>259</v>
      </c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9"/>
      <c r="AC98" s="83"/>
      <c r="AD98" s="83"/>
      <c r="AE98" s="9"/>
      <c r="AF98" s="9"/>
      <c r="AG98" s="9"/>
      <c r="AH98" s="9" t="n">
        <v>-2.15</v>
      </c>
      <c r="AI98" s="9" t="n">
        <v>-0.68</v>
      </c>
      <c r="AJ98" s="9" t="n">
        <v>-1.72</v>
      </c>
      <c r="AK98" s="9" t="n">
        <v>-0.73</v>
      </c>
      <c r="AL98" s="9"/>
      <c r="AM98" s="9" t="n">
        <v>1.15</v>
      </c>
      <c r="AN98" s="9"/>
      <c r="AO98" s="9"/>
      <c r="AP98" s="9" t="n">
        <v>-1.31</v>
      </c>
      <c r="AQ98" s="6" t="n">
        <v>-0.75</v>
      </c>
      <c r="AR98" s="6" t="n">
        <v>-4.15</v>
      </c>
      <c r="AS98" s="6" t="n">
        <v>0.17</v>
      </c>
    </row>
    <row r="99" customFormat="false" ht="15" hidden="false" customHeight="true" outlineLevel="0" collapsed="false">
      <c r="A99" s="83" t="s">
        <v>260</v>
      </c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9"/>
      <c r="AC99" s="83"/>
      <c r="AD99" s="83"/>
      <c r="AE99" s="9"/>
      <c r="AF99" s="9"/>
      <c r="AG99" s="9"/>
      <c r="AH99" s="9" t="n">
        <v>1.07</v>
      </c>
      <c r="AI99" s="9" t="n">
        <v>1.28</v>
      </c>
      <c r="AJ99" s="9" t="n">
        <v>0.56</v>
      </c>
      <c r="AK99" s="9" t="n">
        <v>0.04</v>
      </c>
      <c r="AL99" s="9"/>
      <c r="AM99" s="9" t="n">
        <v>0.96</v>
      </c>
      <c r="AN99" s="9"/>
      <c r="AO99" s="9" t="n">
        <v>-0.01</v>
      </c>
      <c r="AP99" s="9" t="n">
        <v>0.41</v>
      </c>
      <c r="AQ99" s="6" t="n">
        <v>-0.69</v>
      </c>
      <c r="AR99" s="6" t="n">
        <v>-2.64</v>
      </c>
      <c r="AS99" s="6"/>
    </row>
    <row r="100" customFormat="false" ht="15" hidden="false" customHeight="true" outlineLevel="0" collapsed="false">
      <c r="A100" s="83" t="s">
        <v>261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9" t="n">
        <v>0.28</v>
      </c>
      <c r="AC100" s="83"/>
      <c r="AD100" s="83"/>
      <c r="AE100" s="9" t="n">
        <v>-0.12</v>
      </c>
      <c r="AF100" s="9" t="n">
        <v>-0.36</v>
      </c>
      <c r="AG100" s="9" t="n">
        <v>-0.11</v>
      </c>
      <c r="AH100" s="9"/>
      <c r="AI100" s="9" t="n">
        <v>-0.9</v>
      </c>
      <c r="AJ100" s="9" t="n">
        <v>1.32</v>
      </c>
      <c r="AK100" s="9" t="n">
        <v>-0.06</v>
      </c>
      <c r="AL100" s="9" t="n">
        <v>0.76</v>
      </c>
      <c r="AM100" s="9"/>
      <c r="AN100" s="9"/>
      <c r="AO100" s="9"/>
      <c r="AP100" s="9"/>
      <c r="AQ100" s="6"/>
      <c r="AR100" s="6"/>
      <c r="AS100" s="6"/>
    </row>
    <row r="101" customFormat="false" ht="15" hidden="false" customHeight="true" outlineLevel="0" collapsed="false">
      <c r="A101" s="83" t="s">
        <v>262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9" t="n">
        <v>1.35</v>
      </c>
      <c r="AC101" s="83"/>
      <c r="AD101" s="83"/>
      <c r="AE101" s="9"/>
      <c r="AF101" s="9"/>
      <c r="AG101" s="9"/>
      <c r="AH101" s="9" t="n">
        <v>-0.29</v>
      </c>
      <c r="AI101" s="9" t="n">
        <v>0.81</v>
      </c>
      <c r="AJ101" s="9" t="n">
        <v>0.44</v>
      </c>
      <c r="AK101" s="9" t="n">
        <v>1.04</v>
      </c>
      <c r="AL101" s="9"/>
      <c r="AM101" s="9" t="n">
        <v>-2.48</v>
      </c>
      <c r="AN101" s="9"/>
      <c r="AO101" s="9" t="n">
        <v>0</v>
      </c>
      <c r="AP101" s="9" t="n">
        <v>1.03</v>
      </c>
      <c r="AQ101" s="6" t="n">
        <v>0.5</v>
      </c>
      <c r="AR101" s="6" t="n">
        <v>1.65</v>
      </c>
      <c r="AS101" s="6"/>
    </row>
    <row r="102" customFormat="false" ht="15" hidden="false" customHeight="true" outlineLevel="0" collapsed="false">
      <c r="A102" s="83" t="s">
        <v>265</v>
      </c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9" t="n">
        <v>0</v>
      </c>
      <c r="AC102" s="83"/>
      <c r="AD102" s="83"/>
      <c r="AE102" s="9"/>
      <c r="AF102" s="9"/>
      <c r="AG102" s="9" t="n">
        <v>-1.07</v>
      </c>
      <c r="AH102" s="9"/>
      <c r="AI102" s="9"/>
      <c r="AJ102" s="9"/>
      <c r="AK102" s="9"/>
      <c r="AL102" s="9"/>
      <c r="AM102" s="9"/>
      <c r="AN102" s="9"/>
      <c r="AO102" s="9"/>
      <c r="AP102" s="9"/>
      <c r="AQ102" s="6"/>
      <c r="AR102" s="6"/>
      <c r="AS102" s="6"/>
    </row>
    <row r="103" customFormat="false" ht="15" hidden="false" customHeight="true" outlineLevel="0" collapsed="false">
      <c r="A103" s="83" t="s">
        <v>266</v>
      </c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9" t="n">
        <v>0.29</v>
      </c>
      <c r="AC103" s="83"/>
      <c r="AD103" s="83"/>
      <c r="AE103" s="9"/>
      <c r="AF103" s="9"/>
      <c r="AG103" s="9" t="n">
        <v>0.86</v>
      </c>
      <c r="AH103" s="9"/>
      <c r="AI103" s="9"/>
      <c r="AJ103" s="9"/>
      <c r="AK103" s="9"/>
      <c r="AL103" s="9"/>
      <c r="AM103" s="9"/>
      <c r="AN103" s="9"/>
      <c r="AO103" s="9"/>
      <c r="AP103" s="9"/>
      <c r="AQ103" s="6"/>
      <c r="AR103" s="6"/>
      <c r="AS103" s="6"/>
    </row>
    <row r="104" customFormat="false" ht="15" hidden="false" customHeight="true" outlineLevel="0" collapsed="false">
      <c r="A104" s="83" t="s">
        <v>267</v>
      </c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9"/>
      <c r="AC104" s="83"/>
      <c r="AD104" s="83"/>
      <c r="AE104" s="9"/>
      <c r="AF104" s="9"/>
      <c r="AG104" s="9" t="n">
        <v>-0.71</v>
      </c>
      <c r="AH104" s="9"/>
      <c r="AI104" s="9"/>
      <c r="AJ104" s="9"/>
      <c r="AK104" s="9"/>
      <c r="AL104" s="9"/>
      <c r="AM104" s="9"/>
      <c r="AN104" s="9"/>
      <c r="AO104" s="9"/>
      <c r="AP104" s="9"/>
      <c r="AQ104" s="6"/>
      <c r="AR104" s="6" t="n">
        <v>2.89</v>
      </c>
      <c r="AS104" s="6" t="n">
        <v>0.42</v>
      </c>
    </row>
    <row r="105" customFormat="false" ht="15" hidden="false" customHeight="true" outlineLevel="0" collapsed="false">
      <c r="A105" s="83" t="s">
        <v>269</v>
      </c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9"/>
      <c r="AC105" s="83"/>
      <c r="AD105" s="83"/>
      <c r="AE105" s="9"/>
      <c r="AF105" s="9"/>
      <c r="AG105" s="9"/>
      <c r="AH105" s="9" t="n">
        <v>0.21</v>
      </c>
      <c r="AI105" s="9" t="n">
        <v>1.55</v>
      </c>
      <c r="AJ105" s="9" t="n">
        <v>-0.05</v>
      </c>
      <c r="AK105" s="9" t="n">
        <v>-0.21</v>
      </c>
      <c r="AL105" s="9"/>
      <c r="AM105" s="9" t="n">
        <v>0.82</v>
      </c>
      <c r="AN105" s="9"/>
      <c r="AO105" s="9"/>
      <c r="AP105" s="9" t="n">
        <v>1</v>
      </c>
      <c r="AQ105" s="6" t="n">
        <v>-0.35</v>
      </c>
      <c r="AR105" s="6" t="n">
        <v>-0.13</v>
      </c>
      <c r="AS105" s="6" t="n">
        <v>0.63</v>
      </c>
    </row>
    <row r="106" customFormat="false" ht="15" hidden="false" customHeight="true" outlineLevel="0" collapsed="false">
      <c r="A106" s="83" t="s">
        <v>271</v>
      </c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9"/>
      <c r="AC106" s="83"/>
      <c r="AD106" s="83"/>
      <c r="AE106" s="9"/>
      <c r="AF106" s="9"/>
      <c r="AG106" s="9"/>
      <c r="AH106" s="9" t="n">
        <v>-0.73</v>
      </c>
      <c r="AI106" s="9" t="n">
        <v>1.11</v>
      </c>
      <c r="AJ106" s="9" t="n">
        <v>-0.99</v>
      </c>
      <c r="AK106" s="9"/>
      <c r="AL106" s="9"/>
      <c r="AM106" s="9" t="n">
        <v>-0.07</v>
      </c>
      <c r="AN106" s="9"/>
      <c r="AO106" s="9"/>
      <c r="AP106" s="9" t="n">
        <v>-0.65</v>
      </c>
      <c r="AQ106" s="6" t="n">
        <v>-0.18</v>
      </c>
      <c r="AR106" s="6" t="n">
        <v>0.64</v>
      </c>
      <c r="AS106" s="6" t="n">
        <v>-2.24</v>
      </c>
    </row>
    <row r="107" customFormat="false" ht="15" hidden="false" customHeight="true" outlineLevel="0" collapsed="false">
      <c r="A107" s="83" t="s">
        <v>273</v>
      </c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9" t="n">
        <v>-0.63</v>
      </c>
      <c r="AC107" s="83"/>
      <c r="AD107" s="83"/>
      <c r="AE107" s="9"/>
      <c r="AF107" s="9" t="n">
        <v>0.33</v>
      </c>
      <c r="AG107" s="9" t="n">
        <v>-1.23</v>
      </c>
      <c r="AH107" s="9" t="n">
        <v>-2.64</v>
      </c>
      <c r="AI107" s="9" t="n">
        <v>-0.03</v>
      </c>
      <c r="AJ107" s="9" t="n">
        <v>-1.55</v>
      </c>
      <c r="AK107" s="9" t="n">
        <v>-1.39</v>
      </c>
      <c r="AL107" s="9"/>
      <c r="AM107" s="9" t="n">
        <v>0.37</v>
      </c>
      <c r="AN107" s="9"/>
      <c r="AO107" s="9"/>
      <c r="AP107" s="9" t="n">
        <v>-0.52</v>
      </c>
      <c r="AQ107" s="6" t="n">
        <v>-0.33</v>
      </c>
      <c r="AR107" s="6" t="n">
        <v>-0.52</v>
      </c>
      <c r="AS107" s="6" t="n">
        <v>-0.78</v>
      </c>
    </row>
    <row r="108" customFormat="false" ht="15" hidden="false" customHeight="true" outlineLevel="0" collapsed="false">
      <c r="A108" s="83" t="s">
        <v>274</v>
      </c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9"/>
      <c r="AC108" s="83"/>
      <c r="AD108" s="83"/>
      <c r="AE108" s="9"/>
      <c r="AF108" s="9"/>
      <c r="AG108" s="9"/>
      <c r="AH108" s="9"/>
      <c r="AI108" s="9"/>
      <c r="AJ108" s="9"/>
      <c r="AK108" s="9"/>
      <c r="AL108" s="9"/>
      <c r="AM108" s="9" t="n">
        <v>-0.05</v>
      </c>
      <c r="AN108" s="9"/>
      <c r="AO108" s="9"/>
      <c r="AP108" s="9"/>
      <c r="AQ108" s="6"/>
      <c r="AR108" s="6" t="n">
        <v>-1.28</v>
      </c>
      <c r="AS108" s="6"/>
    </row>
    <row r="109" customFormat="false" ht="15" hidden="false" customHeight="true" outlineLevel="0" collapsed="false">
      <c r="A109" s="83" t="s">
        <v>275</v>
      </c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9" t="n">
        <v>1.25</v>
      </c>
      <c r="AC109" s="83"/>
      <c r="AD109" s="83"/>
      <c r="AE109" s="9" t="n">
        <v>1.58</v>
      </c>
      <c r="AF109" s="9" t="n">
        <v>1.2</v>
      </c>
      <c r="AG109" s="9" t="n">
        <v>-0.02</v>
      </c>
      <c r="AH109" s="9" t="n">
        <v>1.02</v>
      </c>
      <c r="AI109" s="9"/>
      <c r="AJ109" s="9" t="n">
        <v>0.77</v>
      </c>
      <c r="AK109" s="9" t="n">
        <v>-0.45</v>
      </c>
      <c r="AL109" s="9" t="n">
        <v>-1.07</v>
      </c>
      <c r="AM109" s="9"/>
      <c r="AN109" s="9" t="n">
        <v>-1.98</v>
      </c>
      <c r="AO109" s="9" t="n">
        <v>0.19</v>
      </c>
      <c r="AP109" s="9" t="n">
        <v>1.13</v>
      </c>
      <c r="AQ109" s="6"/>
      <c r="AR109" s="6" t="n">
        <v>1.2</v>
      </c>
      <c r="AS109" s="6" t="n">
        <v>1.65</v>
      </c>
    </row>
    <row r="110" customFormat="false" ht="15" hidden="false" customHeight="true" outlineLevel="0" collapsed="false">
      <c r="A110" s="83" t="s">
        <v>276</v>
      </c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9"/>
      <c r="AC110" s="83"/>
      <c r="AD110" s="83"/>
      <c r="AE110" s="9"/>
      <c r="AF110" s="9"/>
      <c r="AG110" s="9"/>
      <c r="AH110" s="9" t="n">
        <v>0.16</v>
      </c>
      <c r="AI110" s="9" t="n">
        <v>-1.21</v>
      </c>
      <c r="AJ110" s="9" t="n">
        <v>0.96</v>
      </c>
      <c r="AK110" s="9" t="n">
        <v>0.53</v>
      </c>
      <c r="AL110" s="9"/>
      <c r="AM110" s="9" t="n">
        <v>0.82</v>
      </c>
      <c r="AN110" s="9"/>
      <c r="AO110" s="9"/>
      <c r="AP110" s="9" t="n">
        <v>-0.3</v>
      </c>
      <c r="AQ110" s="6" t="n">
        <v>-0.27</v>
      </c>
      <c r="AR110" s="6" t="n">
        <v>0.91</v>
      </c>
      <c r="AS110" s="6" t="n">
        <v>1.32</v>
      </c>
    </row>
    <row r="111" customFormat="false" ht="15" hidden="false" customHeight="true" outlineLevel="0" collapsed="false">
      <c r="A111" s="83" t="s">
        <v>277</v>
      </c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9" t="n">
        <v>0.13</v>
      </c>
      <c r="AC111" s="83"/>
      <c r="AD111" s="83"/>
      <c r="AE111" s="9" t="n">
        <v>-0.87</v>
      </c>
      <c r="AF111" s="9" t="n">
        <v>1.26</v>
      </c>
      <c r="AG111" s="9" t="n">
        <v>0.06</v>
      </c>
      <c r="AH111" s="9" t="n">
        <v>0.57</v>
      </c>
      <c r="AI111" s="9"/>
      <c r="AJ111" s="9"/>
      <c r="AK111" s="9" t="n">
        <v>0.27</v>
      </c>
      <c r="AL111" s="9" t="n">
        <v>-0.21</v>
      </c>
      <c r="AM111" s="9"/>
      <c r="AN111" s="9" t="n">
        <v>-0.94</v>
      </c>
      <c r="AO111" s="9" t="n">
        <v>-0.59</v>
      </c>
      <c r="AP111" s="9" t="n">
        <v>-0.38</v>
      </c>
      <c r="AQ111" s="6" t="n">
        <v>0.28</v>
      </c>
      <c r="AR111" s="6" t="n">
        <v>-0.42</v>
      </c>
      <c r="AS111" s="6" t="n">
        <v>-1.18</v>
      </c>
    </row>
    <row r="112" customFormat="false" ht="15" hidden="false" customHeight="true" outlineLevel="0" collapsed="false">
      <c r="A112" s="83" t="s">
        <v>13</v>
      </c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9"/>
      <c r="AC112" s="83"/>
      <c r="AD112" s="83"/>
      <c r="AE112" s="9"/>
      <c r="AF112" s="9"/>
      <c r="AG112" s="9"/>
      <c r="AH112" s="9" t="n">
        <v>-0.19</v>
      </c>
      <c r="AI112" s="9" t="n">
        <v>0</v>
      </c>
      <c r="AJ112" s="9" t="n">
        <v>-0.29</v>
      </c>
      <c r="AK112" s="9"/>
      <c r="AL112" s="9"/>
      <c r="AM112" s="9" t="n">
        <v>0.17</v>
      </c>
      <c r="AN112" s="9" t="n">
        <v>-0.92</v>
      </c>
      <c r="AO112" s="9"/>
      <c r="AP112" s="9" t="n">
        <v>-0.05</v>
      </c>
      <c r="AQ112" s="6" t="n">
        <v>0.16</v>
      </c>
      <c r="AR112" s="6" t="n">
        <v>-1.01</v>
      </c>
      <c r="AS112" s="6" t="n">
        <v>0.11</v>
      </c>
    </row>
    <row r="113" customFormat="false" ht="15" hidden="false" customHeight="true" outlineLevel="0" collapsed="false">
      <c r="A113" s="83" t="s">
        <v>278</v>
      </c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9" t="n">
        <v>-0.46</v>
      </c>
      <c r="AC113" s="83"/>
      <c r="AD113" s="83"/>
      <c r="AE113" s="9"/>
      <c r="AF113" s="9"/>
      <c r="AG113" s="9"/>
      <c r="AH113" s="9" t="n">
        <v>-0.47</v>
      </c>
      <c r="AI113" s="9" t="n">
        <v>0.06</v>
      </c>
      <c r="AJ113" s="9"/>
      <c r="AK113" s="9" t="n">
        <v>-0.17</v>
      </c>
      <c r="AL113" s="9" t="n">
        <v>-0.16</v>
      </c>
      <c r="AM113" s="9" t="n">
        <v>-1.55</v>
      </c>
      <c r="AN113" s="9"/>
      <c r="AO113" s="9" t="n">
        <v>0.04</v>
      </c>
      <c r="AP113" s="9" t="n">
        <v>-1.11</v>
      </c>
      <c r="AQ113" s="6"/>
      <c r="AR113" s="6" t="n">
        <v>1.6</v>
      </c>
      <c r="AS113" s="6" t="n">
        <v>-0.99</v>
      </c>
    </row>
    <row r="114" customFormat="false" ht="15" hidden="false" customHeight="true" outlineLevel="0" collapsed="false">
      <c r="A114" s="83" t="s">
        <v>279</v>
      </c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9" t="n">
        <v>0.79</v>
      </c>
      <c r="AC114" s="83"/>
      <c r="AD114" s="83"/>
      <c r="AE114" s="9" t="n">
        <v>0.29</v>
      </c>
      <c r="AF114" s="9" t="n">
        <v>-0.09</v>
      </c>
      <c r="AG114" s="9" t="n">
        <v>1.09</v>
      </c>
      <c r="AH114" s="9"/>
      <c r="AI114" s="9" t="n">
        <v>-0.79</v>
      </c>
      <c r="AJ114" s="9"/>
      <c r="AK114" s="9" t="n">
        <v>-2.57</v>
      </c>
      <c r="AL114" s="9" t="n">
        <v>0.59</v>
      </c>
      <c r="AM114" s="9"/>
      <c r="AN114" s="9" t="n">
        <v>0.97</v>
      </c>
      <c r="AO114" s="9" t="n">
        <v>0.26</v>
      </c>
      <c r="AP114" s="9" t="n">
        <v>0.08</v>
      </c>
      <c r="AQ114" s="6"/>
      <c r="AR114" s="6" t="n">
        <v>-0.76</v>
      </c>
      <c r="AS114" s="6" t="n">
        <v>-0.51</v>
      </c>
    </row>
    <row r="115" customFormat="false" ht="15" hidden="false" customHeight="true" outlineLevel="0" collapsed="false">
      <c r="A115" s="83" t="s">
        <v>280</v>
      </c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9"/>
      <c r="AC115" s="83"/>
      <c r="AD115" s="83"/>
      <c r="AE115" s="9"/>
      <c r="AF115" s="9"/>
      <c r="AG115" s="9"/>
      <c r="AH115" s="9" t="n">
        <v>-0.7</v>
      </c>
      <c r="AI115" s="9" t="n">
        <v>-1.07</v>
      </c>
      <c r="AJ115" s="9" t="n">
        <v>-0.31</v>
      </c>
      <c r="AK115" s="9" t="n">
        <v>-1.36</v>
      </c>
      <c r="AL115" s="9"/>
      <c r="AM115" s="9" t="n">
        <v>0.1</v>
      </c>
      <c r="AN115" s="9"/>
      <c r="AO115" s="9"/>
      <c r="AP115" s="9" t="n">
        <v>-0.22</v>
      </c>
      <c r="AQ115" s="6"/>
      <c r="AR115" s="6" t="n">
        <v>-0.54</v>
      </c>
      <c r="AS115" s="6" t="n">
        <v>1.56</v>
      </c>
    </row>
    <row r="116" customFormat="false" ht="15" hidden="false" customHeight="true" outlineLevel="0" collapsed="false">
      <c r="A116" s="83" t="s">
        <v>281</v>
      </c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9"/>
      <c r="AC116" s="83"/>
      <c r="AD116" s="83"/>
      <c r="AE116" s="9"/>
      <c r="AF116" s="9" t="n">
        <v>-2.49</v>
      </c>
      <c r="AG116" s="9" t="n">
        <v>0.68</v>
      </c>
      <c r="AH116" s="9"/>
      <c r="AI116" s="9" t="n">
        <v>1.29</v>
      </c>
      <c r="AJ116" s="9"/>
      <c r="AK116" s="9" t="n">
        <v>3.27</v>
      </c>
      <c r="AL116" s="9"/>
      <c r="AM116" s="9"/>
      <c r="AN116" s="9" t="n">
        <v>1.47</v>
      </c>
      <c r="AO116" s="9" t="n">
        <v>1.52</v>
      </c>
      <c r="AP116" s="9" t="n">
        <v>-0.03</v>
      </c>
      <c r="AQ116" s="6" t="n">
        <v>2.02</v>
      </c>
      <c r="AR116" s="6"/>
      <c r="AS116" s="6" t="n">
        <v>1.12</v>
      </c>
    </row>
    <row r="117" customFormat="false" ht="15" hidden="false" customHeight="true" outlineLevel="0" collapsed="false">
      <c r="A117" s="83" t="s">
        <v>282</v>
      </c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9"/>
      <c r="AC117" s="83"/>
      <c r="AD117" s="83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6"/>
      <c r="AR117" s="6"/>
      <c r="AS117" s="6"/>
    </row>
    <row r="118" customFormat="false" ht="15" hidden="false" customHeight="true" outlineLevel="0" collapsed="false">
      <c r="A118" s="83" t="s">
        <v>283</v>
      </c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9" t="n">
        <v>-0.12</v>
      </c>
      <c r="AC118" s="83"/>
      <c r="AD118" s="83"/>
      <c r="AE118" s="9"/>
      <c r="AF118" s="9"/>
      <c r="AG118" s="9" t="n">
        <v>0.16</v>
      </c>
      <c r="AH118" s="9"/>
      <c r="AI118" s="9" t="n">
        <v>-1.55</v>
      </c>
      <c r="AJ118" s="9" t="n">
        <v>0.5</v>
      </c>
      <c r="AK118" s="9" t="n">
        <v>-0.16</v>
      </c>
      <c r="AL118" s="9"/>
      <c r="AM118" s="9" t="n">
        <v>0.66</v>
      </c>
      <c r="AN118" s="9"/>
      <c r="AO118" s="9"/>
      <c r="AP118" s="9" t="n">
        <v>-1.68</v>
      </c>
      <c r="AQ118" s="6" t="n">
        <v>-2.37</v>
      </c>
      <c r="AR118" s="6"/>
      <c r="AS118" s="6"/>
    </row>
    <row r="119" customFormat="false" ht="15" hidden="false" customHeight="true" outlineLevel="0" collapsed="false">
      <c r="A119" s="83" t="s">
        <v>284</v>
      </c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9"/>
      <c r="AC119" s="83"/>
      <c r="AD119" s="83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6"/>
      <c r="AR119" s="6"/>
      <c r="AS119" s="6"/>
    </row>
    <row r="120" customFormat="false" ht="15" hidden="false" customHeight="true" outlineLevel="0" collapsed="false">
      <c r="A120" s="83" t="s">
        <v>285</v>
      </c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9"/>
      <c r="AC120" s="83"/>
      <c r="AD120" s="83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6"/>
      <c r="AR120" s="6"/>
      <c r="AS120" s="6"/>
    </row>
    <row r="121" customFormat="false" ht="15" hidden="false" customHeight="true" outlineLevel="0" collapsed="false">
      <c r="A121" s="83" t="s">
        <v>287</v>
      </c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9"/>
      <c r="AC121" s="83"/>
      <c r="AD121" s="83"/>
      <c r="AE121" s="9"/>
      <c r="AF121" s="9"/>
      <c r="AG121" s="9"/>
      <c r="AH121" s="9" t="n">
        <v>0.46</v>
      </c>
      <c r="AI121" s="9" t="n">
        <v>1.35</v>
      </c>
      <c r="AJ121" s="9" t="n">
        <v>0.25</v>
      </c>
      <c r="AK121" s="9"/>
      <c r="AL121" s="9"/>
      <c r="AM121" s="9" t="n">
        <v>0.04</v>
      </c>
      <c r="AN121" s="9"/>
      <c r="AO121" s="9"/>
      <c r="AP121" s="9"/>
      <c r="AQ121" s="6" t="n">
        <v>0.38</v>
      </c>
      <c r="AR121" s="6" t="n">
        <v>1.78</v>
      </c>
      <c r="AS121" s="6"/>
    </row>
    <row r="122" customFormat="false" ht="15" hidden="false" customHeight="true" outlineLevel="0" collapsed="false">
      <c r="A122" s="83" t="s">
        <v>290</v>
      </c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9"/>
      <c r="AC122" s="83"/>
      <c r="AD122" s="83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6"/>
      <c r="AR122" s="6"/>
      <c r="AS122" s="6"/>
    </row>
    <row r="123" customFormat="false" ht="15" hidden="false" customHeight="true" outlineLevel="0" collapsed="false">
      <c r="A123" s="83" t="s">
        <v>291</v>
      </c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9"/>
      <c r="AC123" s="83"/>
      <c r="AD123" s="83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6"/>
      <c r="AR123" s="6"/>
      <c r="AS123" s="6"/>
    </row>
    <row r="124" customFormat="false" ht="15" hidden="false" customHeight="true" outlineLevel="0" collapsed="false">
      <c r="A124" s="83" t="s">
        <v>292</v>
      </c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9"/>
      <c r="AC124" s="83"/>
      <c r="AD124" s="83"/>
      <c r="AE124" s="9"/>
      <c r="AF124" s="9"/>
      <c r="AG124" s="9"/>
      <c r="AH124" s="9" t="n">
        <v>0.89</v>
      </c>
      <c r="AI124" s="9" t="n">
        <v>-2.46</v>
      </c>
      <c r="AJ124" s="9"/>
      <c r="AK124" s="9"/>
      <c r="AL124" s="9"/>
      <c r="AM124" s="9" t="n">
        <v>-0.93</v>
      </c>
      <c r="AN124" s="9"/>
      <c r="AO124" s="9"/>
      <c r="AP124" s="9" t="n">
        <v>1.36</v>
      </c>
      <c r="AQ124" s="6" t="n">
        <v>-1.58</v>
      </c>
      <c r="AR124" s="6" t="n">
        <v>-3.58</v>
      </c>
      <c r="AS124" s="6" t="n">
        <v>-2.8</v>
      </c>
    </row>
    <row r="125" customFormat="false" ht="15" hidden="false" customHeight="true" outlineLevel="0" collapsed="false">
      <c r="A125" s="83" t="s">
        <v>294</v>
      </c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9"/>
      <c r="AC125" s="83"/>
      <c r="AD125" s="83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6"/>
      <c r="AR125" s="6" t="n">
        <v>-2.29</v>
      </c>
      <c r="AS125" s="6" t="n">
        <v>0.8</v>
      </c>
    </row>
    <row r="126" customFormat="false" ht="15" hidden="false" customHeight="true" outlineLevel="0" collapsed="false">
      <c r="A126" s="83" t="s">
        <v>295</v>
      </c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9"/>
      <c r="AC126" s="83"/>
      <c r="AD126" s="83"/>
      <c r="AE126" s="9"/>
      <c r="AF126" s="9"/>
      <c r="AG126" s="9"/>
      <c r="AH126" s="9" t="n">
        <v>1.28</v>
      </c>
      <c r="AI126" s="9" t="n">
        <v>0</v>
      </c>
      <c r="AJ126" s="9" t="n">
        <v>-0.59</v>
      </c>
      <c r="AK126" s="9"/>
      <c r="AL126" s="9"/>
      <c r="AM126" s="9" t="n">
        <v>0.4</v>
      </c>
      <c r="AN126" s="9"/>
      <c r="AO126" s="9"/>
      <c r="AP126" s="9" t="n">
        <v>-1.06</v>
      </c>
      <c r="AQ126" s="6" t="n">
        <v>-1.27</v>
      </c>
      <c r="AR126" s="6" t="n">
        <v>0.75</v>
      </c>
      <c r="AS126" s="6" t="n">
        <v>-0.78</v>
      </c>
    </row>
    <row r="127" customFormat="false" ht="15" hidden="false" customHeight="true" outlineLevel="0" collapsed="false">
      <c r="A127" s="83" t="s">
        <v>297</v>
      </c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9"/>
      <c r="AC127" s="83"/>
      <c r="AD127" s="83"/>
      <c r="AE127" s="9"/>
      <c r="AF127" s="9"/>
      <c r="AG127" s="9"/>
      <c r="AH127" s="9" t="n">
        <v>-2.07</v>
      </c>
      <c r="AI127" s="9" t="n">
        <v>0.98</v>
      </c>
      <c r="AJ127" s="9"/>
      <c r="AK127" s="9"/>
      <c r="AL127" s="9"/>
      <c r="AM127" s="9" t="n">
        <v>0.29</v>
      </c>
      <c r="AN127" s="9"/>
      <c r="AO127" s="9"/>
      <c r="AP127" s="9"/>
      <c r="AQ127" s="6"/>
      <c r="AR127" s="6"/>
      <c r="AS127" s="6"/>
    </row>
    <row r="128" customFormat="false" ht="15" hidden="false" customHeight="true" outlineLevel="0" collapsed="false">
      <c r="A128" s="83" t="s">
        <v>298</v>
      </c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9" t="n">
        <v>0.07</v>
      </c>
      <c r="AC128" s="83"/>
      <c r="AD128" s="83"/>
      <c r="AE128" s="9" t="n">
        <v>1.03</v>
      </c>
      <c r="AF128" s="9" t="n">
        <v>-1.12</v>
      </c>
      <c r="AG128" s="9" t="n">
        <v>-0.74</v>
      </c>
      <c r="AH128" s="9"/>
      <c r="AI128" s="9" t="n">
        <v>0.8</v>
      </c>
      <c r="AJ128" s="9"/>
      <c r="AK128" s="9" t="n">
        <v>0.49</v>
      </c>
      <c r="AL128" s="9" t="n">
        <v>0.37</v>
      </c>
      <c r="AM128" s="9"/>
      <c r="AN128" s="9" t="n">
        <v>0.96</v>
      </c>
      <c r="AO128" s="9" t="n">
        <v>2.03</v>
      </c>
      <c r="AP128" s="9" t="n">
        <v>-0.39</v>
      </c>
      <c r="AQ128" s="6"/>
      <c r="AR128" s="6" t="n">
        <v>-1.04</v>
      </c>
      <c r="AS128" s="6"/>
    </row>
    <row r="129" customFormat="false" ht="15" hidden="false" customHeight="true" outlineLevel="0" collapsed="false">
      <c r="A129" s="83" t="s">
        <v>299</v>
      </c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9"/>
      <c r="AC129" s="83"/>
      <c r="AD129" s="83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 t="n">
        <v>0.94</v>
      </c>
      <c r="AQ129" s="6" t="n">
        <v>-3.23</v>
      </c>
      <c r="AR129" s="6" t="n">
        <v>-0.81</v>
      </c>
      <c r="AS129" s="6" t="n">
        <v>0.86</v>
      </c>
    </row>
    <row r="130" customFormat="false" ht="15" hidden="false" customHeight="true" outlineLevel="0" collapsed="false">
      <c r="A130" s="83" t="s">
        <v>300</v>
      </c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9" t="n">
        <v>0.31</v>
      </c>
      <c r="AC130" s="83"/>
      <c r="AD130" s="83"/>
      <c r="AE130" s="9"/>
      <c r="AF130" s="9"/>
      <c r="AG130" s="9" t="n">
        <v>0.77</v>
      </c>
      <c r="AH130" s="9" t="n">
        <v>-0.7</v>
      </c>
      <c r="AI130" s="9" t="n">
        <v>-0.67</v>
      </c>
      <c r="AJ130" s="9"/>
      <c r="AK130" s="9" t="n">
        <v>-0.08</v>
      </c>
      <c r="AL130" s="9" t="n">
        <v>0.5</v>
      </c>
      <c r="AM130" s="9" t="n">
        <v>0.51</v>
      </c>
      <c r="AN130" s="9"/>
      <c r="AO130" s="9"/>
      <c r="AP130" s="9" t="n">
        <v>-1.26</v>
      </c>
      <c r="AQ130" s="6" t="n">
        <v>0.18</v>
      </c>
      <c r="AR130" s="6" t="n">
        <v>0.55</v>
      </c>
      <c r="AS130" s="6" t="n">
        <v>-1.1</v>
      </c>
    </row>
    <row r="131" customFormat="false" ht="15" hidden="false" customHeight="true" outlineLevel="0" collapsed="false">
      <c r="A131" s="83" t="s">
        <v>303</v>
      </c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9" t="n">
        <v>-1.19</v>
      </c>
      <c r="AC131" s="83"/>
      <c r="AD131" s="83"/>
      <c r="AE131" s="9" t="n">
        <v>-0.09</v>
      </c>
      <c r="AF131" s="9" t="n">
        <v>-0.07</v>
      </c>
      <c r="AG131" s="9"/>
      <c r="AH131" s="9" t="n">
        <v>-1.71</v>
      </c>
      <c r="AI131" s="9" t="n">
        <v>-1.72</v>
      </c>
      <c r="AJ131" s="9" t="n">
        <v>1.22</v>
      </c>
      <c r="AK131" s="9"/>
      <c r="AL131" s="9"/>
      <c r="AM131" s="9" t="n">
        <v>0.01</v>
      </c>
      <c r="AN131" s="9"/>
      <c r="AO131" s="9"/>
      <c r="AP131" s="9"/>
      <c r="AQ131" s="6" t="n">
        <v>0.82</v>
      </c>
      <c r="AR131" s="6" t="n">
        <v>1.22</v>
      </c>
      <c r="AS131" s="6"/>
    </row>
    <row r="132" customFormat="false" ht="15" hidden="false" customHeight="true" outlineLevel="0" collapsed="false">
      <c r="A132" s="83" t="s">
        <v>304</v>
      </c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9"/>
      <c r="AC132" s="83"/>
      <c r="AD132" s="83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 t="n">
        <v>-2.19</v>
      </c>
      <c r="AQ132" s="6" t="n">
        <v>1.18</v>
      </c>
      <c r="AR132" s="6"/>
      <c r="AS132" s="6"/>
    </row>
    <row r="133" customFormat="false" ht="15" hidden="false" customHeight="true" outlineLevel="0" collapsed="false">
      <c r="A133" s="83" t="s">
        <v>305</v>
      </c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9"/>
      <c r="AC133" s="83"/>
      <c r="AD133" s="83"/>
      <c r="AE133" s="9"/>
      <c r="AF133" s="9"/>
      <c r="AG133" s="9"/>
      <c r="AH133" s="9" t="n">
        <v>-1</v>
      </c>
      <c r="AI133" s="9"/>
      <c r="AJ133" s="9"/>
      <c r="AK133" s="9"/>
      <c r="AL133" s="9"/>
      <c r="AM133" s="9" t="n">
        <v>1.1</v>
      </c>
      <c r="AN133" s="9"/>
      <c r="AO133" s="9"/>
      <c r="AP133" s="9"/>
      <c r="AQ133" s="6" t="n">
        <v>0.25</v>
      </c>
      <c r="AR133" s="6" t="n">
        <v>-2.31</v>
      </c>
      <c r="AS133" s="6"/>
    </row>
    <row r="134" customFormat="false" ht="15" hidden="false" customHeight="true" outlineLevel="0" collapsed="false">
      <c r="A134" s="83" t="s">
        <v>306</v>
      </c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9" t="n">
        <v>0.21</v>
      </c>
      <c r="AC134" s="83"/>
      <c r="AD134" s="83"/>
      <c r="AE134" s="9" t="n">
        <v>0.88</v>
      </c>
      <c r="AF134" s="9" t="n">
        <v>0.75</v>
      </c>
      <c r="AG134" s="9" t="n">
        <v>-0.05</v>
      </c>
      <c r="AH134" s="9"/>
      <c r="AI134" s="9" t="n">
        <v>0.31</v>
      </c>
      <c r="AJ134" s="9"/>
      <c r="AK134" s="9" t="n">
        <v>-0.1</v>
      </c>
      <c r="AL134" s="9" t="n">
        <v>-1.06</v>
      </c>
      <c r="AM134" s="9" t="n">
        <v>1.24</v>
      </c>
      <c r="AN134" s="9" t="n">
        <v>0.21</v>
      </c>
      <c r="AO134" s="9" t="n">
        <v>1.07</v>
      </c>
      <c r="AP134" s="9"/>
      <c r="AQ134" s="6"/>
      <c r="AR134" s="6"/>
      <c r="AS134" s="6"/>
    </row>
    <row r="135" customFormat="false" ht="15" hidden="false" customHeight="true" outlineLevel="0" collapsed="false">
      <c r="A135" s="83" t="s">
        <v>308</v>
      </c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9" t="n">
        <v>-0.61</v>
      </c>
      <c r="AC135" s="83"/>
      <c r="AD135" s="83"/>
      <c r="AE135" s="9"/>
      <c r="AF135" s="9" t="n">
        <v>0.74</v>
      </c>
      <c r="AG135" s="9" t="n">
        <v>0.67</v>
      </c>
      <c r="AH135" s="9" t="n">
        <v>0.78</v>
      </c>
      <c r="AI135" s="9"/>
      <c r="AJ135" s="9"/>
      <c r="AK135" s="9" t="n">
        <v>1.27</v>
      </c>
      <c r="AL135" s="9" t="n">
        <v>0.64</v>
      </c>
      <c r="AM135" s="9"/>
      <c r="AN135" s="9" t="n">
        <v>1.57</v>
      </c>
      <c r="AO135" s="9" t="n">
        <v>1.1</v>
      </c>
      <c r="AP135" s="9"/>
      <c r="AQ135" s="6"/>
      <c r="AR135" s="6" t="n">
        <v>1.32</v>
      </c>
      <c r="AS135" s="6" t="n">
        <v>0.31</v>
      </c>
    </row>
    <row r="136" customFormat="false" ht="15" hidden="false" customHeight="true" outlineLevel="0" collapsed="false">
      <c r="A136" s="83" t="s">
        <v>309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9"/>
      <c r="AC136" s="83"/>
      <c r="AD136" s="83"/>
      <c r="AE136" s="9"/>
      <c r="AF136" s="9"/>
      <c r="AG136" s="9"/>
      <c r="AH136" s="9" t="n">
        <v>0.36</v>
      </c>
      <c r="AI136" s="9" t="n">
        <v>-0.39</v>
      </c>
      <c r="AJ136" s="9" t="n">
        <v>-0.19</v>
      </c>
      <c r="AK136" s="9"/>
      <c r="AL136" s="9"/>
      <c r="AM136" s="9" t="n">
        <v>0.93</v>
      </c>
      <c r="AN136" s="9"/>
      <c r="AO136" s="9"/>
      <c r="AP136" s="9" t="n">
        <v>-0.39</v>
      </c>
      <c r="AQ136" s="6" t="n">
        <v>0.43</v>
      </c>
      <c r="AR136" s="6" t="n">
        <v>0.52</v>
      </c>
      <c r="AS136" s="6" t="n">
        <v>1.3</v>
      </c>
    </row>
    <row r="137" customFormat="false" ht="15" hidden="false" customHeight="true" outlineLevel="0" collapsed="false">
      <c r="A137" s="83" t="s">
        <v>310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9"/>
      <c r="AC137" s="83"/>
      <c r="AD137" s="83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6"/>
      <c r="AR137" s="6"/>
      <c r="AS137" s="6"/>
    </row>
    <row r="138" customFormat="false" ht="15" hidden="false" customHeight="true" outlineLevel="0" collapsed="false">
      <c r="A138" s="83" t="s">
        <v>312</v>
      </c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9"/>
      <c r="AC138" s="83"/>
      <c r="AD138" s="83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6"/>
      <c r="AR138" s="6"/>
      <c r="AS138" s="6"/>
    </row>
    <row r="139" customFormat="false" ht="15" hidden="false" customHeight="true" outlineLevel="0" collapsed="false">
      <c r="A139" s="83" t="s">
        <v>313</v>
      </c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9" t="n">
        <v>0.78</v>
      </c>
      <c r="AC139" s="83"/>
      <c r="AD139" s="83"/>
      <c r="AE139" s="9" t="n">
        <v>-0.5</v>
      </c>
      <c r="AF139" s="9"/>
      <c r="AG139" s="9" t="n">
        <v>0.69</v>
      </c>
      <c r="AH139" s="9" t="n">
        <v>0.01</v>
      </c>
      <c r="AI139" s="9"/>
      <c r="AJ139" s="9"/>
      <c r="AK139" s="9" t="n">
        <v>0.69</v>
      </c>
      <c r="AL139" s="9" t="n">
        <v>-0.06</v>
      </c>
      <c r="AM139" s="9"/>
      <c r="AN139" s="9" t="n">
        <v>0.45</v>
      </c>
      <c r="AO139" s="9" t="n">
        <v>1.14</v>
      </c>
      <c r="AP139" s="9" t="n">
        <v>1.55</v>
      </c>
      <c r="AQ139" s="6" t="n">
        <v>-0.47</v>
      </c>
      <c r="AR139" s="6"/>
      <c r="AS139" s="6" t="n">
        <v>-0.64</v>
      </c>
    </row>
    <row r="140" customFormat="false" ht="15" hidden="false" customHeight="true" outlineLevel="0" collapsed="false">
      <c r="A140" s="83" t="s">
        <v>314</v>
      </c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9" t="n">
        <v>1.26</v>
      </c>
      <c r="AC140" s="83"/>
      <c r="AD140" s="83"/>
      <c r="AE140" s="9" t="n">
        <v>1.29</v>
      </c>
      <c r="AF140" s="9" t="n">
        <v>-0.41</v>
      </c>
      <c r="AG140" s="9"/>
      <c r="AH140" s="9" t="n">
        <v>2.95</v>
      </c>
      <c r="AI140" s="9" t="n">
        <v>1.05</v>
      </c>
      <c r="AJ140" s="9" t="n">
        <v>0.5</v>
      </c>
      <c r="AK140" s="9" t="n">
        <v>-1.07</v>
      </c>
      <c r="AL140" s="9" t="n">
        <v>-1.14</v>
      </c>
      <c r="AM140" s="9"/>
      <c r="AN140" s="9" t="n">
        <v>0.42</v>
      </c>
      <c r="AO140" s="9" t="n">
        <v>0.43</v>
      </c>
      <c r="AP140" s="9"/>
      <c r="AQ140" s="6" t="n">
        <v>-0.08</v>
      </c>
      <c r="AR140" s="6" t="n">
        <v>0.19</v>
      </c>
      <c r="AS140" s="6" t="n">
        <v>0.49</v>
      </c>
    </row>
    <row r="141" customFormat="false" ht="15" hidden="false" customHeight="true" outlineLevel="0" collapsed="false">
      <c r="A141" s="83" t="s">
        <v>315</v>
      </c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9" t="n">
        <v>-2.09</v>
      </c>
      <c r="AC141" s="83"/>
      <c r="AD141" s="83"/>
      <c r="AE141" s="9" t="n">
        <v>0.21</v>
      </c>
      <c r="AF141" s="9" t="n">
        <v>0.32</v>
      </c>
      <c r="AG141" s="9" t="n">
        <v>1.36</v>
      </c>
      <c r="AH141" s="9" t="n">
        <v>-0.71</v>
      </c>
      <c r="AI141" s="9"/>
      <c r="AJ141" s="9" t="n">
        <v>-2.44</v>
      </c>
      <c r="AK141" s="9" t="n">
        <v>0.85</v>
      </c>
      <c r="AL141" s="9" t="n">
        <v>1.08</v>
      </c>
      <c r="AM141" s="9"/>
      <c r="AN141" s="9" t="n">
        <v>0.63</v>
      </c>
      <c r="AO141" s="9" t="n">
        <v>0.37</v>
      </c>
      <c r="AP141" s="9" t="n">
        <v>1.25</v>
      </c>
      <c r="AQ141" s="6" t="n">
        <v>1.17</v>
      </c>
      <c r="AR141" s="6" t="n">
        <v>0.48</v>
      </c>
      <c r="AS141" s="6" t="n">
        <v>-0.2</v>
      </c>
    </row>
    <row r="142" customFormat="false" ht="15" hidden="false" customHeight="true" outlineLevel="0" collapsed="false">
      <c r="A142" s="83" t="s">
        <v>316</v>
      </c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9" t="n">
        <v>-1.3</v>
      </c>
      <c r="AC142" s="83"/>
      <c r="AD142" s="83"/>
      <c r="AE142" s="9"/>
      <c r="AF142" s="9"/>
      <c r="AG142" s="9"/>
      <c r="AH142" s="9" t="n">
        <v>-0.92</v>
      </c>
      <c r="AI142" s="9" t="n">
        <v>0.27</v>
      </c>
      <c r="AJ142" s="9" t="n">
        <v>-1.56</v>
      </c>
      <c r="AK142" s="9" t="n">
        <v>0.25</v>
      </c>
      <c r="AL142" s="9"/>
      <c r="AM142" s="9" t="n">
        <v>-1.17</v>
      </c>
      <c r="AN142" s="9" t="n">
        <v>-1.28</v>
      </c>
      <c r="AO142" s="9" t="n">
        <v>-0.11</v>
      </c>
      <c r="AP142" s="9" t="n">
        <v>-0.72</v>
      </c>
      <c r="AQ142" s="6" t="n">
        <v>0.78</v>
      </c>
      <c r="AR142" s="6" t="n">
        <v>0.59</v>
      </c>
      <c r="AS142" s="6" t="n">
        <v>-1.94</v>
      </c>
    </row>
    <row r="143" customFormat="false" ht="15" hidden="false" customHeight="true" outlineLevel="0" collapsed="false">
      <c r="A143" s="83" t="s">
        <v>317</v>
      </c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9" t="n">
        <v>-2.28</v>
      </c>
      <c r="AC143" s="83"/>
      <c r="AD143" s="83"/>
      <c r="AE143" s="9"/>
      <c r="AF143" s="9"/>
      <c r="AG143" s="9" t="n">
        <v>-1.91</v>
      </c>
      <c r="AH143" s="9"/>
      <c r="AI143" s="9"/>
      <c r="AJ143" s="9"/>
      <c r="AK143" s="9"/>
      <c r="AL143" s="9"/>
      <c r="AM143" s="9"/>
      <c r="AN143" s="9"/>
      <c r="AO143" s="9"/>
      <c r="AP143" s="9"/>
      <c r="AQ143" s="6"/>
      <c r="AR143" s="6"/>
      <c r="AS143" s="6"/>
    </row>
    <row r="144" customFormat="false" ht="15" hidden="false" customHeight="true" outlineLevel="0" collapsed="false">
      <c r="A144" s="83" t="s">
        <v>318</v>
      </c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9" t="n">
        <v>1.35</v>
      </c>
      <c r="AC144" s="83"/>
      <c r="AD144" s="83"/>
      <c r="AE144" s="9"/>
      <c r="AF144" s="9"/>
      <c r="AG144" s="9" t="n">
        <v>0.75</v>
      </c>
      <c r="AH144" s="9"/>
      <c r="AI144" s="9"/>
      <c r="AJ144" s="9"/>
      <c r="AK144" s="9" t="n">
        <v>-1.22</v>
      </c>
      <c r="AL144" s="9" t="n">
        <v>1.27</v>
      </c>
      <c r="AM144" s="9"/>
      <c r="AN144" s="9" t="n">
        <v>0.57</v>
      </c>
      <c r="AO144" s="9" t="n">
        <v>0.06</v>
      </c>
      <c r="AP144" s="9"/>
      <c r="AQ144" s="6"/>
      <c r="AR144" s="6"/>
      <c r="AS144" s="6"/>
    </row>
    <row r="145" customFormat="false" ht="15" hidden="false" customHeight="true" outlineLevel="0" collapsed="false">
      <c r="A145" s="83" t="s">
        <v>319</v>
      </c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9" t="n">
        <v>0.34</v>
      </c>
      <c r="AC145" s="83"/>
      <c r="AD145" s="83"/>
      <c r="AE145" s="9" t="n">
        <v>1.36</v>
      </c>
      <c r="AF145" s="9" t="n">
        <v>1.62</v>
      </c>
      <c r="AG145" s="9" t="n">
        <v>0.97</v>
      </c>
      <c r="AH145" s="9" t="n">
        <v>1.49</v>
      </c>
      <c r="AI145" s="9"/>
      <c r="AJ145" s="9"/>
      <c r="AK145" s="9" t="n">
        <v>0.84</v>
      </c>
      <c r="AL145" s="9" t="n">
        <v>0.15</v>
      </c>
      <c r="AM145" s="9"/>
      <c r="AN145" s="9" t="n">
        <v>-1.42</v>
      </c>
      <c r="AO145" s="9" t="n">
        <v>-0.29</v>
      </c>
      <c r="AP145" s="9" t="n">
        <v>0.6</v>
      </c>
      <c r="AQ145" s="6" t="n">
        <v>0.35</v>
      </c>
      <c r="AR145" s="6"/>
      <c r="AS145" s="6" t="n">
        <v>0.34</v>
      </c>
    </row>
    <row r="146" customFormat="false" ht="15" hidden="false" customHeight="true" outlineLevel="0" collapsed="false">
      <c r="A146" s="83" t="s">
        <v>320</v>
      </c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9"/>
      <c r="AC146" s="83"/>
      <c r="AD146" s="83"/>
      <c r="AE146" s="9"/>
      <c r="AF146" s="9"/>
      <c r="AG146" s="9"/>
      <c r="AH146" s="9" t="n">
        <v>1.37</v>
      </c>
      <c r="AI146" s="9" t="n">
        <v>-0.12</v>
      </c>
      <c r="AJ146" s="9" t="n">
        <v>0.22</v>
      </c>
      <c r="AK146" s="9" t="n">
        <v>-0.81</v>
      </c>
      <c r="AL146" s="9"/>
      <c r="AM146" s="9" t="n">
        <v>-2.86</v>
      </c>
      <c r="AN146" s="9"/>
      <c r="AO146" s="9"/>
      <c r="AP146" s="9" t="n">
        <v>1.55</v>
      </c>
      <c r="AQ146" s="6" t="n">
        <v>-0.84</v>
      </c>
      <c r="AR146" s="6" t="n">
        <v>-1.06</v>
      </c>
      <c r="AS146" s="6" t="n">
        <v>0.28</v>
      </c>
    </row>
    <row r="147" customFormat="false" ht="15" hidden="false" customHeight="true" outlineLevel="0" collapsed="false">
      <c r="A147" s="83" t="s">
        <v>323</v>
      </c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9" t="n">
        <v>0.43</v>
      </c>
      <c r="AC147" s="83"/>
      <c r="AD147" s="83"/>
      <c r="AE147" s="9" t="n">
        <v>-0.37</v>
      </c>
      <c r="AF147" s="9"/>
      <c r="AG147" s="9"/>
      <c r="AH147" s="9" t="n">
        <v>-0.14</v>
      </c>
      <c r="AI147" s="9" t="n">
        <v>0.12</v>
      </c>
      <c r="AJ147" s="9"/>
      <c r="AK147" s="9" t="n">
        <v>0.04</v>
      </c>
      <c r="AL147" s="9" t="n">
        <v>-0.88</v>
      </c>
      <c r="AM147" s="9" t="n">
        <v>0.47</v>
      </c>
      <c r="AN147" s="9"/>
      <c r="AO147" s="9" t="n">
        <v>-1.22</v>
      </c>
      <c r="AP147" s="9" t="n">
        <v>1.15</v>
      </c>
      <c r="AQ147" s="6" t="n">
        <v>-1.5</v>
      </c>
      <c r="AR147" s="6" t="n">
        <v>-0.8</v>
      </c>
      <c r="AS147" s="6" t="n">
        <v>-0.42</v>
      </c>
    </row>
    <row r="148" customFormat="false" ht="15" hidden="false" customHeight="true" outlineLevel="0" collapsed="false">
      <c r="A148" s="83" t="s">
        <v>324</v>
      </c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9"/>
      <c r="AC148" s="83"/>
      <c r="AD148" s="83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6"/>
      <c r="AR148" s="6"/>
      <c r="AS148" s="6"/>
    </row>
    <row r="149" customFormat="false" ht="15" hidden="false" customHeight="true" outlineLevel="0" collapsed="false">
      <c r="A149" s="83" t="s">
        <v>325</v>
      </c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9"/>
      <c r="AC149" s="83"/>
      <c r="AD149" s="83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6"/>
      <c r="AR149" s="6"/>
      <c r="AS149" s="6"/>
    </row>
    <row r="150" customFormat="false" ht="15" hidden="false" customHeight="true" outlineLevel="0" collapsed="false">
      <c r="A150" s="83" t="s">
        <v>326</v>
      </c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9"/>
      <c r="AC150" s="83"/>
      <c r="AD150" s="83"/>
      <c r="AE150" s="9"/>
      <c r="AF150" s="9"/>
      <c r="AG150" s="9"/>
      <c r="AH150" s="9" t="n">
        <v>0.94</v>
      </c>
      <c r="AI150" s="9"/>
      <c r="AJ150" s="9" t="n">
        <v>-0.7</v>
      </c>
      <c r="AK150" s="9" t="n">
        <v>0.04</v>
      </c>
      <c r="AL150" s="9" t="n">
        <v>0.63</v>
      </c>
      <c r="AM150" s="9" t="n">
        <v>1.04</v>
      </c>
      <c r="AN150" s="9"/>
      <c r="AO150" s="9"/>
      <c r="AP150" s="9"/>
      <c r="AQ150" s="6" t="n">
        <v>0.05</v>
      </c>
      <c r="AR150" s="6" t="n">
        <v>-0.56</v>
      </c>
      <c r="AS150" s="6"/>
    </row>
    <row r="151" customFormat="false" ht="15" hidden="false" customHeight="true" outlineLevel="0" collapsed="false">
      <c r="A151" s="83" t="s">
        <v>327</v>
      </c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9" t="n">
        <v>0.64</v>
      </c>
      <c r="AC151" s="83"/>
      <c r="AD151" s="83"/>
      <c r="AE151" s="9"/>
      <c r="AF151" s="9" t="n">
        <v>-0.48</v>
      </c>
      <c r="AG151" s="9" t="n">
        <v>2.3</v>
      </c>
      <c r="AH151" s="9"/>
      <c r="AI151" s="9"/>
      <c r="AJ151" s="9"/>
      <c r="AK151" s="9"/>
      <c r="AL151" s="9" t="n">
        <v>0.88</v>
      </c>
      <c r="AM151" s="9"/>
      <c r="AN151" s="9" t="n">
        <v>0.48</v>
      </c>
      <c r="AO151" s="9" t="n">
        <v>0.14</v>
      </c>
      <c r="AP151" s="9" t="n">
        <v>-0.68</v>
      </c>
      <c r="AQ151" s="6"/>
      <c r="AR151" s="6"/>
      <c r="AS151" s="6" t="n">
        <v>-1.62</v>
      </c>
    </row>
    <row r="152" customFormat="false" ht="15" hidden="false" customHeight="true" outlineLevel="0" collapsed="false">
      <c r="A152" s="83" t="s">
        <v>328</v>
      </c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9" t="n">
        <v>0.27</v>
      </c>
      <c r="AC152" s="83"/>
      <c r="AD152" s="83"/>
      <c r="AE152" s="9"/>
      <c r="AF152" s="9" t="n">
        <v>-1.26</v>
      </c>
      <c r="AG152" s="9"/>
      <c r="AH152" s="9" t="n">
        <v>-0.44</v>
      </c>
      <c r="AI152" s="9" t="n">
        <v>0.05</v>
      </c>
      <c r="AJ152" s="9"/>
      <c r="AK152" s="9" t="n">
        <v>0.48</v>
      </c>
      <c r="AL152" s="9"/>
      <c r="AM152" s="9" t="n">
        <v>1</v>
      </c>
      <c r="AN152" s="9"/>
      <c r="AO152" s="9"/>
      <c r="AP152" s="9" t="n">
        <v>-1.69</v>
      </c>
      <c r="AQ152" s="6" t="n">
        <v>0.01</v>
      </c>
      <c r="AR152" s="6" t="n">
        <v>0.14</v>
      </c>
      <c r="AS152" s="6" t="n">
        <v>-0.22</v>
      </c>
    </row>
    <row r="153" customFormat="false" ht="15" hidden="false" customHeight="true" outlineLevel="0" collapsed="false">
      <c r="A153" s="83" t="s">
        <v>329</v>
      </c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9"/>
      <c r="AC153" s="83"/>
      <c r="AD153" s="83"/>
      <c r="AE153" s="9"/>
      <c r="AF153" s="9"/>
      <c r="AG153" s="9"/>
      <c r="AH153" s="9"/>
      <c r="AI153" s="9" t="n">
        <v>-0.09</v>
      </c>
      <c r="AJ153" s="9"/>
      <c r="AK153" s="9"/>
      <c r="AL153" s="9"/>
      <c r="AM153" s="9"/>
      <c r="AN153" s="9"/>
      <c r="AO153" s="9"/>
      <c r="AP153" s="9"/>
      <c r="AQ153" s="6"/>
      <c r="AR153" s="6"/>
      <c r="AS153" s="6"/>
    </row>
    <row r="154" customFormat="false" ht="15" hidden="false" customHeight="true" outlineLevel="0" collapsed="false">
      <c r="A154" s="83" t="s">
        <v>331</v>
      </c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9"/>
      <c r="AC154" s="83"/>
      <c r="AD154" s="83"/>
      <c r="AE154" s="9"/>
      <c r="AF154" s="9"/>
      <c r="AG154" s="9"/>
      <c r="AH154" s="9"/>
      <c r="AI154" s="9"/>
      <c r="AJ154" s="9"/>
      <c r="AK154" s="9"/>
      <c r="AL154" s="9"/>
      <c r="AM154" s="9" t="n">
        <v>-4.07</v>
      </c>
      <c r="AN154" s="9"/>
      <c r="AO154" s="9"/>
      <c r="AP154" s="9" t="n">
        <v>-0.61</v>
      </c>
      <c r="AQ154" s="6" t="n">
        <v>0.67</v>
      </c>
      <c r="AR154" s="6" t="n">
        <v>-0.35</v>
      </c>
      <c r="AS154" s="6" t="n">
        <v>-1.45</v>
      </c>
    </row>
    <row r="155" customFormat="false" ht="15" hidden="false" customHeight="true" outlineLevel="0" collapsed="false">
      <c r="A155" s="83" t="s">
        <v>332</v>
      </c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9" t="n">
        <v>0.02</v>
      </c>
      <c r="AC155" s="83"/>
      <c r="AD155" s="83"/>
      <c r="AE155" s="9"/>
      <c r="AF155" s="9"/>
      <c r="AG155" s="9" t="n">
        <v>-2.84</v>
      </c>
      <c r="AH155" s="9"/>
      <c r="AI155" s="9" t="n">
        <v>-0.31</v>
      </c>
      <c r="AJ155" s="9" t="n">
        <v>-0.36</v>
      </c>
      <c r="AK155" s="9"/>
      <c r="AL155" s="9"/>
      <c r="AM155" s="9" t="n">
        <v>-0.13</v>
      </c>
      <c r="AN155" s="9"/>
      <c r="AO155" s="9"/>
      <c r="AP155" s="9" t="n">
        <v>0.7</v>
      </c>
      <c r="AQ155" s="6" t="n">
        <v>-0.8</v>
      </c>
      <c r="AR155" s="6"/>
      <c r="AS155" s="6"/>
    </row>
    <row r="156" customFormat="false" ht="15" hidden="false" customHeight="true" outlineLevel="0" collapsed="false">
      <c r="A156" s="83" t="s">
        <v>333</v>
      </c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9"/>
      <c r="AC156" s="83"/>
      <c r="AD156" s="83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6"/>
      <c r="AR156" s="6"/>
      <c r="AS156" s="6"/>
    </row>
    <row r="157" customFormat="false" ht="15" hidden="false" customHeight="true" outlineLevel="0" collapsed="false">
      <c r="A157" s="83" t="s">
        <v>334</v>
      </c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9" t="n">
        <v>-0.29</v>
      </c>
      <c r="AC157" s="83"/>
      <c r="AD157" s="83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6"/>
      <c r="AR157" s="6"/>
      <c r="AS157" s="6"/>
    </row>
    <row r="158" customFormat="false" ht="15" hidden="false" customHeight="true" outlineLevel="0" collapsed="false">
      <c r="A158" s="83" t="s">
        <v>335</v>
      </c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9" t="n">
        <v>1.35</v>
      </c>
      <c r="AC158" s="83"/>
      <c r="AD158" s="83"/>
      <c r="AE158" s="9" t="n">
        <v>0.88</v>
      </c>
      <c r="AF158" s="9" t="n">
        <v>-0.32</v>
      </c>
      <c r="AG158" s="9" t="n">
        <v>0.45</v>
      </c>
      <c r="AH158" s="9" t="n">
        <v>1.17</v>
      </c>
      <c r="AI158" s="9"/>
      <c r="AJ158" s="9"/>
      <c r="AK158" s="9" t="n">
        <v>0.84</v>
      </c>
      <c r="AL158" s="9" t="n">
        <v>-0.12</v>
      </c>
      <c r="AM158" s="9"/>
      <c r="AN158" s="9" t="n">
        <v>1.18</v>
      </c>
      <c r="AO158" s="9" t="n">
        <v>0.52</v>
      </c>
      <c r="AP158" s="9"/>
      <c r="AQ158" s="6" t="n">
        <v>-2.76</v>
      </c>
      <c r="AR158" s="6" t="n">
        <v>2.33</v>
      </c>
      <c r="AS158" s="6"/>
    </row>
    <row r="159" customFormat="false" ht="15" hidden="false" customHeight="true" outlineLevel="0" collapsed="false">
      <c r="A159" s="83" t="s">
        <v>336</v>
      </c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9"/>
      <c r="AC159" s="83"/>
      <c r="AD159" s="83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6"/>
      <c r="AR159" s="6"/>
      <c r="AS159" s="6"/>
    </row>
    <row r="160" customFormat="false" ht="15" hidden="false" customHeight="true" outlineLevel="0" collapsed="false">
      <c r="A160" s="83" t="s">
        <v>337</v>
      </c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9"/>
      <c r="AC160" s="83"/>
      <c r="AD160" s="83"/>
      <c r="AE160" s="9"/>
      <c r="AF160" s="9"/>
      <c r="AG160" s="9"/>
      <c r="AH160" s="9"/>
      <c r="AI160" s="9"/>
      <c r="AJ160" s="9" t="n">
        <v>0.1</v>
      </c>
      <c r="AK160" s="9"/>
      <c r="AL160" s="9"/>
      <c r="AM160" s="9"/>
      <c r="AN160" s="9"/>
      <c r="AO160" s="9"/>
      <c r="AP160" s="9"/>
      <c r="AQ160" s="6" t="n">
        <v>-1.32</v>
      </c>
      <c r="AR160" s="6"/>
      <c r="AS160" s="6"/>
    </row>
    <row r="161" customFormat="false" ht="15" hidden="false" customHeight="true" outlineLevel="0" collapsed="false">
      <c r="A161" s="83" t="s">
        <v>339</v>
      </c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9" t="n">
        <v>-0.1</v>
      </c>
      <c r="AC161" s="83"/>
      <c r="AD161" s="83"/>
      <c r="AE161" s="9" t="n">
        <v>-1.35</v>
      </c>
      <c r="AF161" s="9" t="n">
        <v>-0.25</v>
      </c>
      <c r="AG161" s="9" t="n">
        <v>-0.53</v>
      </c>
      <c r="AH161" s="9" t="n">
        <v>0.58</v>
      </c>
      <c r="AI161" s="9"/>
      <c r="AJ161" s="9" t="n">
        <v>-1.79</v>
      </c>
      <c r="AK161" s="9" t="n">
        <v>-1.7</v>
      </c>
      <c r="AL161" s="9" t="n">
        <v>0.97</v>
      </c>
      <c r="AM161" s="9"/>
      <c r="AN161" s="9" t="n">
        <v>0.98</v>
      </c>
      <c r="AO161" s="9" t="n">
        <v>-1.09</v>
      </c>
      <c r="AP161" s="9" t="n">
        <v>-0.86</v>
      </c>
      <c r="AQ161" s="6" t="n">
        <v>1.16</v>
      </c>
      <c r="AR161" s="6" t="n">
        <v>-0.67</v>
      </c>
      <c r="AS161" s="6"/>
    </row>
    <row r="162" customFormat="false" ht="15" hidden="false" customHeight="true" outlineLevel="0" collapsed="false">
      <c r="A162" s="83" t="s">
        <v>340</v>
      </c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9"/>
      <c r="AC162" s="83"/>
      <c r="AD162" s="83"/>
      <c r="AE162" s="9"/>
      <c r="AF162" s="9"/>
      <c r="AG162" s="9"/>
      <c r="AH162" s="9" t="n">
        <v>0.23</v>
      </c>
      <c r="AI162" s="9" t="n">
        <v>0.71</v>
      </c>
      <c r="AJ162" s="9" t="n">
        <v>-1.35</v>
      </c>
      <c r="AK162" s="9"/>
      <c r="AL162" s="9"/>
      <c r="AM162" s="9" t="n">
        <v>1.01</v>
      </c>
      <c r="AN162" s="9"/>
      <c r="AO162" s="9"/>
      <c r="AP162" s="9" t="n">
        <v>-0.71</v>
      </c>
      <c r="AQ162" s="6" t="n">
        <v>0.16</v>
      </c>
      <c r="AR162" s="6" t="n">
        <v>-0.23</v>
      </c>
      <c r="AS162" s="6" t="n">
        <v>-0.25</v>
      </c>
    </row>
    <row r="163" customFormat="false" ht="15" hidden="false" customHeight="true" outlineLevel="0" collapsed="false">
      <c r="A163" s="83" t="s">
        <v>341</v>
      </c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9"/>
      <c r="AC163" s="83"/>
      <c r="AD163" s="83"/>
      <c r="AE163" s="9"/>
      <c r="AF163" s="9"/>
      <c r="AG163" s="9"/>
      <c r="AH163" s="9" t="n">
        <v>0.26</v>
      </c>
      <c r="AI163" s="9" t="n">
        <v>-0.11</v>
      </c>
      <c r="AJ163" s="9" t="n">
        <v>-0.31</v>
      </c>
      <c r="AK163" s="9" t="n">
        <v>-1.61</v>
      </c>
      <c r="AL163" s="9"/>
      <c r="AM163" s="9" t="n">
        <v>-0.09</v>
      </c>
      <c r="AN163" s="9"/>
      <c r="AO163" s="9"/>
      <c r="AP163" s="9" t="n">
        <v>-0.41</v>
      </c>
      <c r="AQ163" s="6" t="n">
        <v>-2.42</v>
      </c>
      <c r="AR163" s="6"/>
      <c r="AS163" s="6"/>
    </row>
    <row r="164" customFormat="false" ht="15" hidden="false" customHeight="true" outlineLevel="0" collapsed="false">
      <c r="A164" s="83" t="s">
        <v>342</v>
      </c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9"/>
      <c r="AC164" s="83"/>
      <c r="AD164" s="83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6"/>
      <c r="AR164" s="6"/>
      <c r="AS164" s="6"/>
    </row>
    <row r="165" customFormat="false" ht="15" hidden="false" customHeight="true" outlineLevel="0" collapsed="false">
      <c r="A165" s="83" t="s">
        <v>343</v>
      </c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9"/>
      <c r="AC165" s="83"/>
      <c r="AD165" s="83"/>
      <c r="AE165" s="9"/>
      <c r="AF165" s="9"/>
      <c r="AG165" s="9" t="n">
        <v>-0.86</v>
      </c>
      <c r="AH165" s="9"/>
      <c r="AI165" s="9"/>
      <c r="AJ165" s="9"/>
      <c r="AK165" s="9"/>
      <c r="AL165" s="9"/>
      <c r="AM165" s="9"/>
      <c r="AN165" s="9"/>
      <c r="AO165" s="9"/>
      <c r="AP165" s="9"/>
      <c r="AQ165" s="6"/>
      <c r="AR165" s="6"/>
      <c r="AS165" s="6"/>
    </row>
    <row r="166" customFormat="false" ht="15" hidden="false" customHeight="true" outlineLevel="0" collapsed="false">
      <c r="A166" s="83" t="s">
        <v>345</v>
      </c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9"/>
      <c r="AC166" s="83"/>
      <c r="AD166" s="83"/>
      <c r="AE166" s="9"/>
      <c r="AF166" s="9"/>
      <c r="AG166" s="9"/>
      <c r="AH166" s="9" t="n">
        <v>-0.19</v>
      </c>
      <c r="AI166" s="9"/>
      <c r="AJ166" s="9"/>
      <c r="AK166" s="9"/>
      <c r="AL166" s="9"/>
      <c r="AM166" s="9"/>
      <c r="AN166" s="9"/>
      <c r="AO166" s="9"/>
      <c r="AP166" s="9"/>
      <c r="AQ166" s="6"/>
      <c r="AR166" s="6"/>
      <c r="AS166" s="6"/>
    </row>
    <row r="167" customFormat="false" ht="15" hidden="false" customHeight="true" outlineLevel="0" collapsed="false">
      <c r="A167" s="83" t="s">
        <v>346</v>
      </c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9" t="n">
        <v>-0.57</v>
      </c>
      <c r="AC167" s="83"/>
      <c r="AD167" s="83"/>
      <c r="AE167" s="9"/>
      <c r="AF167" s="9"/>
      <c r="AG167" s="9"/>
      <c r="AH167" s="9" t="n">
        <v>0.45</v>
      </c>
      <c r="AI167" s="9" t="n">
        <v>0.72</v>
      </c>
      <c r="AJ167" s="9" t="n">
        <v>-0.29</v>
      </c>
      <c r="AK167" s="9"/>
      <c r="AL167" s="9"/>
      <c r="AM167" s="9" t="n">
        <v>-1.9</v>
      </c>
      <c r="AN167" s="9"/>
      <c r="AO167" s="9"/>
      <c r="AP167" s="9" t="n">
        <v>0.89</v>
      </c>
      <c r="AQ167" s="6" t="n">
        <v>-0.53</v>
      </c>
      <c r="AR167" s="6" t="n">
        <v>0.08</v>
      </c>
      <c r="AS167" s="6" t="n">
        <v>1.26</v>
      </c>
    </row>
    <row r="168" customFormat="false" ht="15" hidden="false" customHeight="true" outlineLevel="0" collapsed="false">
      <c r="A168" s="83" t="s">
        <v>347</v>
      </c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9"/>
      <c r="AC168" s="83"/>
      <c r="AD168" s="83"/>
      <c r="AE168" s="9"/>
      <c r="AF168" s="9"/>
      <c r="AG168" s="9"/>
      <c r="AH168" s="9"/>
      <c r="AI168" s="9"/>
      <c r="AJ168" s="9" t="n">
        <v>0.51</v>
      </c>
      <c r="AK168" s="9"/>
      <c r="AL168" s="9"/>
      <c r="AM168" s="9"/>
      <c r="AN168" s="9"/>
      <c r="AO168" s="9"/>
      <c r="AP168" s="9"/>
      <c r="AQ168" s="6" t="n">
        <v>0.21</v>
      </c>
      <c r="AR168" s="6"/>
      <c r="AS168" s="6"/>
    </row>
    <row r="169" customFormat="false" ht="15" hidden="false" customHeight="true" outlineLevel="0" collapsed="false">
      <c r="A169" s="83" t="s">
        <v>348</v>
      </c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9"/>
      <c r="AC169" s="83"/>
      <c r="AD169" s="83"/>
      <c r="AE169" s="9"/>
      <c r="AF169" s="9"/>
      <c r="AG169" s="9"/>
      <c r="AH169" s="9" t="n">
        <v>-1.26</v>
      </c>
      <c r="AI169" s="9" t="n">
        <v>0.85</v>
      </c>
      <c r="AJ169" s="9" t="n">
        <v>1.66</v>
      </c>
      <c r="AK169" s="9" t="n">
        <v>-0.47</v>
      </c>
      <c r="AL169" s="9"/>
      <c r="AM169" s="9" t="n">
        <v>1.94</v>
      </c>
      <c r="AN169" s="9"/>
      <c r="AO169" s="9"/>
      <c r="AP169" s="9" t="n">
        <v>-0.09</v>
      </c>
      <c r="AQ169" s="6" t="n">
        <v>0.59</v>
      </c>
      <c r="AR169" s="6" t="n">
        <v>0.8</v>
      </c>
      <c r="AS169" s="6" t="n">
        <v>1.03</v>
      </c>
    </row>
    <row r="170" customFormat="false" ht="15" hidden="false" customHeight="true" outlineLevel="0" collapsed="false">
      <c r="A170" s="83" t="s">
        <v>349</v>
      </c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9" t="n">
        <v>0.87</v>
      </c>
      <c r="AC170" s="83"/>
      <c r="AD170" s="83"/>
      <c r="AE170" s="9" t="n">
        <v>-0.33</v>
      </c>
      <c r="AF170" s="9" t="n">
        <v>0.15</v>
      </c>
      <c r="AG170" s="9"/>
      <c r="AH170" s="9"/>
      <c r="AI170" s="9" t="n">
        <v>-1.59</v>
      </c>
      <c r="AJ170" s="9" t="n">
        <v>-3.19</v>
      </c>
      <c r="AK170" s="9" t="n">
        <v>-0.96</v>
      </c>
      <c r="AL170" s="9" t="n">
        <v>-2.48</v>
      </c>
      <c r="AM170" s="9"/>
      <c r="AN170" s="9" t="n">
        <v>0.69</v>
      </c>
      <c r="AO170" s="9" t="n">
        <v>0.89</v>
      </c>
      <c r="AP170" s="9"/>
      <c r="AQ170" s="6" t="n">
        <v>1.16</v>
      </c>
      <c r="AR170" s="6" t="n">
        <v>-1.17</v>
      </c>
      <c r="AS170" s="6" t="n">
        <v>0.79</v>
      </c>
    </row>
    <row r="171" customFormat="false" ht="15" hidden="false" customHeight="true" outlineLevel="0" collapsed="false">
      <c r="A171" s="83" t="s">
        <v>350</v>
      </c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9" t="n">
        <v>-2.38</v>
      </c>
      <c r="AC171" s="83"/>
      <c r="AD171" s="83"/>
      <c r="AE171" s="9"/>
      <c r="AF171" s="9" t="n">
        <v>-0.58</v>
      </c>
      <c r="AG171" s="9" t="n">
        <v>1.11</v>
      </c>
      <c r="AH171" s="9" t="n">
        <v>-0.33</v>
      </c>
      <c r="AI171" s="9" t="n">
        <v>0.58</v>
      </c>
      <c r="AJ171" s="9" t="n">
        <v>0.95</v>
      </c>
      <c r="AK171" s="9" t="n">
        <v>-0.15</v>
      </c>
      <c r="AL171" s="9"/>
      <c r="AM171" s="9"/>
      <c r="AN171" s="9" t="n">
        <v>0.79</v>
      </c>
      <c r="AO171" s="9" t="n">
        <v>-1.11</v>
      </c>
      <c r="AP171" s="9" t="n">
        <v>-0.25</v>
      </c>
      <c r="AQ171" s="6" t="n">
        <v>-2.78</v>
      </c>
      <c r="AR171" s="6"/>
      <c r="AS171" s="6"/>
    </row>
    <row r="172" customFormat="false" ht="15" hidden="false" customHeight="true" outlineLevel="0" collapsed="false">
      <c r="A172" s="83" t="s">
        <v>351</v>
      </c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9"/>
      <c r="AC172" s="83"/>
      <c r="AD172" s="83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6"/>
      <c r="AR172" s="6"/>
      <c r="AS172" s="6"/>
    </row>
    <row r="173" customFormat="false" ht="15" hidden="false" customHeight="true" outlineLevel="0" collapsed="false">
      <c r="A173" s="83" t="s">
        <v>352</v>
      </c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9"/>
      <c r="AC173" s="83"/>
      <c r="AD173" s="83"/>
      <c r="AE173" s="9"/>
      <c r="AF173" s="9"/>
      <c r="AG173" s="9"/>
      <c r="AH173" s="9"/>
      <c r="AI173" s="9"/>
      <c r="AJ173" s="9" t="n">
        <v>-0.56</v>
      </c>
      <c r="AK173" s="9"/>
      <c r="AL173" s="9"/>
      <c r="AM173" s="9"/>
      <c r="AN173" s="9"/>
      <c r="AO173" s="9"/>
      <c r="AP173" s="9"/>
      <c r="AQ173" s="6"/>
      <c r="AR173" s="6"/>
      <c r="AS173" s="6"/>
    </row>
    <row r="174" customFormat="false" ht="15" hidden="false" customHeight="true" outlineLevel="0" collapsed="false">
      <c r="A174" s="83" t="s">
        <v>353</v>
      </c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9"/>
      <c r="AC174" s="83"/>
      <c r="AD174" s="83"/>
      <c r="AE174" s="9"/>
      <c r="AF174" s="9"/>
      <c r="AG174" s="9"/>
      <c r="AH174" s="9" t="n">
        <v>2.15</v>
      </c>
      <c r="AI174" s="9" t="n">
        <v>-3.13</v>
      </c>
      <c r="AJ174" s="9" t="n">
        <v>0.26</v>
      </c>
      <c r="AK174" s="9" t="n">
        <v>-1.05</v>
      </c>
      <c r="AL174" s="9"/>
      <c r="AM174" s="9" t="n">
        <v>-0.34</v>
      </c>
      <c r="AN174" s="9"/>
      <c r="AO174" s="9"/>
      <c r="AP174" s="9" t="n">
        <v>2.41</v>
      </c>
      <c r="AQ174" s="6" t="n">
        <v>-0.08</v>
      </c>
      <c r="AR174" s="6" t="n">
        <v>-0.45</v>
      </c>
      <c r="AS174" s="6" t="n">
        <v>1.2</v>
      </c>
    </row>
    <row r="175" customFormat="false" ht="15" hidden="false" customHeight="true" outlineLevel="0" collapsed="false">
      <c r="A175" s="83" t="s">
        <v>354</v>
      </c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9"/>
      <c r="AC175" s="83"/>
      <c r="AD175" s="83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6"/>
      <c r="AR175" s="6"/>
      <c r="AS175" s="6"/>
    </row>
    <row r="176" customFormat="false" ht="15" hidden="false" customHeight="true" outlineLevel="0" collapsed="false">
      <c r="A176" s="83" t="s">
        <v>355</v>
      </c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9" t="n">
        <v>-1.77</v>
      </c>
      <c r="AC176" s="83"/>
      <c r="AD176" s="83"/>
      <c r="AE176" s="9" t="n">
        <v>-0.31</v>
      </c>
      <c r="AF176" s="9" t="n">
        <v>-1.1</v>
      </c>
      <c r="AG176" s="9"/>
      <c r="AH176" s="9" t="n">
        <v>0.2</v>
      </c>
      <c r="AI176" s="9" t="n">
        <v>-1.3</v>
      </c>
      <c r="AJ176" s="9"/>
      <c r="AK176" s="9" t="n">
        <v>0.95</v>
      </c>
      <c r="AL176" s="9" t="n">
        <v>-0.51</v>
      </c>
      <c r="AM176" s="9"/>
      <c r="AN176" s="9" t="n">
        <v>1.21</v>
      </c>
      <c r="AO176" s="9" t="n">
        <v>0.17</v>
      </c>
      <c r="AP176" s="9" t="n">
        <v>0.37</v>
      </c>
      <c r="AQ176" s="6"/>
      <c r="AR176" s="6" t="n">
        <v>-1.43</v>
      </c>
      <c r="AS176" s="6"/>
    </row>
    <row r="177" customFormat="false" ht="15" hidden="false" customHeight="true" outlineLevel="0" collapsed="false">
      <c r="A177" s="83" t="s">
        <v>356</v>
      </c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9" t="n">
        <v>0.1</v>
      </c>
      <c r="AC177" s="83"/>
      <c r="AD177" s="83"/>
      <c r="AE177" s="9" t="n">
        <v>0.41</v>
      </c>
      <c r="AF177" s="9" t="n">
        <v>0.65</v>
      </c>
      <c r="AG177" s="9" t="n">
        <v>-1.64</v>
      </c>
      <c r="AH177" s="9"/>
      <c r="AI177" s="9" t="n">
        <v>-0.74</v>
      </c>
      <c r="AJ177" s="9"/>
      <c r="AK177" s="9" t="n">
        <v>-1.96</v>
      </c>
      <c r="AL177" s="9" t="n">
        <v>-3.09</v>
      </c>
      <c r="AM177" s="9"/>
      <c r="AN177" s="9" t="n">
        <v>1.42</v>
      </c>
      <c r="AO177" s="9" t="n">
        <v>0.44</v>
      </c>
      <c r="AP177" s="9" t="n">
        <v>-1.35</v>
      </c>
      <c r="AQ177" s="6" t="n">
        <v>0.18</v>
      </c>
      <c r="AR177" s="6" t="n">
        <v>-2.02</v>
      </c>
      <c r="AS177" s="6"/>
    </row>
    <row r="178" customFormat="false" ht="15" hidden="false" customHeight="true" outlineLevel="0" collapsed="false">
      <c r="A178" s="83" t="s">
        <v>357</v>
      </c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9"/>
      <c r="AC178" s="83"/>
      <c r="AD178" s="83"/>
      <c r="AE178" s="9"/>
      <c r="AF178" s="9"/>
      <c r="AG178" s="9"/>
      <c r="AH178" s="9" t="n">
        <v>-0.75</v>
      </c>
      <c r="AI178" s="9" t="n">
        <v>-1.94</v>
      </c>
      <c r="AJ178" s="9" t="n">
        <v>0.14</v>
      </c>
      <c r="AK178" s="9" t="n">
        <v>-0.98</v>
      </c>
      <c r="AL178" s="9"/>
      <c r="AM178" s="9" t="n">
        <v>0.77</v>
      </c>
      <c r="AN178" s="9"/>
      <c r="AO178" s="9"/>
      <c r="AP178" s="9"/>
      <c r="AQ178" s="6" t="n">
        <v>2.22</v>
      </c>
      <c r="AR178" s="6" t="n">
        <v>0.8</v>
      </c>
      <c r="AS178" s="6" t="n">
        <v>0.33</v>
      </c>
    </row>
    <row r="179" customFormat="false" ht="15" hidden="false" customHeight="true" outlineLevel="0" collapsed="false">
      <c r="A179" s="83" t="s">
        <v>360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9" t="n">
        <v>0.43</v>
      </c>
      <c r="AC179" s="83"/>
      <c r="AD179" s="83"/>
      <c r="AE179" s="9" t="n">
        <v>0.69</v>
      </c>
      <c r="AF179" s="9" t="n">
        <v>-0.27</v>
      </c>
      <c r="AG179" s="9"/>
      <c r="AH179" s="9" t="n">
        <v>1.37</v>
      </c>
      <c r="AI179" s="9" t="n">
        <v>0.77</v>
      </c>
      <c r="AJ179" s="9" t="n">
        <v>0.76</v>
      </c>
      <c r="AK179" s="9" t="n">
        <v>-0.19</v>
      </c>
      <c r="AL179" s="9" t="n">
        <v>-0.38</v>
      </c>
      <c r="AM179" s="9" t="n">
        <v>-1.51</v>
      </c>
      <c r="AN179" s="9"/>
      <c r="AO179" s="9"/>
      <c r="AP179" s="9"/>
      <c r="AQ179" s="6" t="n">
        <v>-2.98</v>
      </c>
      <c r="AR179" s="6" t="n">
        <v>-0.16</v>
      </c>
      <c r="AS179" s="6"/>
    </row>
    <row r="180" customFormat="false" ht="15" hidden="false" customHeight="true" outlineLevel="0" collapsed="false">
      <c r="A180" s="83" t="s">
        <v>361</v>
      </c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9" t="n">
        <v>0.52</v>
      </c>
      <c r="AC180" s="83"/>
      <c r="AD180" s="83"/>
      <c r="AE180" s="9"/>
      <c r="AF180" s="9"/>
      <c r="AG180" s="9" t="n">
        <v>-0.06</v>
      </c>
      <c r="AH180" s="9"/>
      <c r="AI180" s="9"/>
      <c r="AJ180" s="9"/>
      <c r="AK180" s="9"/>
      <c r="AL180" s="9"/>
      <c r="AM180" s="9"/>
      <c r="AN180" s="9"/>
      <c r="AO180" s="9"/>
      <c r="AP180" s="9"/>
      <c r="AQ180" s="6"/>
      <c r="AR180" s="6"/>
      <c r="AS180" s="6"/>
    </row>
    <row r="181" customFormat="false" ht="15" hidden="false" customHeight="true" outlineLevel="0" collapsed="false">
      <c r="A181" s="83" t="s">
        <v>362</v>
      </c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9" t="n">
        <v>1.74</v>
      </c>
      <c r="AC181" s="83"/>
      <c r="AD181" s="83"/>
      <c r="AE181" s="9"/>
      <c r="AF181" s="9"/>
      <c r="AG181" s="9" t="n">
        <v>-1.54</v>
      </c>
      <c r="AH181" s="9"/>
      <c r="AI181" s="9"/>
      <c r="AJ181" s="9" t="n">
        <v>-0.08</v>
      </c>
      <c r="AK181" s="9" t="n">
        <v>-0.85</v>
      </c>
      <c r="AL181" s="9"/>
      <c r="AM181" s="9" t="n">
        <v>-0.42</v>
      </c>
      <c r="AN181" s="9" t="n">
        <v>0.39</v>
      </c>
      <c r="AO181" s="9" t="n">
        <v>-1.45</v>
      </c>
      <c r="AP181" s="9"/>
      <c r="AQ181" s="6"/>
      <c r="AR181" s="6"/>
      <c r="AS181" s="6" t="n">
        <v>0.11</v>
      </c>
    </row>
    <row r="182" customFormat="false" ht="15" hidden="false" customHeight="true" outlineLevel="0" collapsed="false">
      <c r="A182" s="83" t="s">
        <v>363</v>
      </c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9"/>
      <c r="AC182" s="83"/>
      <c r="AD182" s="83"/>
      <c r="AE182" s="9"/>
      <c r="AF182" s="9"/>
      <c r="AG182" s="9"/>
      <c r="AH182" s="9" t="n">
        <v>0.86</v>
      </c>
      <c r="AI182" s="9" t="n">
        <v>1.41</v>
      </c>
      <c r="AJ182" s="9" t="n">
        <v>0.15</v>
      </c>
      <c r="AK182" s="9" t="n">
        <v>0.73</v>
      </c>
      <c r="AL182" s="9"/>
      <c r="AM182" s="9" t="n">
        <v>0.45</v>
      </c>
      <c r="AN182" s="9"/>
      <c r="AO182" s="9"/>
      <c r="AP182" s="9" t="n">
        <v>1.45</v>
      </c>
      <c r="AQ182" s="6" t="n">
        <v>2.08</v>
      </c>
      <c r="AR182" s="6" t="n">
        <v>-0.62</v>
      </c>
      <c r="AS182" s="6" t="n">
        <v>0.03</v>
      </c>
    </row>
    <row r="183" customFormat="false" ht="15" hidden="false" customHeight="true" outlineLevel="0" collapsed="false">
      <c r="A183" s="83" t="s">
        <v>365</v>
      </c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9"/>
      <c r="AC183" s="83"/>
      <c r="AD183" s="83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6"/>
      <c r="AR183" s="6"/>
      <c r="AS183" s="6"/>
    </row>
    <row r="184" customFormat="false" ht="15" hidden="false" customHeight="true" outlineLevel="0" collapsed="false">
      <c r="A184" s="83" t="s">
        <v>366</v>
      </c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9" t="n">
        <v>0.17</v>
      </c>
      <c r="AC184" s="83"/>
      <c r="AD184" s="83"/>
      <c r="AE184" s="9"/>
      <c r="AF184" s="9"/>
      <c r="AG184" s="9" t="n">
        <v>0.44</v>
      </c>
      <c r="AH184" s="9"/>
      <c r="AI184" s="9"/>
      <c r="AJ184" s="9"/>
      <c r="AK184" s="9"/>
      <c r="AL184" s="9"/>
      <c r="AM184" s="9"/>
      <c r="AN184" s="9"/>
      <c r="AO184" s="9"/>
      <c r="AP184" s="9"/>
      <c r="AQ184" s="6"/>
      <c r="AR184" s="6"/>
      <c r="AS184" s="6"/>
    </row>
    <row r="185" customFormat="false" ht="15" hidden="false" customHeight="true" outlineLevel="0" collapsed="false">
      <c r="A185" s="83" t="s">
        <v>367</v>
      </c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9" t="n">
        <v>-0.63</v>
      </c>
      <c r="AC185" s="83"/>
      <c r="AD185" s="83"/>
      <c r="AE185" s="9" t="n">
        <v>-0.09</v>
      </c>
      <c r="AF185" s="9"/>
      <c r="AG185" s="9" t="n">
        <v>0.67</v>
      </c>
      <c r="AH185" s="9" t="n">
        <v>-0.33</v>
      </c>
      <c r="AI185" s="9" t="n">
        <v>-0.34</v>
      </c>
      <c r="AJ185" s="9" t="n">
        <v>-0.9</v>
      </c>
      <c r="AK185" s="9" t="n">
        <v>0.26</v>
      </c>
      <c r="AL185" s="9"/>
      <c r="AM185" s="9" t="n">
        <v>0.63</v>
      </c>
      <c r="AN185" s="9"/>
      <c r="AO185" s="9"/>
      <c r="AP185" s="9" t="n">
        <v>-0.02</v>
      </c>
      <c r="AQ185" s="6" t="n">
        <v>0.71</v>
      </c>
      <c r="AR185" s="6"/>
      <c r="AS185" s="6" t="n">
        <v>-3.39</v>
      </c>
    </row>
    <row r="186" customFormat="false" ht="15" hidden="false" customHeight="true" outlineLevel="0" collapsed="false">
      <c r="A186" s="83" t="s">
        <v>368</v>
      </c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9"/>
      <c r="AC186" s="83"/>
      <c r="AD186" s="83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6"/>
      <c r="AR186" s="6"/>
      <c r="AS186" s="6"/>
    </row>
    <row r="187" customFormat="false" ht="15" hidden="false" customHeight="true" outlineLevel="0" collapsed="false">
      <c r="A187" s="83" t="s">
        <v>369</v>
      </c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9" t="n">
        <v>-2.23</v>
      </c>
      <c r="AC187" s="83"/>
      <c r="AD187" s="83"/>
      <c r="AE187" s="9"/>
      <c r="AF187" s="9"/>
      <c r="AG187" s="9" t="n">
        <v>-1.3</v>
      </c>
      <c r="AH187" s="9"/>
      <c r="AI187" s="9" t="n">
        <v>0.53</v>
      </c>
      <c r="AJ187" s="9" t="n">
        <v>-1.2</v>
      </c>
      <c r="AK187" s="9" t="n">
        <v>-1.18</v>
      </c>
      <c r="AL187" s="9"/>
      <c r="AM187" s="9" t="n">
        <v>-0.76</v>
      </c>
      <c r="AN187" s="9"/>
      <c r="AO187" s="9"/>
      <c r="AP187" s="9" t="n">
        <v>-0.47</v>
      </c>
      <c r="AQ187" s="6" t="n">
        <v>-0.44</v>
      </c>
      <c r="AR187" s="6" t="n">
        <v>1.54</v>
      </c>
      <c r="AS187" s="6" t="n">
        <v>2.74</v>
      </c>
    </row>
    <row r="188" customFormat="false" ht="15" hidden="false" customHeight="true" outlineLevel="0" collapsed="false">
      <c r="A188" s="83" t="s">
        <v>370</v>
      </c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9" t="n">
        <v>-0.67</v>
      </c>
      <c r="AC188" s="83"/>
      <c r="AD188" s="83"/>
      <c r="AE188" s="9" t="n">
        <v>0.84</v>
      </c>
      <c r="AF188" s="9" t="n">
        <v>1.04</v>
      </c>
      <c r="AG188" s="9"/>
      <c r="AH188" s="9" t="n">
        <v>-3.25</v>
      </c>
      <c r="AI188" s="9" t="n">
        <v>-1.08</v>
      </c>
      <c r="AJ188" s="9" t="n">
        <v>0.78</v>
      </c>
      <c r="AK188" s="9" t="n">
        <v>0.8</v>
      </c>
      <c r="AL188" s="9" t="n">
        <v>0.54</v>
      </c>
      <c r="AM188" s="9"/>
      <c r="AN188" s="9" t="n">
        <v>0.34</v>
      </c>
      <c r="AO188" s="9" t="n">
        <v>0.04</v>
      </c>
      <c r="AP188" s="9" t="n">
        <v>-0.19</v>
      </c>
      <c r="AQ188" s="6" t="n">
        <v>0.87</v>
      </c>
      <c r="AR188" s="6" t="n">
        <v>-0.47</v>
      </c>
      <c r="AS188" s="6" t="n">
        <v>1.05</v>
      </c>
    </row>
    <row r="189" customFormat="false" ht="15" hidden="false" customHeight="true" outlineLevel="0" collapsed="false">
      <c r="A189" s="83" t="s">
        <v>372</v>
      </c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9" t="n">
        <v>0.78</v>
      </c>
      <c r="AC189" s="83"/>
      <c r="AD189" s="83"/>
      <c r="AE189" s="9" t="n">
        <v>-0.13</v>
      </c>
      <c r="AF189" s="9"/>
      <c r="AG189" s="9" t="n">
        <v>0.22</v>
      </c>
      <c r="AH189" s="9"/>
      <c r="AI189" s="9"/>
      <c r="AJ189" s="9"/>
      <c r="AK189" s="9" t="n">
        <v>0.9</v>
      </c>
      <c r="AL189" s="9" t="n">
        <v>-1.7</v>
      </c>
      <c r="AM189" s="9"/>
      <c r="AN189" s="9" t="n">
        <v>-1.63</v>
      </c>
      <c r="AO189" s="9" t="n">
        <v>1.19</v>
      </c>
      <c r="AP189" s="9"/>
      <c r="AQ189" s="6" t="n">
        <v>1.2</v>
      </c>
      <c r="AR189" s="6" t="n">
        <v>-0.66</v>
      </c>
      <c r="AS189" s="6"/>
    </row>
    <row r="190" customFormat="false" ht="15" hidden="false" customHeight="true" outlineLevel="0" collapsed="false">
      <c r="A190" s="83" t="s">
        <v>373</v>
      </c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9"/>
      <c r="AC190" s="83"/>
      <c r="AD190" s="83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6" t="n">
        <v>-2</v>
      </c>
      <c r="AR190" s="6"/>
      <c r="AS190" s="6"/>
    </row>
    <row r="191" customFormat="false" ht="15" hidden="false" customHeight="true" outlineLevel="0" collapsed="false">
      <c r="A191" s="83" t="s">
        <v>374</v>
      </c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9"/>
      <c r="AC191" s="83"/>
      <c r="AD191" s="83"/>
      <c r="AE191" s="9"/>
      <c r="AF191" s="9"/>
      <c r="AG191" s="9"/>
      <c r="AH191" s="9" t="n">
        <v>-0.59</v>
      </c>
      <c r="AI191" s="9" t="n">
        <v>-0.64</v>
      </c>
      <c r="AJ191" s="9" t="n">
        <v>0.01</v>
      </c>
      <c r="AK191" s="9" t="n">
        <v>-0.67</v>
      </c>
      <c r="AL191" s="9"/>
      <c r="AM191" s="9" t="n">
        <v>0.43</v>
      </c>
      <c r="AN191" s="9"/>
      <c r="AO191" s="9"/>
      <c r="AP191" s="9" t="n">
        <v>0.87</v>
      </c>
      <c r="AQ191" s="6" t="n">
        <v>-1.58</v>
      </c>
      <c r="AR191" s="6" t="n">
        <v>2.71</v>
      </c>
      <c r="AS191" s="6" t="n">
        <v>1.48</v>
      </c>
    </row>
    <row r="192" customFormat="false" ht="15" hidden="false" customHeight="true" outlineLevel="0" collapsed="false">
      <c r="A192" s="83" t="s">
        <v>375</v>
      </c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9"/>
      <c r="AC192" s="83"/>
      <c r="AD192" s="83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6"/>
      <c r="AR192" s="6"/>
      <c r="AS192" s="6"/>
    </row>
    <row r="193" customFormat="false" ht="15" hidden="false" customHeight="true" outlineLevel="0" collapsed="false">
      <c r="A193" s="83" t="s">
        <v>376</v>
      </c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9"/>
      <c r="AC193" s="83"/>
      <c r="AD193" s="83"/>
      <c r="AE193" s="9"/>
      <c r="AF193" s="9"/>
      <c r="AG193" s="9"/>
      <c r="AH193" s="9" t="n">
        <v>-1.15</v>
      </c>
      <c r="AI193" s="9" t="n">
        <v>0.27</v>
      </c>
      <c r="AJ193" s="9" t="n">
        <v>0.26</v>
      </c>
      <c r="AK193" s="9"/>
      <c r="AL193" s="9"/>
      <c r="AM193" s="9" t="n">
        <v>-2.14</v>
      </c>
      <c r="AN193" s="9"/>
      <c r="AO193" s="9"/>
      <c r="AP193" s="9"/>
      <c r="AQ193" s="6" t="n">
        <v>-2.28</v>
      </c>
      <c r="AR193" s="6" t="n">
        <v>1.96</v>
      </c>
      <c r="AS193" s="6" t="n">
        <v>-2.84</v>
      </c>
    </row>
    <row r="194" customFormat="false" ht="15" hidden="false" customHeight="true" outlineLevel="0" collapsed="false">
      <c r="A194" s="83" t="s">
        <v>377</v>
      </c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9"/>
      <c r="AC194" s="83"/>
      <c r="AD194" s="83"/>
      <c r="AE194" s="9"/>
      <c r="AF194" s="9"/>
      <c r="AG194" s="9"/>
      <c r="AH194" s="9" t="n">
        <v>0</v>
      </c>
      <c r="AI194" s="9" t="n">
        <v>0.68</v>
      </c>
      <c r="AJ194" s="9" t="n">
        <v>-0.07</v>
      </c>
      <c r="AK194" s="9"/>
      <c r="AL194" s="9"/>
      <c r="AM194" s="9" t="n">
        <v>0.06</v>
      </c>
      <c r="AN194" s="9"/>
      <c r="AO194" s="9"/>
      <c r="AP194" s="9"/>
      <c r="AQ194" s="6" t="n">
        <v>1.18</v>
      </c>
      <c r="AR194" s="6" t="n">
        <v>1.7</v>
      </c>
      <c r="AS194" s="6"/>
    </row>
    <row r="195" customFormat="false" ht="15" hidden="false" customHeight="true" outlineLevel="0" collapsed="false">
      <c r="A195" s="83" t="s">
        <v>378</v>
      </c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9" t="n">
        <v>-1.06</v>
      </c>
      <c r="AC195" s="83"/>
      <c r="AD195" s="83"/>
      <c r="AE195" s="9"/>
      <c r="AF195" s="9"/>
      <c r="AG195" s="9"/>
      <c r="AH195" s="9" t="n">
        <v>-1.92</v>
      </c>
      <c r="AI195" s="9" t="n">
        <v>1.18</v>
      </c>
      <c r="AJ195" s="9" t="n">
        <v>-1.35</v>
      </c>
      <c r="AK195" s="9"/>
      <c r="AL195" s="9"/>
      <c r="AM195" s="9" t="n">
        <v>0.2</v>
      </c>
      <c r="AN195" s="9"/>
      <c r="AO195" s="9"/>
      <c r="AP195" s="9" t="n">
        <v>-0.37</v>
      </c>
      <c r="AQ195" s="6" t="n">
        <v>2.58</v>
      </c>
      <c r="AR195" s="6" t="n">
        <v>-0.26</v>
      </c>
      <c r="AS195" s="6" t="n">
        <v>0.28</v>
      </c>
    </row>
    <row r="196" customFormat="false" ht="15" hidden="false" customHeight="true" outlineLevel="0" collapsed="false">
      <c r="A196" s="83" t="s">
        <v>379</v>
      </c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9"/>
      <c r="AC196" s="83"/>
      <c r="AD196" s="83"/>
      <c r="AE196" s="9"/>
      <c r="AF196" s="9"/>
      <c r="AG196" s="9"/>
      <c r="AH196" s="9"/>
      <c r="AI196" s="9" t="n">
        <v>-0.88</v>
      </c>
      <c r="AJ196" s="9" t="n">
        <v>-0.71</v>
      </c>
      <c r="AK196" s="9"/>
      <c r="AL196" s="9"/>
      <c r="AM196" s="9" t="n">
        <v>-2.4</v>
      </c>
      <c r="AN196" s="9"/>
      <c r="AO196" s="9"/>
      <c r="AP196" s="9"/>
      <c r="AQ196" s="6" t="n">
        <v>1.22</v>
      </c>
      <c r="AR196" s="6" t="n">
        <v>1.94</v>
      </c>
      <c r="AS196" s="6" t="n">
        <v>-1.36</v>
      </c>
    </row>
    <row r="197" customFormat="false" ht="15" hidden="false" customHeight="true" outlineLevel="0" collapsed="false">
      <c r="A197" s="83" t="s">
        <v>380</v>
      </c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9"/>
      <c r="AC197" s="83"/>
      <c r="AD197" s="83"/>
      <c r="AE197" s="9"/>
      <c r="AF197" s="9"/>
      <c r="AG197" s="9"/>
      <c r="AH197" s="9" t="n">
        <v>0.71</v>
      </c>
      <c r="AI197" s="9" t="n">
        <v>-0.8</v>
      </c>
      <c r="AJ197" s="9" t="n">
        <v>-1.53</v>
      </c>
      <c r="AK197" s="9"/>
      <c r="AL197" s="9"/>
      <c r="AM197" s="9" t="n">
        <v>0.31</v>
      </c>
      <c r="AN197" s="9"/>
      <c r="AO197" s="9"/>
      <c r="AP197" s="9"/>
      <c r="AQ197" s="6" t="n">
        <v>0.96</v>
      </c>
      <c r="AR197" s="6" t="n">
        <v>-1.88</v>
      </c>
      <c r="AS197" s="6" t="n">
        <v>-1.15</v>
      </c>
    </row>
    <row r="198" customFormat="false" ht="15" hidden="false" customHeight="true" outlineLevel="0" collapsed="false">
      <c r="A198" s="83" t="s">
        <v>382</v>
      </c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9" t="n">
        <v>1.9</v>
      </c>
      <c r="AC198" s="83"/>
      <c r="AD198" s="83"/>
      <c r="AE198" s="9"/>
      <c r="AF198" s="9" t="n">
        <v>0.03</v>
      </c>
      <c r="AG198" s="9" t="n">
        <v>0.06</v>
      </c>
      <c r="AH198" s="9"/>
      <c r="AI198" s="9"/>
      <c r="AJ198" s="9" t="n">
        <v>0.68</v>
      </c>
      <c r="AK198" s="9" t="n">
        <v>0.79</v>
      </c>
      <c r="AL198" s="9" t="n">
        <v>0.06</v>
      </c>
      <c r="AM198" s="9"/>
      <c r="AN198" s="9" t="n">
        <v>0.26</v>
      </c>
      <c r="AO198" s="9" t="n">
        <v>1.03</v>
      </c>
      <c r="AP198" s="9" t="n">
        <v>-0.04</v>
      </c>
      <c r="AQ198" s="6" t="n">
        <v>0.36</v>
      </c>
      <c r="AR198" s="6"/>
      <c r="AS198" s="6"/>
    </row>
    <row r="199" customFormat="false" ht="15" hidden="false" customHeight="true" outlineLevel="0" collapsed="false">
      <c r="A199" s="83" t="s">
        <v>383</v>
      </c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9" t="n">
        <v>-0.39</v>
      </c>
      <c r="AC199" s="83"/>
      <c r="AD199" s="83"/>
      <c r="AE199" s="9" t="n">
        <v>0.09</v>
      </c>
      <c r="AF199" s="9" t="n">
        <v>1.08</v>
      </c>
      <c r="AG199" s="9" t="n">
        <v>0.3</v>
      </c>
      <c r="AH199" s="9"/>
      <c r="AI199" s="9"/>
      <c r="AJ199" s="9"/>
      <c r="AK199" s="9" t="n">
        <v>0.67</v>
      </c>
      <c r="AL199" s="9" t="n">
        <v>0.05</v>
      </c>
      <c r="AM199" s="9"/>
      <c r="AN199" s="9" t="n">
        <v>1.03</v>
      </c>
      <c r="AO199" s="9" t="n">
        <v>0.62</v>
      </c>
      <c r="AP199" s="9" t="n">
        <v>0.84</v>
      </c>
      <c r="AQ199" s="6"/>
      <c r="AR199" s="6" t="n">
        <v>1.03</v>
      </c>
      <c r="AS199" s="6"/>
    </row>
    <row r="200" customFormat="false" ht="15" hidden="false" customHeight="true" outlineLevel="0" collapsed="false">
      <c r="A200" s="83" t="s">
        <v>384</v>
      </c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9" t="n">
        <v>0.31</v>
      </c>
      <c r="AC200" s="83"/>
      <c r="AD200" s="83"/>
      <c r="AE200" s="9"/>
      <c r="AF200" s="9" t="n">
        <v>-0.1</v>
      </c>
      <c r="AG200" s="9"/>
      <c r="AH200" s="9" t="n">
        <v>0.86</v>
      </c>
      <c r="AI200" s="9" t="n">
        <v>-0.23</v>
      </c>
      <c r="AJ200" s="9" t="n">
        <v>-2.29</v>
      </c>
      <c r="AK200" s="9" t="n">
        <v>-1.21</v>
      </c>
      <c r="AL200" s="9"/>
      <c r="AM200" s="9" t="n">
        <v>-0.12</v>
      </c>
      <c r="AN200" s="9"/>
      <c r="AO200" s="9" t="n">
        <v>-1.3</v>
      </c>
      <c r="AP200" s="9" t="n">
        <v>-1.83</v>
      </c>
      <c r="AQ200" s="6" t="n">
        <v>0.77</v>
      </c>
      <c r="AR200" s="6" t="n">
        <v>-0.56</v>
      </c>
      <c r="AS200" s="6" t="n">
        <v>-1.96</v>
      </c>
    </row>
    <row r="201" customFormat="false" ht="15" hidden="false" customHeight="true" outlineLevel="0" collapsed="false">
      <c r="A201" s="83" t="s">
        <v>385</v>
      </c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9" t="n">
        <v>1.95</v>
      </c>
      <c r="AC201" s="83"/>
      <c r="AD201" s="83"/>
      <c r="AE201" s="9"/>
      <c r="AF201" s="9"/>
      <c r="AG201" s="9"/>
      <c r="AH201" s="9"/>
      <c r="AI201" s="9" t="n">
        <v>-1.36</v>
      </c>
      <c r="AJ201" s="9" t="n">
        <v>0</v>
      </c>
      <c r="AK201" s="9" t="n">
        <v>0.82</v>
      </c>
      <c r="AL201" s="9"/>
      <c r="AM201" s="9" t="n">
        <v>0.39</v>
      </c>
      <c r="AN201" s="9" t="n">
        <v>0.32</v>
      </c>
      <c r="AO201" s="9" t="n">
        <v>-0.23</v>
      </c>
      <c r="AP201" s="9" t="n">
        <v>-2.02</v>
      </c>
      <c r="AQ201" s="6" t="n">
        <v>0.92</v>
      </c>
      <c r="AR201" s="6" t="n">
        <v>2.73</v>
      </c>
      <c r="AS201" s="6" t="n">
        <v>-0.15</v>
      </c>
    </row>
    <row r="202" customFormat="false" ht="15" hidden="false" customHeight="true" outlineLevel="0" collapsed="false">
      <c r="A202" s="83" t="s">
        <v>386</v>
      </c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9"/>
      <c r="AC202" s="83"/>
      <c r="AD202" s="83"/>
      <c r="AE202" s="9"/>
      <c r="AF202" s="9"/>
      <c r="AG202" s="9" t="n">
        <v>0.35</v>
      </c>
      <c r="AH202" s="9"/>
      <c r="AI202" s="9"/>
      <c r="AJ202" s="9"/>
      <c r="AK202" s="9"/>
      <c r="AL202" s="9"/>
      <c r="AM202" s="9"/>
      <c r="AN202" s="9"/>
      <c r="AO202" s="9"/>
      <c r="AP202" s="9"/>
      <c r="AQ202" s="6"/>
      <c r="AR202" s="6"/>
      <c r="AS202" s="6"/>
    </row>
    <row r="203" customFormat="false" ht="15" hidden="false" customHeight="true" outlineLevel="0" collapsed="false">
      <c r="A203" s="83" t="s">
        <v>388</v>
      </c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9" t="n">
        <v>-2.19</v>
      </c>
      <c r="AC203" s="83"/>
      <c r="AD203" s="83"/>
      <c r="AE203" s="9" t="n">
        <v>-0.38</v>
      </c>
      <c r="AF203" s="9"/>
      <c r="AG203" s="9" t="n">
        <v>-0.28</v>
      </c>
      <c r="AH203" s="9"/>
      <c r="AI203" s="9" t="n">
        <v>-0.62</v>
      </c>
      <c r="AJ203" s="9"/>
      <c r="AK203" s="9" t="n">
        <v>-0.46</v>
      </c>
      <c r="AL203" s="9" t="n">
        <v>0.95</v>
      </c>
      <c r="AM203" s="9"/>
      <c r="AN203" s="9" t="n">
        <v>1.35</v>
      </c>
      <c r="AO203" s="9"/>
      <c r="AP203" s="9"/>
      <c r="AQ203" s="6" t="n">
        <v>-0.41</v>
      </c>
      <c r="AR203" s="6" t="n">
        <v>-0.13</v>
      </c>
      <c r="AS203" s="6" t="n">
        <v>-0.46</v>
      </c>
    </row>
    <row r="204" customFormat="false" ht="15" hidden="false" customHeight="true" outlineLevel="0" collapsed="false">
      <c r="A204" s="83" t="s">
        <v>389</v>
      </c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9"/>
      <c r="AC204" s="83"/>
      <c r="AD204" s="83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6"/>
      <c r="AR204" s="6"/>
      <c r="AS204" s="6"/>
    </row>
    <row r="205" customFormat="false" ht="15" hidden="false" customHeight="true" outlineLevel="0" collapsed="false">
      <c r="A205" s="83" t="s">
        <v>390</v>
      </c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9"/>
      <c r="AC205" s="83"/>
      <c r="AD205" s="83"/>
      <c r="AE205" s="9"/>
      <c r="AF205" s="9"/>
      <c r="AG205" s="9"/>
      <c r="AH205" s="9" t="n">
        <v>-0.66</v>
      </c>
      <c r="AI205" s="9" t="n">
        <v>-0.5</v>
      </c>
      <c r="AJ205" s="9" t="n">
        <v>-0.06</v>
      </c>
      <c r="AK205" s="9"/>
      <c r="AL205" s="9"/>
      <c r="AM205" s="9" t="n">
        <v>0.6</v>
      </c>
      <c r="AN205" s="9"/>
      <c r="AO205" s="9"/>
      <c r="AP205" s="9" t="n">
        <v>-1.52</v>
      </c>
      <c r="AQ205" s="6" t="n">
        <v>-2.76</v>
      </c>
      <c r="AR205" s="6" t="n">
        <v>-1.13</v>
      </c>
      <c r="AS205" s="6" t="n">
        <v>-2.23</v>
      </c>
    </row>
    <row r="206" customFormat="false" ht="15" hidden="false" customHeight="true" outlineLevel="0" collapsed="false">
      <c r="A206" s="83" t="s">
        <v>392</v>
      </c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9"/>
      <c r="AC206" s="83"/>
      <c r="AD206" s="83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6"/>
      <c r="AR206" s="6"/>
      <c r="AS206" s="6"/>
    </row>
    <row r="207" customFormat="false" ht="15" hidden="false" customHeight="true" outlineLevel="0" collapsed="false">
      <c r="A207" s="83" t="s">
        <v>393</v>
      </c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9"/>
      <c r="AC207" s="83"/>
      <c r="AD207" s="83"/>
      <c r="AE207" s="9"/>
      <c r="AF207" s="9"/>
      <c r="AG207" s="9"/>
      <c r="AH207" s="9"/>
      <c r="AI207" s="9"/>
      <c r="AJ207" s="9"/>
      <c r="AK207" s="9"/>
      <c r="AL207" s="9"/>
      <c r="AM207" s="9" t="n">
        <v>-0.49</v>
      </c>
      <c r="AN207" s="9"/>
      <c r="AO207" s="9"/>
      <c r="AP207" s="9"/>
      <c r="AQ207" s="6"/>
      <c r="AR207" s="6"/>
      <c r="AS207" s="6"/>
    </row>
    <row r="208" customFormat="false" ht="15" hidden="false" customHeight="true" outlineLevel="0" collapsed="false">
      <c r="A208" s="83" t="s">
        <v>394</v>
      </c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9"/>
      <c r="AC208" s="83"/>
      <c r="AD208" s="83"/>
      <c r="AE208" s="9"/>
      <c r="AF208" s="9"/>
      <c r="AG208" s="9"/>
      <c r="AH208" s="9" t="n">
        <v>-0.4</v>
      </c>
      <c r="AI208" s="9"/>
      <c r="AJ208" s="9" t="n">
        <v>0.71</v>
      </c>
      <c r="AK208" s="9"/>
      <c r="AL208" s="9"/>
      <c r="AM208" s="9" t="n">
        <v>1.9</v>
      </c>
      <c r="AN208" s="9"/>
      <c r="AO208" s="9"/>
      <c r="AP208" s="9" t="n">
        <v>-0.79</v>
      </c>
      <c r="AQ208" s="6"/>
      <c r="AR208" s="6"/>
      <c r="AS208" s="6" t="n">
        <v>0.09</v>
      </c>
    </row>
    <row r="209" customFormat="false" ht="15" hidden="false" customHeight="true" outlineLevel="0" collapsed="false">
      <c r="A209" s="83" t="s">
        <v>395</v>
      </c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9"/>
      <c r="AC209" s="83"/>
      <c r="AD209" s="83"/>
      <c r="AE209" s="9"/>
      <c r="AF209" s="9"/>
      <c r="AG209" s="9"/>
      <c r="AH209" s="9"/>
      <c r="AI209" s="9"/>
      <c r="AJ209" s="9" t="n">
        <v>1.24</v>
      </c>
      <c r="AK209" s="9"/>
      <c r="AL209" s="9"/>
      <c r="AM209" s="9"/>
      <c r="AN209" s="9"/>
      <c r="AO209" s="9"/>
      <c r="AP209" s="9"/>
      <c r="AQ209" s="6"/>
      <c r="AR209" s="6"/>
      <c r="AS209" s="6"/>
    </row>
    <row r="210" customFormat="false" ht="15" hidden="false" customHeight="true" outlineLevel="0" collapsed="false">
      <c r="A210" s="83" t="s">
        <v>396</v>
      </c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9" t="n">
        <v>1.88</v>
      </c>
      <c r="AC210" s="83"/>
      <c r="AD210" s="83"/>
      <c r="AE210" s="9" t="n">
        <v>0.25</v>
      </c>
      <c r="AF210" s="9"/>
      <c r="AG210" s="9"/>
      <c r="AH210" s="9" t="n">
        <v>0.22</v>
      </c>
      <c r="AI210" s="9" t="n">
        <v>1.38</v>
      </c>
      <c r="AJ210" s="9" t="n">
        <v>-0.63</v>
      </c>
      <c r="AK210" s="9" t="n">
        <v>0.7</v>
      </c>
      <c r="AL210" s="9"/>
      <c r="AM210" s="9" t="n">
        <v>-1.4</v>
      </c>
      <c r="AN210" s="9"/>
      <c r="AO210" s="9" t="n">
        <v>0.23</v>
      </c>
      <c r="AP210" s="9" t="n">
        <v>0.75</v>
      </c>
      <c r="AQ210" s="6" t="n">
        <v>-0.75</v>
      </c>
      <c r="AR210" s="6" t="n">
        <v>0.56</v>
      </c>
      <c r="AS210" s="6" t="n">
        <v>0.36</v>
      </c>
    </row>
    <row r="211" customFormat="false" ht="15" hidden="false" customHeight="true" outlineLevel="0" collapsed="false">
      <c r="A211" s="83" t="s">
        <v>397</v>
      </c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9" t="n">
        <v>1.14</v>
      </c>
      <c r="AC211" s="83"/>
      <c r="AD211" s="83"/>
      <c r="AE211" s="9"/>
      <c r="AF211" s="9"/>
      <c r="AG211" s="9" t="n">
        <v>0.09</v>
      </c>
      <c r="AH211" s="9"/>
      <c r="AI211" s="9"/>
      <c r="AJ211" s="9"/>
      <c r="AK211" s="9"/>
      <c r="AL211" s="9"/>
      <c r="AM211" s="9"/>
      <c r="AN211" s="9"/>
      <c r="AO211" s="9"/>
      <c r="AP211" s="9"/>
      <c r="AQ211" s="6"/>
      <c r="AR211" s="6"/>
      <c r="AS211" s="6"/>
    </row>
    <row r="212" customFormat="false" ht="15" hidden="false" customHeight="true" outlineLevel="0" collapsed="false">
      <c r="A212" s="83" t="s">
        <v>398</v>
      </c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9" t="n">
        <v>-3.57</v>
      </c>
      <c r="AC212" s="83"/>
      <c r="AD212" s="83"/>
      <c r="AE212" s="9" t="n">
        <v>-0.9</v>
      </c>
      <c r="AF212" s="9" t="n">
        <v>0.6</v>
      </c>
      <c r="AG212" s="9"/>
      <c r="AH212" s="9" t="n">
        <v>-1.7</v>
      </c>
      <c r="AI212" s="9" t="n">
        <v>-0.27</v>
      </c>
      <c r="AJ212" s="9" t="n">
        <v>0.06</v>
      </c>
      <c r="AK212" s="9" t="n">
        <v>-1.5</v>
      </c>
      <c r="AL212" s="9"/>
      <c r="AM212" s="9" t="n">
        <v>0.15</v>
      </c>
      <c r="AN212" s="9"/>
      <c r="AO212" s="9"/>
      <c r="AP212" s="9" t="n">
        <v>1.14</v>
      </c>
      <c r="AQ212" s="6" t="n">
        <v>-1.69</v>
      </c>
      <c r="AR212" s="6" t="n">
        <v>-0.1</v>
      </c>
      <c r="AS212" s="6" t="n">
        <v>-0.76</v>
      </c>
    </row>
    <row r="213" customFormat="false" ht="15" hidden="false" customHeight="true" outlineLevel="0" collapsed="false">
      <c r="A213" s="83" t="s">
        <v>399</v>
      </c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9" t="n">
        <v>1.38</v>
      </c>
      <c r="AC213" s="83"/>
      <c r="AD213" s="83"/>
      <c r="AE213" s="9" t="n">
        <v>-0.57</v>
      </c>
      <c r="AF213" s="9" t="n">
        <v>-0.52</v>
      </c>
      <c r="AG213" s="9"/>
      <c r="AH213" s="9" t="n">
        <v>-0.3</v>
      </c>
      <c r="AI213" s="9"/>
      <c r="AJ213" s="9" t="n">
        <v>-1.49</v>
      </c>
      <c r="AK213" s="9" t="n">
        <v>-0.28</v>
      </c>
      <c r="AL213" s="9" t="n">
        <v>-0.68</v>
      </c>
      <c r="AM213" s="9" t="n">
        <v>0.61</v>
      </c>
      <c r="AN213" s="9"/>
      <c r="AO213" s="9"/>
      <c r="AP213" s="9" t="n">
        <v>-1.05</v>
      </c>
      <c r="AQ213" s="6" t="n">
        <v>-1.21</v>
      </c>
      <c r="AR213" s="6" t="n">
        <v>-0.92</v>
      </c>
      <c r="AS213" s="6" t="n">
        <v>-0.73</v>
      </c>
    </row>
    <row r="214" customFormat="false" ht="15" hidden="false" customHeight="true" outlineLevel="0" collapsed="false">
      <c r="A214" s="83" t="s">
        <v>400</v>
      </c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9" t="n">
        <v>0.33</v>
      </c>
      <c r="AC214" s="83"/>
      <c r="AD214" s="83"/>
      <c r="AE214" s="9"/>
      <c r="AF214" s="9"/>
      <c r="AG214" s="9"/>
      <c r="AH214" s="9" t="n">
        <v>-0.23</v>
      </c>
      <c r="AI214" s="9"/>
      <c r="AJ214" s="9" t="n">
        <v>1.5</v>
      </c>
      <c r="AK214" s="9"/>
      <c r="AL214" s="9"/>
      <c r="AM214" s="9" t="n">
        <v>-0.39</v>
      </c>
      <c r="AN214" s="9"/>
      <c r="AO214" s="9"/>
      <c r="AP214" s="9"/>
      <c r="AQ214" s="6" t="n">
        <v>-1.18</v>
      </c>
      <c r="AR214" s="6" t="n">
        <v>-0.93</v>
      </c>
      <c r="AS214" s="6"/>
    </row>
    <row r="215" customFormat="false" ht="15" hidden="false" customHeight="true" outlineLevel="0" collapsed="false">
      <c r="A215" s="83" t="s">
        <v>401</v>
      </c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9" t="n">
        <v>-2.33</v>
      </c>
      <c r="AC215" s="83"/>
      <c r="AD215" s="83"/>
      <c r="AE215" s="9" t="n">
        <v>-0.3</v>
      </c>
      <c r="AF215" s="9" t="n">
        <v>-0.88</v>
      </c>
      <c r="AG215" s="9" t="n">
        <v>-0.91</v>
      </c>
      <c r="AH215" s="9" t="n">
        <v>0.98</v>
      </c>
      <c r="AI215" s="9"/>
      <c r="AJ215" s="9" t="n">
        <v>-2.62</v>
      </c>
      <c r="AK215" s="9" t="n">
        <v>0.58</v>
      </c>
      <c r="AL215" s="9" t="n">
        <v>-0.46</v>
      </c>
      <c r="AM215" s="9"/>
      <c r="AN215" s="9" t="n">
        <v>-1.25</v>
      </c>
      <c r="AO215" s="9" t="n">
        <v>-0.76</v>
      </c>
      <c r="AP215" s="9"/>
      <c r="AQ215" s="6" t="n">
        <v>-2.54</v>
      </c>
      <c r="AR215" s="6"/>
      <c r="AS215" s="6" t="n">
        <v>-0.72</v>
      </c>
    </row>
    <row r="216" customFormat="false" ht="15" hidden="false" customHeight="true" outlineLevel="0" collapsed="false">
      <c r="A216" s="83" t="s">
        <v>402</v>
      </c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9" t="n">
        <v>-0.8</v>
      </c>
      <c r="AC216" s="83"/>
      <c r="AD216" s="83"/>
      <c r="AE216" s="9" t="n">
        <v>0.46</v>
      </c>
      <c r="AF216" s="9" t="n">
        <v>2.12</v>
      </c>
      <c r="AG216" s="9" t="n">
        <v>-0.32</v>
      </c>
      <c r="AH216" s="9" t="n">
        <v>-1.74</v>
      </c>
      <c r="AI216" s="9"/>
      <c r="AJ216" s="9" t="n">
        <v>0.38</v>
      </c>
      <c r="AK216" s="9" t="n">
        <v>-0.46</v>
      </c>
      <c r="AL216" s="9" t="n">
        <v>0.74</v>
      </c>
      <c r="AM216" s="9"/>
      <c r="AN216" s="9" t="n">
        <v>1.73</v>
      </c>
      <c r="AO216" s="9" t="n">
        <v>1.61</v>
      </c>
      <c r="AP216" s="9" t="n">
        <v>-0.61</v>
      </c>
      <c r="AQ216" s="6"/>
      <c r="AR216" s="6"/>
      <c r="AS216" s="6" t="n">
        <v>0.32</v>
      </c>
    </row>
    <row r="217" customFormat="false" ht="15" hidden="false" customHeight="true" outlineLevel="0" collapsed="false">
      <c r="A217" s="83" t="s">
        <v>403</v>
      </c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9"/>
      <c r="AC217" s="83"/>
      <c r="AD217" s="83"/>
      <c r="AE217" s="9"/>
      <c r="AF217" s="9"/>
      <c r="AG217" s="9"/>
      <c r="AH217" s="9" t="n">
        <v>2.36</v>
      </c>
      <c r="AI217" s="9" t="n">
        <v>-0.28</v>
      </c>
      <c r="AJ217" s="9" t="n">
        <v>0.29</v>
      </c>
      <c r="AK217" s="9"/>
      <c r="AL217" s="9"/>
      <c r="AM217" s="9" t="n">
        <v>0.61</v>
      </c>
      <c r="AN217" s="9"/>
      <c r="AO217" s="9"/>
      <c r="AP217" s="9"/>
      <c r="AQ217" s="6"/>
      <c r="AR217" s="6" t="n">
        <v>-0.64</v>
      </c>
      <c r="AS217" s="6"/>
    </row>
    <row r="218" customFormat="false" ht="15" hidden="false" customHeight="true" outlineLevel="0" collapsed="false">
      <c r="A218" s="83" t="s">
        <v>405</v>
      </c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9" t="n">
        <v>-0.26</v>
      </c>
      <c r="AC218" s="83"/>
      <c r="AD218" s="83"/>
      <c r="AE218" s="9" t="n">
        <v>0.49</v>
      </c>
      <c r="AF218" s="9" t="n">
        <v>0.39</v>
      </c>
      <c r="AG218" s="9" t="n">
        <v>0.12</v>
      </c>
      <c r="AH218" s="9"/>
      <c r="AI218" s="9" t="n">
        <v>0.83</v>
      </c>
      <c r="AJ218" s="9"/>
      <c r="AK218" s="9" t="n">
        <v>-1.25</v>
      </c>
      <c r="AL218" s="9" t="n">
        <v>-0.38</v>
      </c>
      <c r="AM218" s="9"/>
      <c r="AN218" s="9" t="n">
        <v>1.14</v>
      </c>
      <c r="AO218" s="9" t="n">
        <v>-1.02</v>
      </c>
      <c r="AP218" s="9" t="n">
        <v>-0.12</v>
      </c>
      <c r="AQ218" s="6" t="n">
        <v>-0.67</v>
      </c>
      <c r="AR218" s="6" t="n">
        <v>0.34</v>
      </c>
      <c r="AS218" s="6" t="n">
        <v>-0.07</v>
      </c>
    </row>
    <row r="219" customFormat="false" ht="15" hidden="false" customHeight="true" outlineLevel="0" collapsed="false">
      <c r="A219" s="83" t="s">
        <v>406</v>
      </c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9" t="n">
        <v>-1.51</v>
      </c>
      <c r="AC219" s="83"/>
      <c r="AD219" s="83"/>
      <c r="AE219" s="9" t="n">
        <v>0.75</v>
      </c>
      <c r="AF219" s="9" t="n">
        <v>0.23</v>
      </c>
      <c r="AG219" s="9" t="n">
        <v>-0.19</v>
      </c>
      <c r="AH219" s="9" t="n">
        <v>1.06</v>
      </c>
      <c r="AI219" s="9"/>
      <c r="AJ219" s="9"/>
      <c r="AK219" s="9" t="n">
        <v>0.76</v>
      </c>
      <c r="AL219" s="9" t="n">
        <v>0.23</v>
      </c>
      <c r="AM219" s="9"/>
      <c r="AN219" s="9" t="n">
        <v>-1.01</v>
      </c>
      <c r="AO219" s="9" t="n">
        <v>1.05</v>
      </c>
      <c r="AP219" s="9" t="n">
        <v>-0.7</v>
      </c>
      <c r="AQ219" s="6"/>
      <c r="AR219" s="6" t="n">
        <v>0.16</v>
      </c>
      <c r="AS219" s="6"/>
    </row>
    <row r="220" customFormat="false" ht="15" hidden="false" customHeight="true" outlineLevel="0" collapsed="false">
      <c r="A220" s="83" t="s">
        <v>407</v>
      </c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9"/>
      <c r="AC220" s="83"/>
      <c r="AD220" s="83"/>
      <c r="AE220" s="9"/>
      <c r="AF220" s="9"/>
      <c r="AG220" s="9"/>
      <c r="AH220" s="9" t="n">
        <v>0.29</v>
      </c>
      <c r="AI220" s="9"/>
      <c r="AJ220" s="9" t="n">
        <v>0.31</v>
      </c>
      <c r="AK220" s="9"/>
      <c r="AL220" s="9"/>
      <c r="AM220" s="9" t="n">
        <v>0.46</v>
      </c>
      <c r="AN220" s="9"/>
      <c r="AO220" s="9"/>
      <c r="AP220" s="9"/>
      <c r="AQ220" s="6" t="n">
        <v>1.24</v>
      </c>
      <c r="AR220" s="6" t="n">
        <v>0.34</v>
      </c>
      <c r="AS220" s="6"/>
    </row>
    <row r="221" customFormat="false" ht="15" hidden="false" customHeight="true" outlineLevel="0" collapsed="false">
      <c r="A221" s="83" t="s">
        <v>409</v>
      </c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9"/>
      <c r="AC221" s="83"/>
      <c r="AD221" s="83"/>
      <c r="AE221" s="9"/>
      <c r="AF221" s="9"/>
      <c r="AG221" s="9"/>
      <c r="AH221" s="9" t="n">
        <v>-0.63</v>
      </c>
      <c r="AI221" s="9" t="n">
        <v>-0.83</v>
      </c>
      <c r="AJ221" s="9" t="n">
        <v>-0.85</v>
      </c>
      <c r="AK221" s="9"/>
      <c r="AL221" s="9"/>
      <c r="AM221" s="9" t="n">
        <v>-0.01</v>
      </c>
      <c r="AN221" s="9"/>
      <c r="AO221" s="9"/>
      <c r="AP221" s="9"/>
      <c r="AQ221" s="6" t="n">
        <v>-1.83</v>
      </c>
      <c r="AR221" s="6" t="n">
        <v>-1.39</v>
      </c>
      <c r="AS221" s="6"/>
    </row>
    <row r="222" customFormat="false" ht="15" hidden="false" customHeight="true" outlineLevel="0" collapsed="false">
      <c r="A222" s="83" t="s">
        <v>411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9"/>
      <c r="AC222" s="83"/>
      <c r="AD222" s="83"/>
      <c r="AE222" s="9"/>
      <c r="AF222" s="9"/>
      <c r="AG222" s="9"/>
      <c r="AH222" s="9" t="n">
        <v>-0.58</v>
      </c>
      <c r="AI222" s="9" t="n">
        <v>-1.62</v>
      </c>
      <c r="AJ222" s="9" t="n">
        <v>-1.64</v>
      </c>
      <c r="AK222" s="9"/>
      <c r="AL222" s="9"/>
      <c r="AM222" s="9" t="n">
        <v>-0.66</v>
      </c>
      <c r="AN222" s="9"/>
      <c r="AO222" s="9"/>
      <c r="AP222" s="9"/>
      <c r="AQ222" s="6" t="n">
        <v>-0.87</v>
      </c>
      <c r="AR222" s="6" t="n">
        <v>-1.64</v>
      </c>
      <c r="AS222" s="6" t="n">
        <v>-0.76</v>
      </c>
    </row>
    <row r="223" customFormat="false" ht="15" hidden="false" customHeight="true" outlineLevel="0" collapsed="false">
      <c r="A223" s="83" t="s">
        <v>412</v>
      </c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9"/>
      <c r="AC223" s="83"/>
      <c r="AD223" s="83"/>
      <c r="AE223" s="9"/>
      <c r="AF223" s="9"/>
      <c r="AG223" s="9"/>
      <c r="AH223" s="9" t="n">
        <v>-0.15</v>
      </c>
      <c r="AI223" s="9" t="n">
        <v>-0.51</v>
      </c>
      <c r="AJ223" s="9" t="n">
        <v>-2.37</v>
      </c>
      <c r="AK223" s="9"/>
      <c r="AL223" s="9"/>
      <c r="AM223" s="9" t="n">
        <v>-1.18</v>
      </c>
      <c r="AN223" s="9"/>
      <c r="AO223" s="9"/>
      <c r="AP223" s="9"/>
      <c r="AQ223" s="6" t="n">
        <v>1.22</v>
      </c>
      <c r="AR223" s="6" t="n">
        <v>-0.16</v>
      </c>
      <c r="AS223" s="6"/>
    </row>
    <row r="224" customFormat="false" ht="15" hidden="false" customHeight="true" outlineLevel="0" collapsed="false">
      <c r="A224" s="83" t="s">
        <v>414</v>
      </c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9" t="n">
        <v>1.06</v>
      </c>
      <c r="AC224" s="83"/>
      <c r="AD224" s="83"/>
      <c r="AE224" s="9" t="n">
        <v>-0.18</v>
      </c>
      <c r="AF224" s="9" t="n">
        <v>-1.09</v>
      </c>
      <c r="AG224" s="9" t="n">
        <v>0.43</v>
      </c>
      <c r="AH224" s="9" t="n">
        <v>-0.34</v>
      </c>
      <c r="AI224" s="9"/>
      <c r="AJ224" s="9" t="n">
        <v>-0.74</v>
      </c>
      <c r="AK224" s="9" t="n">
        <v>-0.84</v>
      </c>
      <c r="AL224" s="9" t="n">
        <v>0.05</v>
      </c>
      <c r="AM224" s="9"/>
      <c r="AN224" s="9" t="n">
        <v>-0.13</v>
      </c>
      <c r="AO224" s="9" t="n">
        <v>0.25</v>
      </c>
      <c r="AP224" s="9" t="n">
        <v>0.61</v>
      </c>
      <c r="AQ224" s="6"/>
      <c r="AR224" s="6" t="n">
        <v>0.51</v>
      </c>
      <c r="AS224" s="6" t="n">
        <v>0.35</v>
      </c>
    </row>
    <row r="225" customFormat="false" ht="15" hidden="false" customHeight="true" outlineLevel="0" collapsed="false">
      <c r="A225" s="83" t="s">
        <v>415</v>
      </c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9" t="n">
        <v>0.17</v>
      </c>
      <c r="AC225" s="83"/>
      <c r="AD225" s="83"/>
      <c r="AE225" s="9" t="n">
        <v>0.08</v>
      </c>
      <c r="AF225" s="9" t="n">
        <v>-0.55</v>
      </c>
      <c r="AG225" s="9"/>
      <c r="AH225" s="9"/>
      <c r="AI225" s="9" t="n">
        <v>1.05</v>
      </c>
      <c r="AJ225" s="9" t="n">
        <v>-1.03</v>
      </c>
      <c r="AK225" s="9" t="n">
        <v>0.48</v>
      </c>
      <c r="AL225" s="9" t="n">
        <v>0.03</v>
      </c>
      <c r="AM225" s="9"/>
      <c r="AN225" s="9" t="n">
        <v>0.66</v>
      </c>
      <c r="AO225" s="9" t="n">
        <v>-0.48</v>
      </c>
      <c r="AP225" s="9" t="n">
        <v>1.01</v>
      </c>
      <c r="AQ225" s="6" t="n">
        <v>1.03</v>
      </c>
      <c r="AR225" s="6" t="n">
        <v>2.04</v>
      </c>
      <c r="AS225" s="6" t="n">
        <v>0.57</v>
      </c>
    </row>
    <row r="226" customFormat="false" ht="15" hidden="false" customHeight="true" outlineLevel="0" collapsed="false">
      <c r="A226" s="83" t="s">
        <v>416</v>
      </c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9" t="n">
        <v>1.76</v>
      </c>
      <c r="AC226" s="83"/>
      <c r="AD226" s="83"/>
      <c r="AE226" s="9" t="n">
        <v>-1.33</v>
      </c>
      <c r="AF226" s="9" t="n">
        <v>-1.08</v>
      </c>
      <c r="AG226" s="9" t="n">
        <v>-0.09</v>
      </c>
      <c r="AH226" s="9"/>
      <c r="AI226" s="9"/>
      <c r="AJ226" s="9" t="n">
        <v>0.44</v>
      </c>
      <c r="AK226" s="9" t="n">
        <v>1.19</v>
      </c>
      <c r="AL226" s="9" t="n">
        <v>-2.95</v>
      </c>
      <c r="AM226" s="9"/>
      <c r="AN226" s="9"/>
      <c r="AO226" s="9"/>
      <c r="AP226" s="9"/>
      <c r="AQ226" s="6"/>
      <c r="AR226" s="6"/>
      <c r="AS226" s="6"/>
    </row>
    <row r="227" customFormat="false" ht="15" hidden="false" customHeight="true" outlineLevel="0" collapsed="false">
      <c r="A227" s="83" t="s">
        <v>417</v>
      </c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9"/>
      <c r="AC227" s="83"/>
      <c r="AD227" s="83"/>
      <c r="AE227" s="9"/>
      <c r="AF227" s="9"/>
      <c r="AG227" s="9"/>
      <c r="AH227" s="9" t="n">
        <v>-0.66</v>
      </c>
      <c r="AI227" s="9" t="n">
        <v>-1.69</v>
      </c>
      <c r="AJ227" s="9" t="n">
        <v>0.91</v>
      </c>
      <c r="AK227" s="9" t="n">
        <v>-1.91</v>
      </c>
      <c r="AL227" s="9"/>
      <c r="AM227" s="9" t="n">
        <v>-0.61</v>
      </c>
      <c r="AN227" s="9"/>
      <c r="AO227" s="9"/>
      <c r="AP227" s="9" t="n">
        <v>-0.72</v>
      </c>
      <c r="AQ227" s="6" t="n">
        <v>-1.63</v>
      </c>
      <c r="AR227" s="6" t="n">
        <v>-0.89</v>
      </c>
      <c r="AS227" s="6"/>
    </row>
    <row r="228" customFormat="false" ht="15" hidden="false" customHeight="true" outlineLevel="0" collapsed="false">
      <c r="A228" s="83" t="s">
        <v>418</v>
      </c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9" t="n">
        <v>-1.65</v>
      </c>
      <c r="AC228" s="83"/>
      <c r="AD228" s="83"/>
      <c r="AE228" s="9"/>
      <c r="AF228" s="9" t="n">
        <v>-1.07</v>
      </c>
      <c r="AG228" s="9"/>
      <c r="AH228" s="9" t="n">
        <v>-0.15</v>
      </c>
      <c r="AI228" s="9" t="n">
        <v>0.33</v>
      </c>
      <c r="AJ228" s="9"/>
      <c r="AK228" s="9" t="n">
        <v>0.37</v>
      </c>
      <c r="AL228" s="9" t="n">
        <v>0.4</v>
      </c>
      <c r="AM228" s="9" t="n">
        <v>0.19</v>
      </c>
      <c r="AN228" s="9"/>
      <c r="AO228" s="9" t="n">
        <v>-2.43</v>
      </c>
      <c r="AP228" s="9" t="n">
        <v>0.4</v>
      </c>
      <c r="AQ228" s="6" t="n">
        <v>-0.59</v>
      </c>
      <c r="AR228" s="6" t="n">
        <v>0.46</v>
      </c>
      <c r="AS228" s="6"/>
    </row>
    <row r="229" customFormat="false" ht="15" hidden="false" customHeight="true" outlineLevel="0" collapsed="false">
      <c r="A229" s="83" t="s">
        <v>419</v>
      </c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9"/>
      <c r="AC229" s="83"/>
      <c r="AD229" s="83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6"/>
      <c r="AR229" s="6"/>
      <c r="AS229" s="6"/>
    </row>
    <row r="230" customFormat="false" ht="15" hidden="false" customHeight="true" outlineLevel="0" collapsed="false">
      <c r="A230" s="83" t="s">
        <v>420</v>
      </c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9"/>
      <c r="AC230" s="83"/>
      <c r="AD230" s="83"/>
      <c r="AE230" s="9"/>
      <c r="AF230" s="9"/>
      <c r="AG230" s="9"/>
      <c r="AH230" s="9" t="n">
        <v>1.63</v>
      </c>
      <c r="AI230" s="9"/>
      <c r="AJ230" s="9"/>
      <c r="AK230" s="9"/>
      <c r="AL230" s="9"/>
      <c r="AM230" s="9" t="n">
        <v>-2.01</v>
      </c>
      <c r="AN230" s="9"/>
      <c r="AO230" s="9"/>
      <c r="AP230" s="9"/>
      <c r="AQ230" s="6"/>
      <c r="AR230" s="6"/>
      <c r="AS230" s="6"/>
    </row>
    <row r="231" customFormat="false" ht="15" hidden="false" customHeight="true" outlineLevel="0" collapsed="false">
      <c r="A231" s="83" t="s">
        <v>421</v>
      </c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9"/>
      <c r="AC231" s="83"/>
      <c r="AD231" s="83"/>
      <c r="AE231" s="9"/>
      <c r="AF231" s="9"/>
      <c r="AG231" s="9"/>
      <c r="AH231" s="9" t="n">
        <v>-0.4</v>
      </c>
      <c r="AI231" s="9" t="n">
        <v>-1.36</v>
      </c>
      <c r="AJ231" s="9" t="n">
        <v>-0.04</v>
      </c>
      <c r="AK231" s="9"/>
      <c r="AL231" s="9"/>
      <c r="AM231" s="9" t="n">
        <v>-2.09</v>
      </c>
      <c r="AN231" s="9"/>
      <c r="AO231" s="9"/>
      <c r="AP231" s="9" t="n">
        <v>-2.88</v>
      </c>
      <c r="AQ231" s="6" t="n">
        <v>1.69</v>
      </c>
      <c r="AR231" s="6" t="n">
        <v>0.03</v>
      </c>
      <c r="AS231" s="6" t="n">
        <v>-1.99</v>
      </c>
    </row>
    <row r="232" customFormat="false" ht="15" hidden="false" customHeight="true" outlineLevel="0" collapsed="false">
      <c r="A232" s="83" t="s">
        <v>422</v>
      </c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9" t="n">
        <v>0.6</v>
      </c>
      <c r="AC232" s="83"/>
      <c r="AD232" s="83"/>
      <c r="AE232" s="9"/>
      <c r="AF232" s="9" t="n">
        <v>-0.07</v>
      </c>
      <c r="AG232" s="9" t="n">
        <v>-1.83</v>
      </c>
      <c r="AH232" s="9" t="n">
        <v>1.37</v>
      </c>
      <c r="AI232" s="9"/>
      <c r="AJ232" s="9"/>
      <c r="AK232" s="9" t="n">
        <v>-1.05</v>
      </c>
      <c r="AL232" s="9"/>
      <c r="AM232" s="9" t="n">
        <v>-0.05</v>
      </c>
      <c r="AN232" s="9" t="n">
        <v>-0.18</v>
      </c>
      <c r="AO232" s="9" t="n">
        <v>0.41</v>
      </c>
      <c r="AP232" s="9" t="n">
        <v>0.44</v>
      </c>
      <c r="AQ232" s="6" t="n">
        <v>-1.43</v>
      </c>
      <c r="AR232" s="6" t="n">
        <v>2.67</v>
      </c>
      <c r="AS232" s="6"/>
    </row>
    <row r="233" customFormat="false" ht="15" hidden="false" customHeight="true" outlineLevel="0" collapsed="false">
      <c r="A233" s="83" t="s">
        <v>424</v>
      </c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9"/>
      <c r="AC233" s="83"/>
      <c r="AD233" s="83"/>
      <c r="AE233" s="9"/>
      <c r="AF233" s="9"/>
      <c r="AG233" s="9"/>
      <c r="AH233" s="9" t="n">
        <v>1.02</v>
      </c>
      <c r="AI233" s="9" t="n">
        <v>0.03</v>
      </c>
      <c r="AJ233" s="9" t="n">
        <v>-1.55</v>
      </c>
      <c r="AK233" s="9" t="n">
        <v>0.76</v>
      </c>
      <c r="AL233" s="9"/>
      <c r="AM233" s="9" t="n">
        <v>1.46</v>
      </c>
      <c r="AN233" s="9"/>
      <c r="AO233" s="9"/>
      <c r="AP233" s="9" t="n">
        <v>-1.14</v>
      </c>
      <c r="AQ233" s="6" t="n">
        <v>2.11</v>
      </c>
      <c r="AR233" s="6" t="n">
        <v>0.14</v>
      </c>
      <c r="AS233" s="6" t="n">
        <v>-0.06</v>
      </c>
    </row>
    <row r="234" customFormat="false" ht="15" hidden="false" customHeight="true" outlineLevel="0" collapsed="false">
      <c r="A234" s="83" t="s">
        <v>425</v>
      </c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9"/>
      <c r="AC234" s="83"/>
      <c r="AD234" s="83"/>
      <c r="AE234" s="9"/>
      <c r="AF234" s="9"/>
      <c r="AG234" s="9"/>
      <c r="AH234" s="9" t="n">
        <v>0.04</v>
      </c>
      <c r="AI234" s="9" t="n">
        <v>-1.35</v>
      </c>
      <c r="AJ234" s="9" t="n">
        <v>0</v>
      </c>
      <c r="AK234" s="9"/>
      <c r="AL234" s="9"/>
      <c r="AM234" s="9" t="n">
        <v>0.07</v>
      </c>
      <c r="AN234" s="9"/>
      <c r="AO234" s="9"/>
      <c r="AP234" s="9" t="n">
        <v>0.29</v>
      </c>
      <c r="AQ234" s="6" t="n">
        <v>1.15</v>
      </c>
      <c r="AR234" s="6" t="n">
        <v>-2.5</v>
      </c>
      <c r="AS234" s="6" t="n">
        <v>-1.34</v>
      </c>
    </row>
    <row r="235" customFormat="false" ht="15" hidden="false" customHeight="true" outlineLevel="0" collapsed="false">
      <c r="A235" s="83" t="s">
        <v>427</v>
      </c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9" t="n">
        <v>-1.85</v>
      </c>
      <c r="AC235" s="83"/>
      <c r="AD235" s="83"/>
      <c r="AE235" s="9" t="n">
        <v>0.39</v>
      </c>
      <c r="AF235" s="9" t="n">
        <v>0.03</v>
      </c>
      <c r="AG235" s="9"/>
      <c r="AH235" s="9" t="n">
        <v>-1.27</v>
      </c>
      <c r="AI235" s="9" t="n">
        <v>1.19</v>
      </c>
      <c r="AJ235" s="9"/>
      <c r="AK235" s="9" t="n">
        <v>0.55</v>
      </c>
      <c r="AL235" s="9" t="n">
        <v>0.36</v>
      </c>
      <c r="AM235" s="9"/>
      <c r="AN235" s="9" t="n">
        <v>-0.11</v>
      </c>
      <c r="AO235" s="9" t="n">
        <v>-1.52</v>
      </c>
      <c r="AP235" s="9"/>
      <c r="AQ235" s="6" t="n">
        <v>-0.13</v>
      </c>
      <c r="AR235" s="6" t="n">
        <v>-0.11</v>
      </c>
      <c r="AS235" s="6" t="n">
        <v>-0.4</v>
      </c>
    </row>
    <row r="236" customFormat="false" ht="15" hidden="false" customHeight="true" outlineLevel="0" collapsed="false">
      <c r="A236" s="83" t="s">
        <v>428</v>
      </c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9"/>
      <c r="AC236" s="83"/>
      <c r="AD236" s="83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6"/>
      <c r="AR236" s="6"/>
      <c r="AS236" s="6"/>
    </row>
    <row r="237" customFormat="false" ht="15" hidden="false" customHeight="true" outlineLevel="0" collapsed="false">
      <c r="A237" s="83" t="s">
        <v>429</v>
      </c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9"/>
      <c r="AC237" s="83"/>
      <c r="AD237" s="83"/>
      <c r="AE237" s="9"/>
      <c r="AF237" s="9"/>
      <c r="AG237" s="9"/>
      <c r="AH237" s="9" t="n">
        <v>-2.53</v>
      </c>
      <c r="AI237" s="9" t="n">
        <v>0.69</v>
      </c>
      <c r="AJ237" s="9" t="n">
        <v>-0.36</v>
      </c>
      <c r="AK237" s="9"/>
      <c r="AL237" s="9"/>
      <c r="AM237" s="9" t="n">
        <v>-0.32</v>
      </c>
      <c r="AN237" s="9"/>
      <c r="AO237" s="9"/>
      <c r="AP237" s="9"/>
      <c r="AQ237" s="6" t="n">
        <v>2.08</v>
      </c>
      <c r="AR237" s="6" t="n">
        <v>1.35</v>
      </c>
      <c r="AS237" s="6"/>
    </row>
    <row r="238" customFormat="false" ht="15" hidden="false" customHeight="true" outlineLevel="0" collapsed="false">
      <c r="A238" s="83" t="s">
        <v>430</v>
      </c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9"/>
      <c r="AC238" s="83"/>
      <c r="AD238" s="83"/>
      <c r="AE238" s="9"/>
      <c r="AF238" s="9" t="n">
        <v>0.69</v>
      </c>
      <c r="AG238" s="9"/>
      <c r="AH238" s="9" t="n">
        <v>0.29</v>
      </c>
      <c r="AI238" s="9" t="n">
        <v>0.08</v>
      </c>
      <c r="AJ238" s="9" t="n">
        <v>1.09</v>
      </c>
      <c r="AK238" s="9" t="n">
        <v>0.45</v>
      </c>
      <c r="AL238" s="9"/>
      <c r="AM238" s="9" t="n">
        <v>-0.3</v>
      </c>
      <c r="AN238" s="9"/>
      <c r="AO238" s="9"/>
      <c r="AP238" s="9" t="n">
        <v>0.55</v>
      </c>
      <c r="AQ238" s="6" t="n">
        <v>2.05</v>
      </c>
      <c r="AR238" s="6" t="n">
        <v>0.57</v>
      </c>
      <c r="AS238" s="6"/>
    </row>
    <row r="239" customFormat="false" ht="15" hidden="false" customHeight="true" outlineLevel="0" collapsed="false">
      <c r="A239" s="83" t="s">
        <v>431</v>
      </c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9"/>
      <c r="AC239" s="83"/>
      <c r="AD239" s="83"/>
      <c r="AE239" s="9"/>
      <c r="AF239" s="9"/>
      <c r="AG239" s="9"/>
      <c r="AH239" s="9" t="n">
        <v>-1.61</v>
      </c>
      <c r="AI239" s="9"/>
      <c r="AJ239" s="9"/>
      <c r="AK239" s="9"/>
      <c r="AL239" s="9"/>
      <c r="AM239" s="9" t="n">
        <v>-0.32</v>
      </c>
      <c r="AN239" s="9"/>
      <c r="AO239" s="9"/>
      <c r="AP239" s="9"/>
      <c r="AQ239" s="6" t="n">
        <v>1.55</v>
      </c>
      <c r="AR239" s="6" t="n">
        <v>0.11</v>
      </c>
      <c r="AS239" s="6"/>
    </row>
    <row r="240" customFormat="false" ht="15" hidden="false" customHeight="true" outlineLevel="0" collapsed="false">
      <c r="A240" s="83" t="s">
        <v>433</v>
      </c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9"/>
      <c r="AC240" s="83"/>
      <c r="AD240" s="83"/>
      <c r="AE240" s="9"/>
      <c r="AF240" s="9"/>
      <c r="AG240" s="9"/>
      <c r="AH240" s="9" t="n">
        <v>-1.15</v>
      </c>
      <c r="AI240" s="9" t="n">
        <v>-1.7</v>
      </c>
      <c r="AJ240" s="9" t="n">
        <v>1.63</v>
      </c>
      <c r="AK240" s="9" t="n">
        <v>0.41</v>
      </c>
      <c r="AL240" s="9"/>
      <c r="AM240" s="9" t="n">
        <v>0.05</v>
      </c>
      <c r="AN240" s="9"/>
      <c r="AO240" s="9"/>
      <c r="AP240" s="9" t="n">
        <v>-2.19</v>
      </c>
      <c r="AQ240" s="6" t="n">
        <v>0.7</v>
      </c>
      <c r="AR240" s="6" t="n">
        <v>0.09</v>
      </c>
      <c r="AS240" s="6" t="n">
        <v>-1.11</v>
      </c>
    </row>
    <row r="241" customFormat="false" ht="15" hidden="false" customHeight="true" outlineLevel="0" collapsed="false">
      <c r="A241" s="83" t="s">
        <v>434</v>
      </c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9" t="n">
        <v>0.96</v>
      </c>
      <c r="AC241" s="83"/>
      <c r="AD241" s="83"/>
      <c r="AE241" s="9" t="n">
        <v>1.79</v>
      </c>
      <c r="AF241" s="9" t="n">
        <v>-0.49</v>
      </c>
      <c r="AG241" s="9"/>
      <c r="AH241" s="9" t="n">
        <v>0.99</v>
      </c>
      <c r="AI241" s="9" t="n">
        <v>-0.88</v>
      </c>
      <c r="AJ241" s="9" t="n">
        <v>-0.24</v>
      </c>
      <c r="AK241" s="9"/>
      <c r="AL241" s="9"/>
      <c r="AM241" s="9" t="n">
        <v>0.17</v>
      </c>
      <c r="AN241" s="9"/>
      <c r="AO241" s="9"/>
      <c r="AP241" s="9"/>
      <c r="AQ241" s="6" t="n">
        <v>0.07</v>
      </c>
      <c r="AR241" s="6" t="n">
        <v>-0.35</v>
      </c>
      <c r="AS241" s="6"/>
    </row>
    <row r="242" customFormat="false" ht="15" hidden="false" customHeight="true" outlineLevel="0" collapsed="false">
      <c r="A242" s="83" t="s">
        <v>435</v>
      </c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9"/>
      <c r="AC242" s="83"/>
      <c r="AD242" s="83"/>
      <c r="AE242" s="9"/>
      <c r="AF242" s="9"/>
      <c r="AG242" s="9"/>
      <c r="AH242" s="9" t="n">
        <v>0.76</v>
      </c>
      <c r="AI242" s="9" t="n">
        <v>1.87</v>
      </c>
      <c r="AJ242" s="9" t="n">
        <v>-0.14</v>
      </c>
      <c r="AK242" s="9"/>
      <c r="AL242" s="9"/>
      <c r="AM242" s="9" t="n">
        <v>-0.02</v>
      </c>
      <c r="AN242" s="9"/>
      <c r="AO242" s="9"/>
      <c r="AP242" s="9"/>
      <c r="AQ242" s="6"/>
      <c r="AR242" s="6"/>
      <c r="AS242" s="6"/>
    </row>
    <row r="243" customFormat="false" ht="15" hidden="false" customHeight="true" outlineLevel="0" collapsed="false">
      <c r="A243" s="83" t="s">
        <v>436</v>
      </c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9"/>
      <c r="AC243" s="83"/>
      <c r="AD243" s="83"/>
      <c r="AE243" s="9"/>
      <c r="AF243" s="9"/>
      <c r="AG243" s="9" t="n">
        <v>-0.81</v>
      </c>
      <c r="AH243" s="9"/>
      <c r="AI243" s="9"/>
      <c r="AJ243" s="9"/>
      <c r="AK243" s="9"/>
      <c r="AL243" s="9"/>
      <c r="AM243" s="9"/>
      <c r="AN243" s="9"/>
      <c r="AO243" s="9"/>
      <c r="AP243" s="9"/>
      <c r="AQ243" s="6"/>
      <c r="AR243" s="6"/>
      <c r="AS243" s="6"/>
    </row>
    <row r="244" customFormat="false" ht="15" hidden="false" customHeight="true" outlineLevel="0" collapsed="false">
      <c r="A244" s="83" t="s">
        <v>437</v>
      </c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9"/>
      <c r="AC244" s="83"/>
      <c r="AD244" s="83"/>
      <c r="AE244" s="9"/>
      <c r="AF244" s="9"/>
      <c r="AG244" s="9"/>
      <c r="AH244" s="9" t="n">
        <v>0.71</v>
      </c>
      <c r="AI244" s="9" t="n">
        <v>0.99</v>
      </c>
      <c r="AJ244" s="9" t="n">
        <v>1.66</v>
      </c>
      <c r="AK244" s="9" t="n">
        <v>1.17</v>
      </c>
      <c r="AL244" s="9"/>
      <c r="AM244" s="9" t="n">
        <v>1.92</v>
      </c>
      <c r="AN244" s="9"/>
      <c r="AO244" s="9"/>
      <c r="AP244" s="9" t="n">
        <v>1.48</v>
      </c>
      <c r="AQ244" s="6" t="n">
        <v>1.92</v>
      </c>
      <c r="AR244" s="6" t="n">
        <v>-3.05</v>
      </c>
      <c r="AS244" s="6" t="n">
        <v>0.98</v>
      </c>
    </row>
    <row r="245" customFormat="false" ht="15" hidden="false" customHeight="true" outlineLevel="0" collapsed="false">
      <c r="A245" s="83" t="s">
        <v>438</v>
      </c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9"/>
      <c r="AC245" s="83"/>
      <c r="AD245" s="83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6"/>
      <c r="AR245" s="6"/>
      <c r="AS245" s="6"/>
    </row>
    <row r="246" customFormat="false" ht="15" hidden="false" customHeight="true" outlineLevel="0" collapsed="false">
      <c r="A246" s="83" t="s">
        <v>439</v>
      </c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9"/>
      <c r="AC246" s="83"/>
      <c r="AD246" s="83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6"/>
      <c r="AR246" s="6"/>
      <c r="AS246" s="6"/>
    </row>
    <row r="247" customFormat="false" ht="15" hidden="false" customHeight="true" outlineLevel="0" collapsed="false">
      <c r="A247" s="83" t="s">
        <v>441</v>
      </c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9"/>
      <c r="AC247" s="83"/>
      <c r="AD247" s="83"/>
      <c r="AE247" s="9"/>
      <c r="AF247" s="9"/>
      <c r="AG247" s="9" t="n">
        <v>2.29</v>
      </c>
      <c r="AH247" s="9"/>
      <c r="AI247" s="9" t="n">
        <v>0.17</v>
      </c>
      <c r="AJ247" s="9" t="n">
        <v>-0.31</v>
      </c>
      <c r="AK247" s="9"/>
      <c r="AL247" s="9"/>
      <c r="AM247" s="9" t="n">
        <v>1.46</v>
      </c>
      <c r="AN247" s="9"/>
      <c r="AO247" s="9"/>
      <c r="AP247" s="9"/>
      <c r="AQ247" s="6"/>
      <c r="AR247" s="6"/>
      <c r="AS247" s="6"/>
    </row>
    <row r="248" customFormat="false" ht="15" hidden="false" customHeight="true" outlineLevel="0" collapsed="false">
      <c r="A248" s="83" t="s">
        <v>442</v>
      </c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9"/>
      <c r="AC248" s="83"/>
      <c r="AD248" s="83"/>
      <c r="AE248" s="9"/>
      <c r="AF248" s="9"/>
      <c r="AG248" s="9"/>
      <c r="AH248" s="9"/>
      <c r="AI248" s="9" t="n">
        <v>-0.45</v>
      </c>
      <c r="AJ248" s="9"/>
      <c r="AK248" s="9"/>
      <c r="AL248" s="9"/>
      <c r="AM248" s="9" t="n">
        <v>-1.34</v>
      </c>
      <c r="AN248" s="9"/>
      <c r="AO248" s="9"/>
      <c r="AP248" s="9"/>
      <c r="AQ248" s="6"/>
      <c r="AR248" s="6"/>
      <c r="AS248" s="6"/>
    </row>
    <row r="249" customFormat="false" ht="15" hidden="false" customHeight="true" outlineLevel="0" collapsed="false">
      <c r="A249" s="83" t="s">
        <v>443</v>
      </c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9" t="n">
        <v>-0.99</v>
      </c>
      <c r="AC249" s="83"/>
      <c r="AD249" s="83"/>
      <c r="AE249" s="9" t="n">
        <v>0.34</v>
      </c>
      <c r="AF249" s="9" t="n">
        <v>0.44</v>
      </c>
      <c r="AG249" s="9" t="n">
        <v>0.66</v>
      </c>
      <c r="AH249" s="9"/>
      <c r="AI249" s="9" t="n">
        <v>2.12</v>
      </c>
      <c r="AJ249" s="9" t="n">
        <v>0.11</v>
      </c>
      <c r="AK249" s="9" t="n">
        <v>-0.88</v>
      </c>
      <c r="AL249" s="9"/>
      <c r="AM249" s="9" t="n">
        <v>0.92</v>
      </c>
      <c r="AN249" s="9"/>
      <c r="AO249" s="9"/>
      <c r="AP249" s="9" t="n">
        <v>0.15</v>
      </c>
      <c r="AQ249" s="6" t="n">
        <v>1.14</v>
      </c>
      <c r="AR249" s="6" t="n">
        <v>0</v>
      </c>
      <c r="AS249" s="6" t="n">
        <v>-0.7</v>
      </c>
    </row>
    <row r="250" customFormat="false" ht="15" hidden="false" customHeight="true" outlineLevel="0" collapsed="false">
      <c r="A250" s="83" t="s">
        <v>445</v>
      </c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9"/>
      <c r="AC250" s="83"/>
      <c r="AD250" s="83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6"/>
      <c r="AR250" s="6"/>
      <c r="AS250" s="6"/>
    </row>
    <row r="251" customFormat="false" ht="15" hidden="false" customHeight="true" outlineLevel="0" collapsed="false">
      <c r="A251" s="83" t="s">
        <v>446</v>
      </c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9"/>
      <c r="AC251" s="83"/>
      <c r="AD251" s="83"/>
      <c r="AE251" s="9"/>
      <c r="AF251" s="9"/>
      <c r="AG251" s="9"/>
      <c r="AH251" s="9" t="n">
        <v>-0.64</v>
      </c>
      <c r="AI251" s="9" t="n">
        <v>-0.88</v>
      </c>
      <c r="AJ251" s="9" t="n">
        <v>-0.07</v>
      </c>
      <c r="AK251" s="9"/>
      <c r="AL251" s="9"/>
      <c r="AM251" s="9" t="n">
        <v>-0.85</v>
      </c>
      <c r="AN251" s="9"/>
      <c r="AO251" s="9"/>
      <c r="AP251" s="9"/>
      <c r="AQ251" s="6" t="n">
        <v>-1.3</v>
      </c>
      <c r="AR251" s="6" t="n">
        <v>-0.32</v>
      </c>
      <c r="AS251" s="6" t="n">
        <v>0.75</v>
      </c>
    </row>
    <row r="252" customFormat="false" ht="15" hidden="false" customHeight="true" outlineLevel="0" collapsed="false">
      <c r="A252" s="83" t="s">
        <v>447</v>
      </c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9"/>
      <c r="AC252" s="83"/>
      <c r="AD252" s="83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6"/>
      <c r="AR252" s="6"/>
      <c r="AS252" s="6"/>
    </row>
    <row r="253" customFormat="false" ht="15" hidden="false" customHeight="true" outlineLevel="0" collapsed="false">
      <c r="A253" s="83" t="s">
        <v>448</v>
      </c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9" t="n">
        <v>-1.07</v>
      </c>
      <c r="AC253" s="83"/>
      <c r="AD253" s="83"/>
      <c r="AE253" s="9" t="n">
        <v>0.24</v>
      </c>
      <c r="AF253" s="9" t="n">
        <v>-0.24</v>
      </c>
      <c r="AG253" s="9"/>
      <c r="AH253" s="9" t="n">
        <v>0.95</v>
      </c>
      <c r="AI253" s="9" t="n">
        <v>0.6</v>
      </c>
      <c r="AJ253" s="9"/>
      <c r="AK253" s="9" t="n">
        <v>1.5</v>
      </c>
      <c r="AL253" s="9"/>
      <c r="AM253" s="9" t="n">
        <v>0.35</v>
      </c>
      <c r="AN253" s="9"/>
      <c r="AO253" s="9"/>
      <c r="AP253" s="9" t="n">
        <v>-0.12</v>
      </c>
      <c r="AQ253" s="6" t="n">
        <v>1.03</v>
      </c>
      <c r="AR253" s="6" t="n">
        <v>0.05</v>
      </c>
      <c r="AS253" s="6" t="n">
        <v>0.47</v>
      </c>
    </row>
    <row r="254" customFormat="false" ht="15" hidden="false" customHeight="true" outlineLevel="0" collapsed="false">
      <c r="A254" s="83" t="s">
        <v>449</v>
      </c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9" t="n">
        <v>0.42</v>
      </c>
      <c r="AC254" s="83"/>
      <c r="AD254" s="83"/>
      <c r="AE254" s="9" t="n">
        <v>1.88</v>
      </c>
      <c r="AF254" s="9" t="n">
        <v>-0.81</v>
      </c>
      <c r="AG254" s="9" t="n">
        <v>0.65</v>
      </c>
      <c r="AH254" s="9"/>
      <c r="AI254" s="9"/>
      <c r="AJ254" s="9"/>
      <c r="AK254" s="9" t="n">
        <v>1.33</v>
      </c>
      <c r="AL254" s="9" t="n">
        <v>0.6</v>
      </c>
      <c r="AM254" s="9"/>
      <c r="AN254" s="9" t="n">
        <v>-0.11</v>
      </c>
      <c r="AO254" s="9" t="n">
        <v>-0.39</v>
      </c>
      <c r="AP254" s="9" t="n">
        <v>0.68</v>
      </c>
      <c r="AQ254" s="6" t="n">
        <v>-0.11</v>
      </c>
      <c r="AR254" s="6"/>
      <c r="AS254" s="6"/>
    </row>
    <row r="255" customFormat="false" ht="15" hidden="false" customHeight="true" outlineLevel="0" collapsed="false">
      <c r="A255" s="83" t="s">
        <v>450</v>
      </c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9"/>
      <c r="AC255" s="83"/>
      <c r="AD255" s="83"/>
      <c r="AE255" s="9"/>
      <c r="AF255" s="9"/>
      <c r="AG255" s="9"/>
      <c r="AH255" s="9" t="n">
        <v>-0.06</v>
      </c>
      <c r="AI255" s="9"/>
      <c r="AJ255" s="9"/>
      <c r="AK255" s="9"/>
      <c r="AL255" s="9"/>
      <c r="AM255" s="9" t="n">
        <v>0.29</v>
      </c>
      <c r="AN255" s="9"/>
      <c r="AO255" s="9"/>
      <c r="AP255" s="9"/>
      <c r="AQ255" s="6"/>
      <c r="AR255" s="6" t="n">
        <v>0.01</v>
      </c>
      <c r="AS255" s="6"/>
    </row>
    <row r="256" customFormat="false" ht="15" hidden="false" customHeight="true" outlineLevel="0" collapsed="false">
      <c r="A256" s="84" t="s">
        <v>451</v>
      </c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61"/>
      <c r="AC256" s="84"/>
      <c r="AD256" s="84"/>
      <c r="AE256" s="61"/>
      <c r="AF256" s="61"/>
      <c r="AG256" s="61"/>
      <c r="AH256" s="61" t="n">
        <v>1.03</v>
      </c>
      <c r="AI256" s="61" t="n">
        <v>-0.9</v>
      </c>
      <c r="AJ256" s="61" t="n">
        <v>0.28</v>
      </c>
      <c r="AK256" s="61" t="n">
        <v>-4.42</v>
      </c>
      <c r="AL256" s="61"/>
      <c r="AM256" s="61" t="n">
        <v>-1.22</v>
      </c>
      <c r="AN256" s="61" t="n">
        <v>-1.49</v>
      </c>
      <c r="AO256" s="61" t="n">
        <v>-0.37</v>
      </c>
      <c r="AP256" s="61"/>
      <c r="AQ256" s="6" t="n">
        <v>0</v>
      </c>
      <c r="AR256" s="6" t="n">
        <v>-0.53</v>
      </c>
      <c r="AS256" s="6"/>
    </row>
    <row r="257" customFormat="false" ht="15" hidden="false" customHeight="true" outlineLevel="0" collapsed="false">
      <c r="A257" s="83" t="s">
        <v>452</v>
      </c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9"/>
      <c r="AC257" s="83"/>
      <c r="AD257" s="83"/>
      <c r="AE257" s="9"/>
      <c r="AF257" s="9"/>
      <c r="AG257" s="9"/>
      <c r="AH257" s="9" t="n">
        <v>-1.69</v>
      </c>
      <c r="AI257" s="9" t="n">
        <v>0.86</v>
      </c>
      <c r="AJ257" s="9"/>
      <c r="AK257" s="9"/>
      <c r="AL257" s="9"/>
      <c r="AM257" s="9"/>
      <c r="AN257" s="9"/>
      <c r="AO257" s="9"/>
      <c r="AP257" s="9"/>
      <c r="AQ257" s="85" t="n">
        <v>-2.29</v>
      </c>
      <c r="AR257" s="85" t="n">
        <v>1.12</v>
      </c>
      <c r="AS257" s="8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25" activePane="bottomLeft" state="frozen"/>
      <selection pane="topLeft" activeCell="A1" activeCellId="0" sqref="A1"/>
      <selection pane="bottomLeft" activeCell="L20" activeCellId="0" sqref="L20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2" min="2" style="18" width="9.86"/>
    <col collapsed="false" customWidth="true" hidden="false" outlineLevel="0" max="3" min="3" style="51" width="9"/>
    <col collapsed="false" customWidth="true" hidden="false" outlineLevel="0" max="4" min="4" style="1" width="10.14"/>
    <col collapsed="false" customWidth="true" hidden="false" outlineLevel="0" max="5" min="5" style="1" width="9.71"/>
    <col collapsed="false" customWidth="true" hidden="false" outlineLevel="0" max="6" min="6" style="2" width="9.14"/>
  </cols>
  <sheetData>
    <row r="1" customFormat="false" ht="15" hidden="false" customHeight="true" outlineLevel="0" collapsed="false">
      <c r="A1" s="53" t="s">
        <v>506</v>
      </c>
      <c r="B1" s="53" t="s">
        <v>551</v>
      </c>
      <c r="C1" s="54" t="s">
        <v>552</v>
      </c>
      <c r="D1" s="54" t="s">
        <v>553</v>
      </c>
      <c r="E1" s="54" t="s">
        <v>554</v>
      </c>
      <c r="F1" s="54" t="s">
        <v>555</v>
      </c>
    </row>
    <row r="2" customFormat="false" ht="15" hidden="false" customHeight="true" outlineLevel="0" collapsed="false">
      <c r="A2" s="83" t="s">
        <v>556</v>
      </c>
      <c r="B2" s="9" t="e">
        <f aca="false">AVERAGE(Greens!H3,Greens!I3,Greens!J3,Greens!L3,Greens!P3,Greens!R3,Greens!S3,Greens!T3,Greens!U3,Greens!V3,Greens!W3,Greens!X3,Greens!Y3,Greens!AB3,Greens!AC3,Greens!AD3,Greens!AG3)</f>
        <v>#DIV/0!</v>
      </c>
      <c r="C2" s="58" t="n">
        <f aca="false">AVERAGE(Greens!B3,Greens!C3,Greens!D3,Greens!G3,Greens!K3,Greens!M3,Greens!N3,Greens!AA3,Greens!AE3,Greens!AF3,Greens!AH3,Greens!AI3,Greens!AJ3,Greens!AK3,Greens!AL3,Greens!AM3,Greens!AR3,Greens!AS3)</f>
        <v>0.0128571428571428</v>
      </c>
      <c r="D2" s="58" t="n">
        <f aca="false">AVERAGE(Greens!AN3,Greens!AO3,Greens!AP3,Greens!AQ3)</f>
        <v>0.35</v>
      </c>
      <c r="E2" s="6" t="e">
        <f aca="false">AVERAGE(Greens!E3,Greens!F3,Greens!Q3,greens!#ref!)</f>
        <v>#NAME?</v>
      </c>
      <c r="F2" s="6" t="n">
        <f aca="false">Greens!O3</f>
        <v>0</v>
      </c>
    </row>
    <row r="3" customFormat="false" ht="15" hidden="false" customHeight="true" outlineLevel="0" collapsed="false">
      <c r="A3" s="83" t="s">
        <v>557</v>
      </c>
      <c r="B3" s="9" t="e">
        <f aca="false">AVERAGE(Greens!H7,Greens!I7,Greens!J7,Greens!L7,Greens!P7,Greens!R7,Greens!S7,Greens!T7,Greens!U7,Greens!V7,Greens!W7,Greens!X7,Greens!Y7,Greens!AB7,Greens!AC7,Greens!AD7,Greens!AG7)</f>
        <v>#DIV/0!</v>
      </c>
      <c r="C3" s="58" t="n">
        <f aca="false">AVERAGE(Greens!B7,Greens!C7,Greens!D7,Greens!G7,Greens!K7,Greens!M7,Greens!N7,Greens!AA7,Greens!AE7,Greens!AF7,Greens!AH7,Greens!AI7,Greens!AJ7,Greens!AK7,Greens!AL7,Greens!AM7,Greens!AR7,Greens!AS7)</f>
        <v>-0.39</v>
      </c>
      <c r="D3" s="9" t="e">
        <f aca="false">AVERAGE(Greens!AN7,Greens!AO7,Greens!AP7,Greens!AQ7)</f>
        <v>#DIV/0!</v>
      </c>
      <c r="E3" s="6" t="e">
        <f aca="false">AVERAGE(Greens!E7,Greens!F7,Greens!Q7,greens!#ref!)</f>
        <v>#NAME?</v>
      </c>
      <c r="F3" s="6" t="n">
        <f aca="false">Greens!O7</f>
        <v>0</v>
      </c>
    </row>
    <row r="4" customFormat="false" ht="15" hidden="false" customHeight="true" outlineLevel="0" collapsed="false">
      <c r="A4" s="83" t="s">
        <v>162</v>
      </c>
      <c r="B4" s="9" t="e">
        <f aca="false">AVERAGE(Greens!H15,Greens!I15,Greens!J15,Greens!L15,Greens!P15,Greens!R15,Greens!S15,Greens!T15,Greens!U15,Greens!V15,Greens!W15,Greens!X15,Greens!Y15,Greens!AB15,Greens!AC15,Greens!AD15,Greens!AG15)</f>
        <v>#DIV/0!</v>
      </c>
      <c r="C4" s="9" t="n">
        <f aca="false">AVERAGE(Greens!B15,Greens!C15,Greens!D15,Greens!G15,Greens!K15,Greens!M15,Greens!N15,Greens!AA15,Greens!AE15,Greens!AF15,Greens!AH15,Greens!AI15,Greens!AJ15,Greens!AK15,Greens!AL15,Greens!AM15,Greens!AR15,Greens!AS15)</f>
        <v>0.39</v>
      </c>
      <c r="D4" s="58" t="e">
        <f aca="false">AVERAGE(Greens!AN15,Greens!AO15,Greens!AP15,Greens!AQ15)</f>
        <v>#DIV/0!</v>
      </c>
      <c r="E4" s="6" t="e">
        <f aca="false">AVERAGE(Greens!E15,Greens!F15,Greens!Q15,greens!#ref!)</f>
        <v>#NAME?</v>
      </c>
      <c r="F4" s="6" t="n">
        <f aca="false">Greens!O15</f>
        <v>0</v>
      </c>
    </row>
    <row r="5" customFormat="false" ht="15" hidden="false" customHeight="true" outlineLevel="0" collapsed="false">
      <c r="A5" s="83" t="s">
        <v>558</v>
      </c>
      <c r="B5" s="9" t="e">
        <f aca="false">AVERAGE(Greens!H12,Greens!I12,Greens!J12,Greens!L12,Greens!P12,Greens!R12,Greens!S12,Greens!T12,Greens!U12,Greens!V12,Greens!W12,Greens!X12,Greens!Y12,Greens!AB12,Greens!AC12,Greens!AD12,Greens!AG12)</f>
        <v>#DIV/0!</v>
      </c>
      <c r="C5" s="58" t="n">
        <f aca="false">AVERAGE(Greens!B12,Greens!C12,Greens!D12,Greens!G12,Greens!K12,Greens!M12,Greens!N12,Greens!AA12,Greens!AE12,Greens!AF12,Greens!AH12,Greens!AI12,Greens!AJ12,Greens!AK12,Greens!AL12,Greens!AM12,Greens!AR12,Greens!AS12)</f>
        <v>0.373333333333333</v>
      </c>
      <c r="D5" s="9" t="e">
        <f aca="false">AVERAGE(Greens!AN12,Greens!AO12,Greens!AP12,Greens!AQ12)</f>
        <v>#DIV/0!</v>
      </c>
      <c r="E5" s="6" t="e">
        <f aca="false">AVERAGE(Greens!E12,Greens!F12,Greens!Q12,greens!#ref!)</f>
        <v>#NAME?</v>
      </c>
      <c r="F5" s="6" t="n">
        <f aca="false">Greens!O12</f>
        <v>0</v>
      </c>
    </row>
    <row r="6" customFormat="false" ht="15" hidden="false" customHeight="true" outlineLevel="0" collapsed="false">
      <c r="A6" s="83" t="s">
        <v>559</v>
      </c>
      <c r="B6" s="9" t="e">
        <f aca="false">AVERAGE(Greens!H14,Greens!I14,Greens!J14,Greens!L14,Greens!P14,Greens!R14,Greens!S14,Greens!T14,Greens!U14,Greens!V14,Greens!W14,Greens!X14,Greens!Y14,Greens!AB14,Greens!AC14,Greens!AD14,Greens!AG14)</f>
        <v>#DIV/0!</v>
      </c>
      <c r="C6" s="9" t="e">
        <f aca="false">AVERAGE(Greens!B14,Greens!C14,Greens!D14,Greens!G14,Greens!K14,Greens!M14,Greens!N14,Greens!AA14,Greens!AE14,Greens!AF14,Greens!AH14,Greens!AI14,Greens!AJ14,Greens!AK14,Greens!AL14,Greens!AM14,Greens!AR14,Greens!AS14)</f>
        <v>#DIV/0!</v>
      </c>
      <c r="D6" s="58" t="n">
        <f aca="false">AVERAGE(Greens!AN14,Greens!AO14,Greens!AP14,Greens!AQ14)</f>
        <v>-1</v>
      </c>
      <c r="E6" s="6" t="e">
        <f aca="false">AVERAGE(Greens!E14,Greens!F14,Greens!Q14,greens!#ref!)</f>
        <v>#NAME?</v>
      </c>
      <c r="F6" s="6" t="n">
        <f aca="false">Greens!O14</f>
        <v>0</v>
      </c>
    </row>
    <row r="7" customFormat="false" ht="15" hidden="false" customHeight="true" outlineLevel="0" collapsed="false">
      <c r="A7" s="83" t="s">
        <v>560</v>
      </c>
      <c r="B7" s="9" t="e">
        <f aca="false">AVERAGE(Greens!H18,Greens!I18,Greens!J18,Greens!L18,Greens!P18,Greens!R18,Greens!S18,Greens!T18,Greens!U18,Greens!V18,Greens!W18,Greens!X18,Greens!Y18,Greens!AB18,Greens!AC18,Greens!AD18,Greens!AG18)</f>
        <v>#DIV/0!</v>
      </c>
      <c r="C7" s="58" t="n">
        <f aca="false">AVERAGE(Greens!B18,Greens!C18,Greens!D18,Greens!G18,Greens!K18,Greens!M18,Greens!N18,Greens!AA18,Greens!AE18,Greens!AF18,Greens!AH18,Greens!AI18,Greens!AJ18,Greens!AK18,Greens!AL18,Greens!AM18,Greens!AR18,Greens!AS18)</f>
        <v>-0.461666666666667</v>
      </c>
      <c r="D7" s="58" t="n">
        <f aca="false">AVERAGE(Greens!AN18,Greens!AO18,Greens!AP18,Greens!AQ18)</f>
        <v>-1.265</v>
      </c>
      <c r="E7" s="6" t="e">
        <f aca="false">AVERAGE(Greens!E18,Greens!F18,Greens!Q18,greens!#ref!)</f>
        <v>#NAME?</v>
      </c>
      <c r="F7" s="6" t="n">
        <f aca="false">Greens!O18</f>
        <v>0</v>
      </c>
    </row>
    <row r="8" customFormat="false" ht="15" hidden="false" customHeight="true" outlineLevel="0" collapsed="false">
      <c r="A8" s="83" t="s">
        <v>561</v>
      </c>
      <c r="B8" s="9" t="e">
        <f aca="false">AVERAGE(Greens!H20,Greens!I20,Greens!J20,Greens!L20,Greens!P20,Greens!R20,Greens!S20,Greens!T20,Greens!U20,Greens!V20,Greens!W20,Greens!X20,Greens!Y20,Greens!AB20,Greens!AC20,Greens!AD20,Greens!AG20)</f>
        <v>#DIV/0!</v>
      </c>
      <c r="C8" s="58" t="n">
        <f aca="false">AVERAGE(Greens!B20,Greens!C20,Greens!D20,Greens!G20,Greens!K20,Greens!M20,Greens!N20,Greens!AA20,Greens!AE20,Greens!AF20,Greens!AH20,Greens!AI20,Greens!AJ20,Greens!AK20,Greens!AL20,Greens!AM20,Greens!AR20,Greens!AS20)</f>
        <v>0.255</v>
      </c>
      <c r="D8" s="58" t="n">
        <f aca="false">AVERAGE(Greens!AN20,Greens!AO20,Greens!AP20,Greens!AQ20)</f>
        <v>-2.49</v>
      </c>
      <c r="E8" s="6" t="e">
        <f aca="false">AVERAGE(Greens!E20,Greens!F20,Greens!Q20,greens!#ref!)</f>
        <v>#NAME?</v>
      </c>
      <c r="F8" s="6" t="n">
        <f aca="false">Greens!O20</f>
        <v>0</v>
      </c>
    </row>
    <row r="9" customFormat="false" ht="15" hidden="false" customHeight="true" outlineLevel="0" collapsed="false">
      <c r="A9" s="83" t="s">
        <v>562</v>
      </c>
      <c r="B9" s="9" t="e">
        <f aca="false">AVERAGE(Greens!H23,Greens!I23,Greens!J23,Greens!L23,Greens!P23,Greens!R23,Greens!S23,Greens!T23,Greens!U23,Greens!V23,Greens!W23,Greens!X23,Greens!Y23,Greens!AB23,Greens!AC23,Greens!AD23,Greens!AG23)</f>
        <v>#DIV/0!</v>
      </c>
      <c r="C9" s="9" t="e">
        <f aca="false">AVERAGE(Greens!B23,Greens!C23,Greens!D23,Greens!G23,Greens!K23,Greens!M23,Greens!N23,Greens!AA23,Greens!AE23,Greens!AF23,Greens!AH23,Greens!AI23,Greens!AJ23,Greens!AK23,Greens!AL23,Greens!AM23,Greens!AR23,Greens!AS23)</f>
        <v>#DIV/0!</v>
      </c>
      <c r="D9" s="9" t="e">
        <f aca="false">AVERAGE(Greens!AN23,Greens!AO23,Greens!AP23,Greens!AQ23)</f>
        <v>#DIV/0!</v>
      </c>
      <c r="E9" s="6" t="e">
        <f aca="false">AVERAGE(Greens!E23,Greens!F23,Greens!Q23,greens!#ref!)</f>
        <v>#NAME?</v>
      </c>
      <c r="F9" s="6" t="n">
        <f aca="false">Greens!O23</f>
        <v>0</v>
      </c>
    </row>
    <row r="10" customFormat="false" ht="15" hidden="false" customHeight="true" outlineLevel="0" collapsed="false">
      <c r="A10" s="83" t="s">
        <v>563</v>
      </c>
      <c r="B10" s="9" t="e">
        <f aca="false">AVERAGE(Greens!H24,Greens!I24,Greens!J24,Greens!L24,Greens!P24,Greens!R24,Greens!S24,Greens!T24,Greens!U24,Greens!V24,Greens!W24,Greens!X24,Greens!Y24,Greens!AB24,Greens!AC24,Greens!AD24,Greens!AG24)</f>
        <v>#DIV/0!</v>
      </c>
      <c r="C10" s="9" t="e">
        <f aca="false">AVERAGE(Greens!B24,Greens!C24,Greens!D24,Greens!G24,Greens!K24,Greens!M24,Greens!N24,Greens!AA24,Greens!AE24,Greens!AF24,Greens!AH24,Greens!AI24,Greens!AJ24,Greens!AK24,Greens!AL24,Greens!AM24,Greens!AR24,Greens!AS24)</f>
        <v>#DIV/0!</v>
      </c>
      <c r="D10" s="9" t="e">
        <f aca="false">AVERAGE(Greens!AN24,Greens!AO24,Greens!AP24,Greens!AQ24)</f>
        <v>#DIV/0!</v>
      </c>
      <c r="E10" s="6" t="e">
        <f aca="false">AVERAGE(Greens!E24,Greens!F24,Greens!Q24,greens!#ref!)</f>
        <v>#NAME?</v>
      </c>
      <c r="F10" s="6" t="n">
        <f aca="false">Greens!O24</f>
        <v>0</v>
      </c>
    </row>
    <row r="11" customFormat="false" ht="15" hidden="false" customHeight="true" outlineLevel="0" collapsed="false">
      <c r="A11" s="83" t="s">
        <v>564</v>
      </c>
      <c r="B11" s="9" t="e">
        <f aca="false">AVERAGE(Greens!H25,Greens!I25,Greens!J25,Greens!L25,Greens!P25,Greens!R25,Greens!S25,Greens!T25,Greens!U25,Greens!V25,Greens!W25,Greens!X25,Greens!Y25,Greens!AB25,Greens!AC25,Greens!AD25,Greens!AG25)</f>
        <v>#DIV/0!</v>
      </c>
      <c r="C11" s="58" t="n">
        <f aca="false">AVERAGE(Greens!B25,Greens!C25,Greens!D25,Greens!G25,Greens!K25,Greens!M25,Greens!N25,Greens!AA25,Greens!AE25,Greens!AF25,Greens!AH25,Greens!AI25,Greens!AJ25,Greens!AK25,Greens!AL25,Greens!AM25,Greens!AR25,Greens!AS25)</f>
        <v>-0.413333333333333</v>
      </c>
      <c r="D11" s="58" t="n">
        <f aca="false">AVERAGE(Greens!AN25,Greens!AO25,Greens!AP25,Greens!AQ25)</f>
        <v>-1.485</v>
      </c>
      <c r="E11" s="6" t="e">
        <f aca="false">AVERAGE(Greens!E25,Greens!F25,Greens!Q25,greens!#ref!)</f>
        <v>#NAME?</v>
      </c>
      <c r="F11" s="6" t="n">
        <f aca="false">Greens!O25</f>
        <v>0</v>
      </c>
    </row>
    <row r="12" customFormat="false" ht="15" hidden="false" customHeight="true" outlineLevel="0" collapsed="false">
      <c r="A12" s="83" t="s">
        <v>565</v>
      </c>
      <c r="B12" s="9" t="e">
        <f aca="false">AVERAGE(Greens!H26,Greens!I26,Greens!J26,Greens!L26,Greens!P26,Greens!R26,Greens!S26,Greens!T26,Greens!U26,Greens!V26,Greens!W26,Greens!X26,Greens!Y26,Greens!AB26,Greens!AC26,Greens!AD26,Greens!AG26)</f>
        <v>#DIV/0!</v>
      </c>
      <c r="C12" s="58" t="n">
        <f aca="false">AVERAGE(Greens!B26,Greens!C26,Greens!D26,Greens!G26,Greens!K26,Greens!M26,Greens!N26,Greens!AA26,Greens!AE26,Greens!AF26,Greens!AH26,Greens!AI26,Greens!AJ26,Greens!AK26,Greens!AL26,Greens!AM26,Greens!AR26,Greens!AS26)</f>
        <v>-1.138</v>
      </c>
      <c r="D12" s="58" t="n">
        <f aca="false">AVERAGE(Greens!AN26,Greens!AO26,Greens!AP26,Greens!AQ26)</f>
        <v>-2.35</v>
      </c>
      <c r="E12" s="6" t="e">
        <f aca="false">AVERAGE(Greens!E26,Greens!F26,Greens!Q26,greens!#ref!)</f>
        <v>#NAME?</v>
      </c>
      <c r="F12" s="6" t="n">
        <f aca="false">Greens!O26</f>
        <v>0</v>
      </c>
    </row>
    <row r="13" customFormat="false" ht="15" hidden="false" customHeight="true" outlineLevel="0" collapsed="false">
      <c r="A13" s="83" t="s">
        <v>566</v>
      </c>
      <c r="B13" s="9" t="e">
        <f aca="false">AVERAGE(Greens!H28,Greens!I28,Greens!J28,Greens!L28,Greens!P28,Greens!R28,Greens!S28,Greens!T28,Greens!U28,Greens!V28,Greens!W28,Greens!X28,Greens!Y28,Greens!AB28,Greens!AC28,Greens!AD28,Greens!AG28)</f>
        <v>#DIV/0!</v>
      </c>
      <c r="C13" s="58" t="n">
        <f aca="false">AVERAGE(Greens!B28,Greens!C28,Greens!D28,Greens!G28,Greens!K28,Greens!M28,Greens!N28,Greens!AA28,Greens!AE28,Greens!AF28,Greens!AH28,Greens!AI28,Greens!AJ28,Greens!AK28,Greens!AL28,Greens!AM28,Greens!AR28,Greens!AS28)</f>
        <v>0.372857142857143</v>
      </c>
      <c r="D13" s="58" t="n">
        <f aca="false">AVERAGE(Greens!AN28,Greens!AO28,Greens!AP28,Greens!AQ28)</f>
        <v>-0.585</v>
      </c>
      <c r="E13" s="6" t="e">
        <f aca="false">AVERAGE(Greens!E28,Greens!F28,Greens!Q28,greens!#ref!)</f>
        <v>#NAME?</v>
      </c>
      <c r="F13" s="6" t="n">
        <f aca="false">Greens!O28</f>
        <v>0</v>
      </c>
    </row>
    <row r="14" customFormat="false" ht="15" hidden="false" customHeight="true" outlineLevel="0" collapsed="false">
      <c r="A14" s="83" t="s">
        <v>567</v>
      </c>
      <c r="B14" s="9" t="e">
        <f aca="false">AVERAGE(Greens!H29,Greens!I29,Greens!J29,Greens!L29,Greens!P29,Greens!R29,Greens!S29,Greens!T29,Greens!U29,Greens!V29,Greens!W29,Greens!X29,Greens!Y29,Greens!AB29,Greens!AC29,Greens!AD29,Greens!AG29)</f>
        <v>#DIV/0!</v>
      </c>
      <c r="C14" s="9" t="e">
        <f aca="false">AVERAGE(Greens!B29,Greens!C29,Greens!D29,Greens!G29,Greens!K29,Greens!M29,Greens!N29,Greens!AA29,Greens!AE29,Greens!AF29,Greens!AH29,Greens!AI29,Greens!AJ29,Greens!AK29,Greens!AL29,Greens!AM29,Greens!AR29,Greens!AS29)</f>
        <v>#DIV/0!</v>
      </c>
      <c r="D14" s="9" t="e">
        <f aca="false">AVERAGE(Greens!AN29,Greens!AO29,Greens!AP29,Greens!AQ29)</f>
        <v>#DIV/0!</v>
      </c>
      <c r="E14" s="6" t="e">
        <f aca="false">AVERAGE(Greens!E29,Greens!F29,Greens!Q29,greens!#ref!)</f>
        <v>#NAME?</v>
      </c>
      <c r="F14" s="6" t="n">
        <f aca="false">Greens!O29</f>
        <v>0</v>
      </c>
    </row>
    <row r="15" customFormat="false" ht="15" hidden="false" customHeight="true" outlineLevel="0" collapsed="false">
      <c r="A15" s="83" t="s">
        <v>568</v>
      </c>
      <c r="B15" s="9" t="e">
        <f aca="false">AVERAGE(Greens!H32,Greens!I32,Greens!J32,Greens!L32,Greens!P32,Greens!R32,Greens!S32,Greens!T32,Greens!U32,Greens!V32,Greens!W32,Greens!X32,Greens!Y32,Greens!AB32,Greens!AC32,Greens!AD32,Greens!AG32)</f>
        <v>#DIV/0!</v>
      </c>
      <c r="C15" s="9" t="e">
        <f aca="false">AVERAGE(Greens!B32,Greens!C32,Greens!D32,Greens!G32,Greens!K32,Greens!M32,Greens!N32,Greens!AA32,Greens!AE32,Greens!AF32,Greens!AH32,Greens!AI32,Greens!AJ32,Greens!AK32,Greens!AL32,Greens!AM32,Greens!AR32,Greens!AS32)</f>
        <v>#DIV/0!</v>
      </c>
      <c r="D15" s="9" t="e">
        <f aca="false">AVERAGE(Greens!AN32,Greens!AO32,Greens!AP32,Greens!AQ32)</f>
        <v>#DIV/0!</v>
      </c>
      <c r="E15" s="6" t="e">
        <f aca="false">AVERAGE(Greens!E32,Greens!F32,Greens!Q32,greens!#ref!)</f>
        <v>#NAME?</v>
      </c>
      <c r="F15" s="6" t="n">
        <f aca="false">Greens!O32</f>
        <v>0</v>
      </c>
    </row>
    <row r="16" customFormat="false" ht="15" hidden="false" customHeight="true" outlineLevel="0" collapsed="false">
      <c r="A16" s="83" t="s">
        <v>569</v>
      </c>
      <c r="B16" s="9" t="e">
        <f aca="false">AVERAGE(Greens!H33,Greens!I33,Greens!J33,Greens!L33,Greens!P33,Greens!R33,Greens!S33,Greens!T33,Greens!U33,Greens!V33,Greens!W33,Greens!X33,Greens!Y33,Greens!AB33,Greens!AC33,Greens!AD33,Greens!AG33)</f>
        <v>#DIV/0!</v>
      </c>
      <c r="C16" s="9" t="e">
        <f aca="false">AVERAGE(Greens!B33,Greens!C33,Greens!D33,Greens!G33,Greens!K33,Greens!M33,Greens!N33,Greens!AA33,Greens!AE33,Greens!AF33,Greens!AH33,Greens!AI33,Greens!AJ33,Greens!AK33,Greens!AL33,Greens!AM33,Greens!AR33,Greens!AS33)</f>
        <v>#DIV/0!</v>
      </c>
      <c r="D16" s="9" t="e">
        <f aca="false">AVERAGE(Greens!AN33,Greens!AO33,Greens!AP33,Greens!AQ33)</f>
        <v>#DIV/0!</v>
      </c>
      <c r="E16" s="6" t="e">
        <f aca="false">AVERAGE(Greens!E33,Greens!F33,Greens!Q33,greens!#ref!)</f>
        <v>#NAME?</v>
      </c>
      <c r="F16" s="6" t="n">
        <f aca="false">Greens!O33</f>
        <v>0</v>
      </c>
    </row>
    <row r="17" customFormat="false" ht="15" hidden="false" customHeight="true" outlineLevel="0" collapsed="false">
      <c r="A17" s="83" t="s">
        <v>570</v>
      </c>
      <c r="B17" s="9" t="e">
        <f aca="false">AVERAGE(Greens!H34,Greens!I34,Greens!J34,Greens!L34,Greens!P34,Greens!R34,Greens!S34,Greens!T34,Greens!U34,Greens!V34,Greens!W34,Greens!X34,Greens!Y34,Greens!AB34,Greens!AC34,Greens!AD34,Greens!AG34)</f>
        <v>#DIV/0!</v>
      </c>
      <c r="C17" s="58" t="n">
        <f aca="false">AVERAGE(Greens!B34,Greens!C34,Greens!D34,Greens!G34,Greens!K34,Greens!M34,Greens!N34,Greens!AA34,Greens!AE34,Greens!AF34,Greens!AH34,Greens!AI34,Greens!AJ34,Greens!AK34,Greens!AL34,Greens!AM34,Greens!AR34,Greens!AS34)</f>
        <v>-0.668333333333333</v>
      </c>
      <c r="D17" s="58" t="n">
        <f aca="false">AVERAGE(Greens!AN34,Greens!AO34,Greens!AP34,Greens!AQ34)</f>
        <v>-0.1</v>
      </c>
      <c r="E17" s="6" t="e">
        <f aca="false">AVERAGE(Greens!E34,Greens!F34,Greens!Q34,greens!#ref!)</f>
        <v>#NAME?</v>
      </c>
      <c r="F17" s="6" t="n">
        <f aca="false">Greens!O34</f>
        <v>0</v>
      </c>
    </row>
    <row r="18" customFormat="false" ht="15" hidden="false" customHeight="true" outlineLevel="0" collapsed="false">
      <c r="A18" s="83" t="s">
        <v>571</v>
      </c>
      <c r="B18" s="9" t="e">
        <f aca="false">AVERAGE(Greens!H35,Greens!I35,Greens!J35,Greens!L35,Greens!P35,Greens!R35,Greens!S35,Greens!T35,Greens!U35,Greens!V35,Greens!W35,Greens!X35,Greens!Y35,Greens!AB35,Greens!AC35,Greens!AD35,Greens!AG35)</f>
        <v>#DIV/0!</v>
      </c>
      <c r="C18" s="58" t="n">
        <f aca="false">AVERAGE(Greens!B35,Greens!C35,Greens!D35,Greens!G35,Greens!K35,Greens!M35,Greens!N35,Greens!AA35,Greens!AE35,Greens!AF35,Greens!AH35,Greens!AI35,Greens!AJ35,Greens!AK35,Greens!AL35,Greens!AM35,Greens!AR35,Greens!AS35)</f>
        <v>-0.71</v>
      </c>
      <c r="D18" s="58" t="n">
        <f aca="false">AVERAGE(Greens!AN35,Greens!AO35,Greens!AP35,Greens!AQ35)</f>
        <v>-0.565</v>
      </c>
      <c r="E18" s="6" t="e">
        <f aca="false">AVERAGE(Greens!E35,Greens!F35,Greens!Q35,greens!#ref!)</f>
        <v>#NAME?</v>
      </c>
      <c r="F18" s="6" t="n">
        <f aca="false">Greens!O35</f>
        <v>0</v>
      </c>
    </row>
    <row r="19" customFormat="false" ht="15" hidden="false" customHeight="true" outlineLevel="0" collapsed="false">
      <c r="A19" s="83" t="s">
        <v>572</v>
      </c>
      <c r="B19" s="9" t="e">
        <f aca="false">AVERAGE(Greens!H38,Greens!I38,Greens!J38,Greens!L38,Greens!P38,Greens!R38,Greens!S38,Greens!T38,Greens!U38,Greens!V38,Greens!W38,Greens!X38,Greens!Y38,Greens!AB38,Greens!AC38,Greens!AD38,Greens!AG38)</f>
        <v>#DIV/0!</v>
      </c>
      <c r="C19" s="9" t="e">
        <f aca="false">AVERAGE(Greens!B38,Greens!C38,Greens!D38,Greens!G38,Greens!K38,Greens!M38,Greens!N38,Greens!AA38,Greens!AE38,Greens!AF38,Greens!AH38,Greens!AI38,Greens!AJ38,Greens!AK38,Greens!AL38,Greens!AM38,Greens!AR38,Greens!AS38)</f>
        <v>#DIV/0!</v>
      </c>
      <c r="D19" s="9" t="e">
        <f aca="false">AVERAGE(Greens!AN38,Greens!AO38,Greens!AP38,Greens!AQ38)</f>
        <v>#DIV/0!</v>
      </c>
      <c r="E19" s="6" t="e">
        <f aca="false">AVERAGE(Greens!E38,Greens!F38,Greens!Q38,greens!#ref!)</f>
        <v>#NAME?</v>
      </c>
      <c r="F19" s="6" t="n">
        <f aca="false">Greens!O38</f>
        <v>0</v>
      </c>
    </row>
    <row r="20" customFormat="false" ht="15" hidden="false" customHeight="true" outlineLevel="0" collapsed="false">
      <c r="A20" s="83" t="s">
        <v>573</v>
      </c>
      <c r="B20" s="9" t="e">
        <f aca="false">AVERAGE(Greens!H40,Greens!I40,Greens!J40,Greens!L40,Greens!P40,Greens!R40,Greens!S40,Greens!T40,Greens!U40,Greens!V40,Greens!W40,Greens!X40,Greens!Y40,Greens!AB40,Greens!AC40,Greens!AD40,Greens!AG40)</f>
        <v>#DIV/0!</v>
      </c>
      <c r="C20" s="9" t="e">
        <f aca="false">AVERAGE(Greens!B40,Greens!C40,Greens!D40,Greens!G40,Greens!K40,Greens!M40,Greens!N40,Greens!AA40,Greens!AE40,Greens!AF40,Greens!AH40,Greens!AI40,Greens!AJ40,Greens!AK40,Greens!AL40,Greens!AM40,Greens!AR40,Greens!AS40)</f>
        <v>#DIV/0!</v>
      </c>
      <c r="D20" s="9" t="e">
        <f aca="false">AVERAGE(Greens!AN40,Greens!AO40,Greens!AP40,Greens!AQ40)</f>
        <v>#DIV/0!</v>
      </c>
      <c r="E20" s="6" t="e">
        <f aca="false">AVERAGE(Greens!E40,Greens!F40,Greens!Q40,greens!#ref!)</f>
        <v>#NAME?</v>
      </c>
      <c r="F20" s="6" t="n">
        <f aca="false">Greens!O40</f>
        <v>0</v>
      </c>
    </row>
    <row r="21" customFormat="false" ht="15" hidden="false" customHeight="true" outlineLevel="0" collapsed="false">
      <c r="A21" s="83" t="s">
        <v>574</v>
      </c>
      <c r="B21" s="9" t="e">
        <f aca="false">AVERAGE(Greens!H41,Greens!I41,Greens!J41,Greens!L41,Greens!P41,Greens!R41,Greens!S41,Greens!T41,Greens!U41,Greens!V41,Greens!W41,Greens!X41,Greens!Y41,Greens!AB41,Greens!AC41,Greens!AD41,Greens!AG41)</f>
        <v>#DIV/0!</v>
      </c>
      <c r="C21" s="58" t="n">
        <f aca="false">AVERAGE(Greens!B41,Greens!C41,Greens!D41,Greens!G41,Greens!K41,Greens!M41,Greens!N41,Greens!AA41,Greens!AE41,Greens!AF41,Greens!AH41,Greens!AI41,Greens!AJ41,Greens!AK41,Greens!AL41,Greens!AM41,Greens!AR41,Greens!AS41)</f>
        <v>-0.507142857142857</v>
      </c>
      <c r="D21" s="58" t="n">
        <f aca="false">AVERAGE(Greens!AN41,Greens!AO41,Greens!AP41,Greens!AQ41)</f>
        <v>0.61</v>
      </c>
      <c r="E21" s="6" t="e">
        <f aca="false">AVERAGE(Greens!E41,Greens!F41,Greens!Q41,greens!#ref!)</f>
        <v>#NAME?</v>
      </c>
      <c r="F21" s="6" t="n">
        <f aca="false">Greens!O41</f>
        <v>0</v>
      </c>
    </row>
    <row r="22" customFormat="false" ht="15" hidden="false" customHeight="true" outlineLevel="0" collapsed="false">
      <c r="A22" s="83" t="s">
        <v>575</v>
      </c>
      <c r="B22" s="9" t="e">
        <f aca="false">AVERAGE(Greens!H43,Greens!I43,Greens!J43,Greens!L43,Greens!P43,Greens!R43,Greens!S43,Greens!T43,Greens!U43,Greens!V43,Greens!W43,Greens!X43,Greens!Y43,Greens!AB43,Greens!AC43,Greens!AD43,Greens!AG43)</f>
        <v>#DIV/0!</v>
      </c>
      <c r="C22" s="58" t="n">
        <f aca="false">AVERAGE(Greens!B43,Greens!C43,Greens!D43,Greens!G43,Greens!K43,Greens!M43,Greens!N43,Greens!AA43,Greens!AE43,Greens!AF43,Greens!AH43,Greens!AI43,Greens!AJ43,Greens!AK43,Greens!AL43,Greens!AM43,Greens!AR43,Greens!AS43)</f>
        <v>0.186666666666667</v>
      </c>
      <c r="D22" s="58" t="n">
        <f aca="false">AVERAGE(Greens!AN43,Greens!AO43,Greens!AP43,Greens!AQ43)</f>
        <v>-1.365</v>
      </c>
      <c r="E22" s="6" t="e">
        <f aca="false">AVERAGE(Greens!E43,Greens!F43,Greens!Q43,greens!#ref!)</f>
        <v>#NAME?</v>
      </c>
      <c r="F22" s="6" t="n">
        <f aca="false">Greens!O43</f>
        <v>0</v>
      </c>
    </row>
    <row r="23" customFormat="false" ht="15" hidden="false" customHeight="true" outlineLevel="0" collapsed="false">
      <c r="A23" s="83" t="s">
        <v>576</v>
      </c>
      <c r="B23" s="9" t="e">
        <f aca="false">AVERAGE(Greens!H44,Greens!I44,Greens!J44,Greens!L44,Greens!P44,Greens!R44,Greens!S44,Greens!T44,Greens!U44,Greens!V44,Greens!W44,Greens!X44,Greens!Y44,Greens!AB44,Greens!AC44,Greens!AD44,Greens!AG44)</f>
        <v>#DIV/0!</v>
      </c>
      <c r="C23" s="9" t="e">
        <f aca="false">AVERAGE(Greens!B44,Greens!C44,Greens!D44,Greens!G44,Greens!K44,Greens!M44,Greens!N44,Greens!AA44,Greens!AE44,Greens!AF44,Greens!AH44,Greens!AI44,Greens!AJ44,Greens!AK44,Greens!AL44,Greens!AM44,Greens!AR44,Greens!AS44)</f>
        <v>#DIV/0!</v>
      </c>
      <c r="D23" s="9" t="e">
        <f aca="false">AVERAGE(Greens!AN44,Greens!AO44,Greens!AP44,Greens!AQ44)</f>
        <v>#DIV/0!</v>
      </c>
      <c r="E23" s="6" t="e">
        <f aca="false">AVERAGE(Greens!E44,Greens!F44,Greens!Q44,greens!#ref!)</f>
        <v>#NAME?</v>
      </c>
      <c r="F23" s="6" t="n">
        <f aca="false">Greens!O44</f>
        <v>0</v>
      </c>
    </row>
    <row r="24" customFormat="false" ht="15" hidden="false" customHeight="true" outlineLevel="0" collapsed="false">
      <c r="A24" s="83" t="s">
        <v>577</v>
      </c>
      <c r="B24" s="9" t="e">
        <f aca="false">AVERAGE(Greens!H45,Greens!I45,Greens!J45,Greens!L45,Greens!P45,Greens!R45,Greens!S45,Greens!T45,Greens!U45,Greens!V45,Greens!W45,Greens!X45,Greens!Y45,Greens!AB45,Greens!AC45,Greens!AD45,Greens!AG45)</f>
        <v>#DIV/0!</v>
      </c>
      <c r="C24" s="58" t="n">
        <f aca="false">AVERAGE(Greens!B45,Greens!C45,Greens!D45,Greens!G45,Greens!K45,Greens!M45,Greens!N45,Greens!AA45,Greens!AE45,Greens!AF45,Greens!AH45,Greens!AI45,Greens!AJ45,Greens!AK45,Greens!AL45,Greens!AM45,Greens!AR45,Greens!AS45)</f>
        <v>0.0716666666666667</v>
      </c>
      <c r="D24" s="9" t="e">
        <f aca="false">AVERAGE(Greens!AN45,Greens!AO45,Greens!AP45,Greens!AQ45)</f>
        <v>#DIV/0!</v>
      </c>
      <c r="E24" s="6" t="e">
        <f aca="false">AVERAGE(Greens!E45,Greens!F45,Greens!Q45,greens!#ref!)</f>
        <v>#NAME?</v>
      </c>
      <c r="F24" s="6" t="n">
        <f aca="false">Greens!O45</f>
        <v>0</v>
      </c>
    </row>
    <row r="25" customFormat="false" ht="15" hidden="false" customHeight="true" outlineLevel="0" collapsed="false">
      <c r="A25" s="83" t="s">
        <v>578</v>
      </c>
      <c r="B25" s="9" t="e">
        <f aca="false">AVERAGE(Greens!H47,Greens!I47,Greens!J47,Greens!L47,Greens!P47,Greens!R47,Greens!S47,Greens!T47,Greens!U47,Greens!V47,Greens!W47,Greens!X47,Greens!Y47,Greens!AB47,Greens!AC47,Greens!AD47,Greens!AG47)</f>
        <v>#DIV/0!</v>
      </c>
      <c r="C25" s="58" t="n">
        <f aca="false">AVERAGE(Greens!B47,Greens!C47,Greens!D47,Greens!G47,Greens!K47,Greens!M47,Greens!N47,Greens!AA47,Greens!AE47,Greens!AF47,Greens!AH47,Greens!AI47,Greens!AJ47,Greens!AK47,Greens!AL47,Greens!AM47,Greens!AR47,Greens!AS47)</f>
        <v>0.0266666666666667</v>
      </c>
      <c r="D25" s="58" t="n">
        <f aca="false">AVERAGE(Greens!AN47,Greens!AO47,Greens!AP47,Greens!AQ47)</f>
        <v>-0.96</v>
      </c>
      <c r="E25" s="6" t="e">
        <f aca="false">AVERAGE(Greens!E47,Greens!F47,Greens!Q47,greens!#ref!)</f>
        <v>#NAME?</v>
      </c>
      <c r="F25" s="6" t="n">
        <f aca="false">Greens!O47</f>
        <v>0</v>
      </c>
    </row>
    <row r="26" customFormat="false" ht="15" hidden="false" customHeight="true" outlineLevel="0" collapsed="false">
      <c r="A26" s="83" t="s">
        <v>579</v>
      </c>
      <c r="B26" s="9" t="e">
        <f aca="false">AVERAGE(Greens!H49,Greens!I49,Greens!J49,Greens!L49,Greens!P49,Greens!R49,Greens!S49,Greens!T49,Greens!U49,Greens!V49,Greens!W49,Greens!X49,Greens!Y49,Greens!AB49,Greens!AC49,Greens!AD49,Greens!AG49)</f>
        <v>#DIV/0!</v>
      </c>
      <c r="C26" s="58" t="n">
        <f aca="false">AVERAGE(Greens!B49,Greens!C49,Greens!D49,Greens!G49,Greens!K49,Greens!M49,Greens!N49,Greens!AA49,Greens!AE49,Greens!AF49,Greens!AH49,Greens!AI49,Greens!AJ49,Greens!AK49,Greens!AL49,Greens!AM49,Greens!AR49,Greens!AS49)</f>
        <v>0.382857142857143</v>
      </c>
      <c r="D26" s="58" t="n">
        <f aca="false">AVERAGE(Greens!AN49,Greens!AO49,Greens!AP49,Greens!AQ49)</f>
        <v>0.35</v>
      </c>
      <c r="E26" s="6" t="e">
        <f aca="false">AVERAGE(Greens!E49,Greens!F49,Greens!Q49,greens!#ref!)</f>
        <v>#NAME?</v>
      </c>
      <c r="F26" s="6" t="n">
        <f aca="false">Greens!O49</f>
        <v>0</v>
      </c>
    </row>
    <row r="27" customFormat="false" ht="15" hidden="false" customHeight="true" outlineLevel="0" collapsed="false">
      <c r="A27" s="83" t="s">
        <v>580</v>
      </c>
      <c r="B27" s="9" t="e">
        <f aca="false">AVERAGE(Greens!H50,Greens!I50,Greens!J50,Greens!L50,Greens!P50,Greens!R50,Greens!S50,Greens!T50,Greens!U50,Greens!V50,Greens!W50,Greens!X50,Greens!Y50,Greens!AB50,Greens!AC50,Greens!AD50,Greens!AG50)</f>
        <v>#DIV/0!</v>
      </c>
      <c r="C27" s="58" t="n">
        <f aca="false">AVERAGE(Greens!B50,Greens!C50,Greens!D50,Greens!G50,Greens!K50,Greens!M50,Greens!N50,Greens!AA50,Greens!AE50,Greens!AF50,Greens!AH50,Greens!AI50,Greens!AJ50,Greens!AK50,Greens!AL50,Greens!AM50,Greens!AR50,Greens!AS50)</f>
        <v>-0.567142857142857</v>
      </c>
      <c r="D27" s="58" t="n">
        <f aca="false">AVERAGE(Greens!AN50,Greens!AO50,Greens!AP50,Greens!AQ50)</f>
        <v>0.6775</v>
      </c>
      <c r="E27" s="6" t="e">
        <f aca="false">AVERAGE(Greens!E50,Greens!F50,Greens!Q50,greens!#ref!)</f>
        <v>#NAME?</v>
      </c>
      <c r="F27" s="6" t="n">
        <f aca="false">Greens!O50</f>
        <v>0</v>
      </c>
    </row>
    <row r="28" customFormat="false" ht="15" hidden="false" customHeight="true" outlineLevel="0" collapsed="false">
      <c r="A28" s="83" t="s">
        <v>581</v>
      </c>
      <c r="B28" s="9" t="e">
        <f aca="false">AVERAGE(Greens!H51,Greens!I51,Greens!J51,Greens!L51,Greens!P51,Greens!R51,Greens!S51,Greens!T51,Greens!U51,Greens!V51,Greens!W51,Greens!X51,Greens!Y51,Greens!AB51,Greens!AC51,Greens!AD51,Greens!AG51)</f>
        <v>#DIV/0!</v>
      </c>
      <c r="C28" s="58" t="n">
        <f aca="false">AVERAGE(Greens!B51,Greens!C51,Greens!D51,Greens!G51,Greens!K51,Greens!M51,Greens!N51,Greens!AA51,Greens!AE51,Greens!AF51,Greens!AH51,Greens!AI51,Greens!AJ51,Greens!AK51,Greens!AL51,Greens!AM51,Greens!AR51,Greens!AS51)</f>
        <v>-0.238</v>
      </c>
      <c r="D28" s="58" t="n">
        <f aca="false">AVERAGE(Greens!AN51,Greens!AO51,Greens!AP51,Greens!AQ51)</f>
        <v>-0.03</v>
      </c>
      <c r="E28" s="6" t="e">
        <f aca="false">AVERAGE(Greens!E51,Greens!F51,Greens!Q51,greens!#ref!)</f>
        <v>#NAME?</v>
      </c>
      <c r="F28" s="6" t="n">
        <f aca="false">Greens!O51</f>
        <v>0</v>
      </c>
    </row>
    <row r="29" customFormat="false" ht="15" hidden="false" customHeight="true" outlineLevel="0" collapsed="false">
      <c r="A29" s="83" t="s">
        <v>582</v>
      </c>
      <c r="B29" s="9" t="e">
        <f aca="false">AVERAGE(Greens!H56,Greens!I56,Greens!J56,Greens!L56,Greens!P56,Greens!R56,Greens!S56,Greens!T56,Greens!U56,Greens!V56,Greens!W56,Greens!X56,Greens!Y56,Greens!AB56,Greens!AC56,Greens!AD56,Greens!AG56)</f>
        <v>#DIV/0!</v>
      </c>
      <c r="C29" s="58" t="n">
        <f aca="false">AVERAGE(Greens!B56,Greens!C56,Greens!D56,Greens!G56,Greens!K56,Greens!M56,Greens!N56,Greens!AA56,Greens!AE56,Greens!AF56,Greens!AH56,Greens!AI56,Greens!AJ56,Greens!AK56,Greens!AL56,Greens!AM56,Greens!AR56,Greens!AS56)</f>
        <v>-0.01</v>
      </c>
      <c r="D29" s="58" t="n">
        <f aca="false">AVERAGE(Greens!AN56,Greens!AO56,Greens!AP56,Greens!AQ56)</f>
        <v>-0.58</v>
      </c>
      <c r="E29" s="6" t="e">
        <f aca="false">AVERAGE(Greens!E56,Greens!F56,Greens!Q56,greens!#ref!)</f>
        <v>#NAME?</v>
      </c>
      <c r="F29" s="6" t="n">
        <f aca="false">Greens!O56</f>
        <v>0</v>
      </c>
    </row>
    <row r="30" customFormat="false" ht="15" hidden="false" customHeight="true" outlineLevel="0" collapsed="false">
      <c r="A30" s="83" t="s">
        <v>583</v>
      </c>
      <c r="B30" s="9" t="e">
        <f aca="false">AVERAGE(Greens!H59,Greens!I59,Greens!J59,Greens!L59,Greens!P59,Greens!R59,Greens!S59,Greens!T59,Greens!U59,Greens!V59,Greens!W59,Greens!X59,Greens!Y59,Greens!AB59,Greens!AC59,Greens!AD59,Greens!AG59)</f>
        <v>#DIV/0!</v>
      </c>
      <c r="C30" s="9" t="e">
        <f aca="false">AVERAGE(Greens!B59,Greens!C59,Greens!D59,Greens!G59,Greens!K59,Greens!M59,Greens!N59,Greens!AA59,Greens!AE59,Greens!AF59,Greens!AH59,Greens!AI59,Greens!AJ59,Greens!AK59,Greens!AL59,Greens!AM59,Greens!AR59,Greens!AS59)</f>
        <v>#DIV/0!</v>
      </c>
      <c r="D30" s="9" t="e">
        <f aca="false">AVERAGE(Greens!AN59,Greens!AO59,Greens!AP59,Greens!AQ59)</f>
        <v>#DIV/0!</v>
      </c>
      <c r="E30" s="6" t="e">
        <f aca="false">AVERAGE(Greens!E59,Greens!F59,Greens!Q59,greens!#ref!)</f>
        <v>#NAME?</v>
      </c>
      <c r="F30" s="6" t="n">
        <f aca="false">Greens!O59</f>
        <v>0</v>
      </c>
    </row>
    <row r="31" customFormat="false" ht="15" hidden="false" customHeight="true" outlineLevel="0" collapsed="false">
      <c r="A31" s="83" t="s">
        <v>584</v>
      </c>
      <c r="B31" s="9" t="e">
        <f aca="false">AVERAGE(Greens!H61,Greens!I61,Greens!J61,Greens!L61,Greens!P61,Greens!R61,Greens!S61,Greens!T61,Greens!U61,Greens!V61,Greens!W61,Greens!X61,Greens!Y61,Greens!AB61,Greens!AC61,Greens!AD61,Greens!AG61)</f>
        <v>#DIV/0!</v>
      </c>
      <c r="C31" s="58" t="n">
        <f aca="false">AVERAGE(Greens!B61,Greens!C61,Greens!D61,Greens!G61,Greens!K61,Greens!M61,Greens!N61,Greens!AA61,Greens!AE61,Greens!AF61,Greens!AH61,Greens!AI61,Greens!AJ61,Greens!AK61,Greens!AL61,Greens!AM61,Greens!AR61,Greens!AS61)</f>
        <v>0</v>
      </c>
      <c r="D31" s="58" t="n">
        <f aca="false">AVERAGE(Greens!AN61,Greens!AO61,Greens!AP61,Greens!AQ61)</f>
        <v>-0.345</v>
      </c>
      <c r="E31" s="6" t="e">
        <f aca="false">AVERAGE(Greens!E61,Greens!F61,Greens!Q61,greens!#ref!)</f>
        <v>#NAME?</v>
      </c>
      <c r="F31" s="6" t="n">
        <f aca="false">Greens!O61</f>
        <v>0</v>
      </c>
    </row>
    <row r="32" customFormat="false" ht="15" hidden="false" customHeight="true" outlineLevel="0" collapsed="false">
      <c r="A32" s="83" t="s">
        <v>585</v>
      </c>
      <c r="B32" s="9" t="e">
        <f aca="false">AVERAGE(Greens!H63,Greens!I63,Greens!J63,Greens!L63,Greens!P63,Greens!R63,Greens!S63,Greens!T63,Greens!U63,Greens!V63,Greens!W63,Greens!X63,Greens!Y63,Greens!AB63,Greens!AC63,Greens!AD63,Greens!AG63)</f>
        <v>#DIV/0!</v>
      </c>
      <c r="C32" s="58" t="n">
        <f aca="false">AVERAGE(Greens!B63,Greens!C63,Greens!D63,Greens!G63,Greens!K63,Greens!M63,Greens!N63,Greens!AA63,Greens!AE63,Greens!AF63,Greens!AH63,Greens!AI63,Greens!AJ63,Greens!AK63,Greens!AL63,Greens!AM63,Greens!AR63,Greens!AS63)</f>
        <v>-0.375</v>
      </c>
      <c r="D32" s="58" t="n">
        <f aca="false">AVERAGE(Greens!AN63,Greens!AO63,Greens!AP63,Greens!AQ63)</f>
        <v>0.94</v>
      </c>
      <c r="E32" s="6" t="e">
        <f aca="false">AVERAGE(Greens!E63,Greens!F63,Greens!Q63,greens!#ref!)</f>
        <v>#NAME?</v>
      </c>
      <c r="F32" s="6" t="n">
        <f aca="false">Greens!O63</f>
        <v>0</v>
      </c>
    </row>
    <row r="33" customFormat="false" ht="15" hidden="false" customHeight="true" outlineLevel="0" collapsed="false">
      <c r="A33" s="83" t="s">
        <v>586</v>
      </c>
      <c r="B33" s="9" t="e">
        <f aca="false">AVERAGE(Greens!H65,Greens!I65,Greens!J65,Greens!L65,Greens!P65,Greens!R65,Greens!S65,Greens!T65,Greens!U65,Greens!V65,Greens!W65,Greens!X65,Greens!Y65,Greens!AB65,Greens!AC65,Greens!AD65,Greens!AG65)</f>
        <v>#DIV/0!</v>
      </c>
      <c r="C33" s="58" t="n">
        <f aca="false">AVERAGE(Greens!B65,Greens!C65,Greens!D65,Greens!G65,Greens!K65,Greens!M65,Greens!N65,Greens!AA65,Greens!AE65,Greens!AF65,Greens!AH65,Greens!AI65,Greens!AJ65,Greens!AK65,Greens!AL65,Greens!AM65,Greens!AR65,Greens!AS65)</f>
        <v>-0.565</v>
      </c>
      <c r="D33" s="58" t="n">
        <f aca="false">AVERAGE(Greens!AN65,Greens!AO65,Greens!AP65,Greens!AQ65)</f>
        <v>0.235</v>
      </c>
      <c r="E33" s="6" t="e">
        <f aca="false">AVERAGE(Greens!E65,Greens!F65,Greens!Q65,greens!#ref!)</f>
        <v>#NAME?</v>
      </c>
      <c r="F33" s="6" t="n">
        <f aca="false">Greens!O65</f>
        <v>0</v>
      </c>
    </row>
    <row r="34" customFormat="false" ht="15" hidden="false" customHeight="true" outlineLevel="0" collapsed="false">
      <c r="A34" s="83" t="s">
        <v>587</v>
      </c>
      <c r="B34" s="9" t="e">
        <f aca="false">AVERAGE(Greens!H66,Greens!I66,Greens!J66,Greens!L66,Greens!P66,Greens!R66,Greens!S66,Greens!T66,Greens!U66,Greens!V66,Greens!W66,Greens!X66,Greens!Y66,Greens!AB66,Greens!AC66,Greens!AD66,Greens!AG66)</f>
        <v>#DIV/0!</v>
      </c>
      <c r="C34" s="9" t="e">
        <f aca="false">AVERAGE(Greens!B66,Greens!C66,Greens!D66,Greens!G66,Greens!K66,Greens!M66,Greens!N66,Greens!AA66,Greens!AE66,Greens!AF66,Greens!AH66,Greens!AI66,Greens!AJ66,Greens!AK66,Greens!AL66,Greens!AM66,Greens!AR66,Greens!AS66)</f>
        <v>#DIV/0!</v>
      </c>
      <c r="D34" s="9" t="e">
        <f aca="false">AVERAGE(Greens!AN66,Greens!AO66,Greens!AP66,Greens!AQ66)</f>
        <v>#DIV/0!</v>
      </c>
      <c r="E34" s="6" t="e">
        <f aca="false">AVERAGE(Greens!E66,Greens!F66,Greens!Q66,greens!#ref!)</f>
        <v>#NAME?</v>
      </c>
      <c r="F34" s="6" t="n">
        <f aca="false">Greens!O66</f>
        <v>0</v>
      </c>
    </row>
    <row r="35" customFormat="false" ht="15" hidden="false" customHeight="true" outlineLevel="0" collapsed="false">
      <c r="A35" s="83" t="s">
        <v>588</v>
      </c>
      <c r="B35" s="9" t="e">
        <f aca="false">AVERAGE(Greens!H67,Greens!I67,Greens!J67,Greens!L67,Greens!P67,Greens!R67,Greens!S67,Greens!T67,Greens!U67,Greens!V67,Greens!W67,Greens!X67,Greens!Y67,Greens!AB67,Greens!AC67,Greens!AD67,Greens!AG67)</f>
        <v>#DIV/0!</v>
      </c>
      <c r="C35" s="9" t="e">
        <f aca="false">AVERAGE(Greens!B67,Greens!C67,Greens!D67,Greens!G67,Greens!K67,Greens!M67,Greens!N67,Greens!AA67,Greens!AE67,Greens!AF67,Greens!AH67,Greens!AI67,Greens!AJ67,Greens!AK67,Greens!AL67,Greens!AM67,Greens!AR67,Greens!AS67)</f>
        <v>#DIV/0!</v>
      </c>
      <c r="D35" s="9" t="e">
        <f aca="false">AVERAGE(Greens!AN67,Greens!AO67,Greens!AP67,Greens!AQ67)</f>
        <v>#DIV/0!</v>
      </c>
      <c r="E35" s="6" t="e">
        <f aca="false">AVERAGE(Greens!E67,Greens!F67,Greens!Q67,greens!#ref!)</f>
        <v>#NAME?</v>
      </c>
      <c r="F35" s="6" t="n">
        <f aca="false">Greens!O67</f>
        <v>0</v>
      </c>
    </row>
    <row r="36" customFormat="false" ht="15" hidden="false" customHeight="true" outlineLevel="0" collapsed="false">
      <c r="A36" s="83" t="s">
        <v>589</v>
      </c>
      <c r="B36" s="9" t="e">
        <f aca="false">AVERAGE(Greens!H71,Greens!I71,Greens!J71,Greens!L71,Greens!P71,Greens!R71,Greens!S71,Greens!T71,Greens!U71,Greens!V71,Greens!W71,Greens!X71,Greens!Y71,Greens!AB71,Greens!AC71,Greens!AD71,Greens!AG71)</f>
        <v>#DIV/0!</v>
      </c>
      <c r="C36" s="58" t="n">
        <f aca="false">AVERAGE(Greens!B71,Greens!C71,Greens!D71,Greens!G71,Greens!K71,Greens!M71,Greens!N71,Greens!AA71,Greens!AE71,Greens!AF71,Greens!AH71,Greens!AI71,Greens!AJ71,Greens!AK71,Greens!AL71,Greens!AM71,Greens!AR71,Greens!AS71)</f>
        <v>-0.64</v>
      </c>
      <c r="D36" s="58" t="n">
        <f aca="false">AVERAGE(Greens!AN71,Greens!AO71,Greens!AP71,Greens!AQ71)</f>
        <v>-1.08</v>
      </c>
      <c r="E36" s="6" t="e">
        <f aca="false">AVERAGE(Greens!E71,Greens!F71,Greens!Q71,greens!#ref!)</f>
        <v>#NAME?</v>
      </c>
      <c r="F36" s="6" t="n">
        <f aca="false">Greens!O71</f>
        <v>0</v>
      </c>
    </row>
    <row r="37" customFormat="false" ht="15" hidden="false" customHeight="true" outlineLevel="0" collapsed="false">
      <c r="A37" s="83" t="s">
        <v>590</v>
      </c>
      <c r="B37" s="9" t="e">
        <f aca="false">AVERAGE(Greens!H73,Greens!I73,Greens!J73,Greens!L73,Greens!P73,Greens!R73,Greens!S73,Greens!T73,Greens!U73,Greens!V73,Greens!W73,Greens!X73,Greens!Y73,Greens!AB73,Greens!AC73,Greens!AD73,Greens!AG73)</f>
        <v>#DIV/0!</v>
      </c>
      <c r="C37" s="9" t="e">
        <f aca="false">AVERAGE(Greens!B73,Greens!C73,Greens!D73,Greens!G73,Greens!K73,Greens!M73,Greens!N73,Greens!AA73,Greens!AE73,Greens!AF73,Greens!AH73,Greens!AI73,Greens!AJ73,Greens!AK73,Greens!AL73,Greens!AM73,Greens!AR73,Greens!AS73)</f>
        <v>#DIV/0!</v>
      </c>
      <c r="D37" s="9" t="e">
        <f aca="false">AVERAGE(Greens!AN73,Greens!AO73,Greens!AP73,Greens!AQ73)</f>
        <v>#DIV/0!</v>
      </c>
      <c r="E37" s="6" t="e">
        <f aca="false">AVERAGE(Greens!E73,Greens!F73,Greens!Q73,greens!#ref!)</f>
        <v>#NAME?</v>
      </c>
      <c r="F37" s="6" t="n">
        <f aca="false">Greens!O73</f>
        <v>0</v>
      </c>
    </row>
    <row r="38" customFormat="false" ht="15" hidden="false" customHeight="true" outlineLevel="0" collapsed="false">
      <c r="A38" s="83" t="s">
        <v>591</v>
      </c>
      <c r="B38" s="9" t="e">
        <f aca="false">AVERAGE(Greens!H74,Greens!I74,Greens!J74,Greens!L74,Greens!P74,Greens!R74,Greens!S74,Greens!T74,Greens!U74,Greens!V74,Greens!W74,Greens!X74,Greens!Y74,Greens!AB74,Greens!AC74,Greens!AD74,Greens!AG74)</f>
        <v>#DIV/0!</v>
      </c>
      <c r="C38" s="58" t="n">
        <f aca="false">AVERAGE(Greens!B74,Greens!C74,Greens!D74,Greens!G74,Greens!K74,Greens!M74,Greens!N74,Greens!AA74,Greens!AE74,Greens!AF74,Greens!AH74,Greens!AI74,Greens!AJ74,Greens!AK74,Greens!AL74,Greens!AM74,Greens!AR74,Greens!AS74)</f>
        <v>-0.8</v>
      </c>
      <c r="D38" s="9" t="e">
        <f aca="false">AVERAGE(Greens!AN74,Greens!AO74,Greens!AP74,Greens!AQ74)</f>
        <v>#DIV/0!</v>
      </c>
      <c r="E38" s="6" t="e">
        <f aca="false">AVERAGE(Greens!E74,Greens!F74,Greens!Q74,greens!#ref!)</f>
        <v>#NAME?</v>
      </c>
      <c r="F38" s="6" t="n">
        <f aca="false">Greens!O74</f>
        <v>0</v>
      </c>
    </row>
    <row r="39" customFormat="false" ht="15" hidden="false" customHeight="true" outlineLevel="0" collapsed="false">
      <c r="A39" s="83" t="s">
        <v>592</v>
      </c>
      <c r="B39" s="9" t="e">
        <f aca="false">AVERAGE(Greens!H75,Greens!I75,Greens!J75,Greens!L75,Greens!P75,Greens!R75,Greens!S75,Greens!T75,Greens!U75,Greens!V75,Greens!W75,Greens!X75,Greens!Y75,Greens!AB75,Greens!AC75,Greens!AD75,Greens!AG75)</f>
        <v>#DIV/0!</v>
      </c>
      <c r="C39" s="9" t="e">
        <f aca="false">AVERAGE(Greens!B75,Greens!C75,Greens!D75,Greens!G75,Greens!K75,Greens!M75,Greens!N75,Greens!AA75,Greens!AE75,Greens!AF75,Greens!AH75,Greens!AI75,Greens!AJ75,Greens!AK75,Greens!AL75,Greens!AM75,Greens!AR75,Greens!AS75)</f>
        <v>#DIV/0!</v>
      </c>
      <c r="D39" s="9" t="e">
        <f aca="false">AVERAGE(Greens!AN75,Greens!AO75,Greens!AP75,Greens!AQ75)</f>
        <v>#DIV/0!</v>
      </c>
      <c r="E39" s="6" t="e">
        <f aca="false">AVERAGE(Greens!E75,Greens!F75,Greens!Q75,greens!#ref!)</f>
        <v>#NAME?</v>
      </c>
      <c r="F39" s="6" t="n">
        <f aca="false">Greens!O75</f>
        <v>0</v>
      </c>
    </row>
    <row r="40" customFormat="false" ht="15" hidden="false" customHeight="true" outlineLevel="0" collapsed="false">
      <c r="A40" s="83" t="s">
        <v>593</v>
      </c>
      <c r="B40" s="9" t="e">
        <f aca="false">AVERAGE(Greens!H77,Greens!I77,Greens!J77,Greens!L77,Greens!P77,Greens!R77,Greens!S77,Greens!T77,Greens!U77,Greens!V77,Greens!W77,Greens!X77,Greens!Y77,Greens!AB77,Greens!AC77,Greens!AD77,Greens!AG77)</f>
        <v>#DIV/0!</v>
      </c>
      <c r="C40" s="9" t="n">
        <f aca="false">AVERAGE(Greens!B77,Greens!C77,Greens!D77,Greens!G77,Greens!K77,Greens!M77,Greens!N77,Greens!AA77,Greens!AE77,Greens!AF77,Greens!AH77,Greens!AI77,Greens!AJ77,Greens!AK77,Greens!AL77,Greens!AM77,Greens!AR77,Greens!AS77)</f>
        <v>-0.36</v>
      </c>
      <c r="D40" s="9" t="e">
        <f aca="false">AVERAGE(Greens!AN77,Greens!AO77,Greens!AP77,Greens!AQ77)</f>
        <v>#DIV/0!</v>
      </c>
      <c r="E40" s="6" t="e">
        <f aca="false">AVERAGE(Greens!E77,Greens!F77,Greens!Q77,greens!#ref!)</f>
        <v>#NAME?</v>
      </c>
      <c r="F40" s="6" t="n">
        <f aca="false">Greens!O77</f>
        <v>0</v>
      </c>
    </row>
    <row r="41" customFormat="false" ht="15" hidden="false" customHeight="true" outlineLevel="0" collapsed="false">
      <c r="A41" s="83" t="s">
        <v>594</v>
      </c>
      <c r="B41" s="9" t="e">
        <f aca="false">AVERAGE(Greens!H79,Greens!I79,Greens!J79,Greens!L79,Greens!P79,Greens!R79,Greens!S79,Greens!T79,Greens!U79,Greens!V79,Greens!W79,Greens!X79,Greens!Y79,Greens!AB79,Greens!AC79,Greens!AD79,Greens!AG79)</f>
        <v>#DIV/0!</v>
      </c>
      <c r="C41" s="9" t="e">
        <f aca="false">AVERAGE(Greens!B79,Greens!C79,Greens!D79,Greens!G79,Greens!K79,Greens!M79,Greens!N79,Greens!AA79,Greens!AE79,Greens!AF79,Greens!AH79,Greens!AI79,Greens!AJ79,Greens!AK79,Greens!AL79,Greens!AM79,Greens!AR79,Greens!AS79)</f>
        <v>#DIV/0!</v>
      </c>
      <c r="D41" s="58" t="n">
        <f aca="false">AVERAGE(Greens!AN79,Greens!AO79,Greens!AP79,Greens!AQ79)</f>
        <v>-2.2</v>
      </c>
      <c r="E41" s="6" t="e">
        <f aca="false">AVERAGE(Greens!E79,Greens!F79,Greens!Q79,greens!#ref!)</f>
        <v>#NAME?</v>
      </c>
      <c r="F41" s="6" t="n">
        <f aca="false">Greens!O79</f>
        <v>0</v>
      </c>
    </row>
    <row r="42" customFormat="false" ht="15" hidden="false" customHeight="true" outlineLevel="0" collapsed="false">
      <c r="A42" s="83" t="s">
        <v>595</v>
      </c>
      <c r="B42" s="9" t="e">
        <f aca="false">AVERAGE(Greens!H83,Greens!I83,Greens!J83,Greens!L83,Greens!P83,Greens!R83,Greens!S83,Greens!T83,Greens!U83,Greens!V83,Greens!W83,Greens!X83,Greens!Y83,Greens!AB83,Greens!AC83,Greens!AD83,Greens!AG83)</f>
        <v>#DIV/0!</v>
      </c>
      <c r="C42" s="58" t="n">
        <f aca="false">AVERAGE(Greens!B83,Greens!C83,Greens!D83,Greens!G83,Greens!K83,Greens!M83,Greens!N83,Greens!AA83,Greens!AE83,Greens!AF83,Greens!AH83,Greens!AI83,Greens!AJ83,Greens!AK83,Greens!AL83,Greens!AM83,Greens!AR83,Greens!AS83)</f>
        <v>-1</v>
      </c>
      <c r="D42" s="9" t="e">
        <f aca="false">AVERAGE(Greens!AN83,Greens!AO83,Greens!AP83,Greens!AQ83)</f>
        <v>#DIV/0!</v>
      </c>
      <c r="E42" s="6" t="e">
        <f aca="false">AVERAGE(Greens!E83,Greens!F83,Greens!Q83,greens!#ref!)</f>
        <v>#NAME?</v>
      </c>
      <c r="F42" s="6" t="n">
        <f aca="false">Greens!O83</f>
        <v>0</v>
      </c>
    </row>
    <row r="43" customFormat="false" ht="15" hidden="false" customHeight="true" outlineLevel="0" collapsed="false">
      <c r="A43" s="83" t="s">
        <v>596</v>
      </c>
      <c r="B43" s="9" t="e">
        <f aca="false">AVERAGE(Greens!H85,Greens!I85,Greens!J85,Greens!L85,Greens!P85,Greens!R85,Greens!S85,Greens!T85,Greens!U85,Greens!V85,Greens!W85,Greens!X85,Greens!Y85,Greens!AB85,Greens!AC85,Greens!AD85,Greens!AG85)</f>
        <v>#DIV/0!</v>
      </c>
      <c r="C43" s="58" t="n">
        <f aca="false">AVERAGE(Greens!B85,Greens!C85,Greens!D85,Greens!G85,Greens!K85,Greens!M85,Greens!N85,Greens!AA85,Greens!AE85,Greens!AF85,Greens!AH85,Greens!AI85,Greens!AJ85,Greens!AK85,Greens!AL85,Greens!AM85,Greens!AR85,Greens!AS85)</f>
        <v>-0.478333333333333</v>
      </c>
      <c r="D43" s="58" t="n">
        <f aca="false">AVERAGE(Greens!AN85,Greens!AO85,Greens!AP85,Greens!AQ85)</f>
        <v>-0.01</v>
      </c>
      <c r="E43" s="6" t="e">
        <f aca="false">AVERAGE(Greens!E85,Greens!F85,Greens!Q85,greens!#ref!)</f>
        <v>#NAME?</v>
      </c>
      <c r="F43" s="6" t="n">
        <f aca="false">Greens!O85</f>
        <v>0</v>
      </c>
    </row>
    <row r="44" customFormat="false" ht="15" hidden="false" customHeight="true" outlineLevel="0" collapsed="false">
      <c r="A44" s="83" t="s">
        <v>597</v>
      </c>
      <c r="B44" s="9" t="e">
        <f aca="false">AVERAGE(Greens!H87,Greens!I87,Greens!J87,Greens!L87,Greens!P87,Greens!R87,Greens!S87,Greens!T87,Greens!U87,Greens!V87,Greens!W87,Greens!X87,Greens!Y87,Greens!AB87,Greens!AC87,Greens!AD87,Greens!AG87)</f>
        <v>#DIV/0!</v>
      </c>
      <c r="C44" s="58" t="n">
        <f aca="false">AVERAGE(Greens!B87,Greens!C87,Greens!D87,Greens!G87,Greens!K87,Greens!M87,Greens!N87,Greens!AA87,Greens!AE87,Greens!AF87,Greens!AH87,Greens!AI87,Greens!AJ87,Greens!AK87,Greens!AL87,Greens!AM87,Greens!AR87,Greens!AS87)</f>
        <v>0.105714285714286</v>
      </c>
      <c r="D44" s="58" t="n">
        <f aca="false">AVERAGE(Greens!AN87,Greens!AO87,Greens!AP87,Greens!AQ87)</f>
        <v>-1.6</v>
      </c>
      <c r="E44" s="6" t="e">
        <f aca="false">AVERAGE(Greens!E87,Greens!F87,Greens!Q87,greens!#ref!)</f>
        <v>#NAME?</v>
      </c>
      <c r="F44" s="6" t="n">
        <f aca="false">Greens!O87</f>
        <v>0</v>
      </c>
    </row>
    <row r="45" customFormat="false" ht="15" hidden="false" customHeight="true" outlineLevel="0" collapsed="false">
      <c r="A45" s="83" t="s">
        <v>598</v>
      </c>
      <c r="B45" s="9" t="e">
        <f aca="false">AVERAGE(Greens!H89,Greens!I89,Greens!J89,Greens!L89,Greens!P89,Greens!R89,Greens!S89,Greens!T89,Greens!U89,Greens!V89,Greens!W89,Greens!X89,Greens!Y89,Greens!AB89,Greens!AC89,Greens!AD89,Greens!AG89)</f>
        <v>#DIV/0!</v>
      </c>
      <c r="C45" s="58" t="n">
        <f aca="false">AVERAGE(Greens!B89,Greens!C89,Greens!D89,Greens!G89,Greens!K89,Greens!M89,Greens!N89,Greens!AA89,Greens!AE89,Greens!AF89,Greens!AH89,Greens!AI89,Greens!AJ89,Greens!AK89,Greens!AL89,Greens!AM89,Greens!AR89,Greens!AS89)</f>
        <v>-0.986</v>
      </c>
      <c r="D45" s="58" t="n">
        <f aca="false">AVERAGE(Greens!AN89,Greens!AO89,Greens!AP89,Greens!AQ89)</f>
        <v>-0.78</v>
      </c>
      <c r="E45" s="6" t="e">
        <f aca="false">AVERAGE(Greens!E89,Greens!F89,Greens!Q89,greens!#ref!)</f>
        <v>#NAME?</v>
      </c>
      <c r="F45" s="6" t="n">
        <f aca="false">Greens!O89</f>
        <v>0</v>
      </c>
    </row>
    <row r="46" customFormat="false" ht="15" hidden="false" customHeight="true" outlineLevel="0" collapsed="false">
      <c r="A46" s="83" t="s">
        <v>599</v>
      </c>
      <c r="B46" s="9" t="e">
        <f aca="false">AVERAGE(Greens!H95,Greens!I95,Greens!J95,Greens!L95,Greens!P95,Greens!R95,Greens!S95,Greens!T95,Greens!U95,Greens!V95,Greens!W95,Greens!X95,Greens!Y95,Greens!AB95,Greens!AC95,Greens!AD95,Greens!AG95)</f>
        <v>#DIV/0!</v>
      </c>
      <c r="C46" s="9" t="e">
        <f aca="false">AVERAGE(Greens!B95,Greens!C95,Greens!D95,Greens!G95,Greens!K95,Greens!M95,Greens!N95,Greens!AA95,Greens!AE95,Greens!AF95,Greens!AH95,Greens!AI95,Greens!AJ95,Greens!AK95,Greens!AL95,Greens!AM95,Greens!AR95,Greens!AS95)</f>
        <v>#DIV/0!</v>
      </c>
      <c r="D46" s="9" t="e">
        <f aca="false">AVERAGE(Greens!AN95,Greens!AO95,Greens!AP95,Greens!AQ95)</f>
        <v>#DIV/0!</v>
      </c>
      <c r="E46" s="6" t="e">
        <f aca="false">AVERAGE(Greens!E95,Greens!F95,Greens!Q95,greens!#ref!)</f>
        <v>#NAME?</v>
      </c>
      <c r="F46" s="6" t="n">
        <f aca="false">Greens!O95</f>
        <v>0</v>
      </c>
    </row>
    <row r="47" customFormat="false" ht="15" hidden="false" customHeight="true" outlineLevel="0" collapsed="false">
      <c r="A47" s="83" t="s">
        <v>600</v>
      </c>
      <c r="B47" s="9" t="e">
        <f aca="false">AVERAGE(Greens!H96,Greens!I96,Greens!J96,Greens!L96,Greens!P96,Greens!R96,Greens!S96,Greens!T96,Greens!U96,Greens!V96,Greens!W96,Greens!X96,Greens!Y96,Greens!AB96,Greens!AC96,Greens!AD96,Greens!AG96)</f>
        <v>#DIV/0!</v>
      </c>
      <c r="C47" s="58" t="n">
        <f aca="false">AVERAGE(Greens!B96,Greens!C96,Greens!D96,Greens!G96,Greens!K96,Greens!M96,Greens!N96,Greens!AA96,Greens!AE96,Greens!AF96,Greens!AH96,Greens!AI96,Greens!AJ96,Greens!AK96,Greens!AL96,Greens!AM96,Greens!AR96,Greens!AS96)</f>
        <v>0.655</v>
      </c>
      <c r="D47" s="58" t="n">
        <f aca="false">AVERAGE(Greens!AN96,Greens!AO96,Greens!AP96,Greens!AQ96)</f>
        <v>0.69</v>
      </c>
      <c r="E47" s="6" t="e">
        <f aca="false">AVERAGE(Greens!E96,Greens!F96,Greens!Q96,greens!#ref!)</f>
        <v>#NAME?</v>
      </c>
      <c r="F47" s="6" t="n">
        <f aca="false">Greens!O96</f>
        <v>0</v>
      </c>
    </row>
    <row r="48" customFormat="false" ht="15" hidden="false" customHeight="true" outlineLevel="0" collapsed="false">
      <c r="A48" s="83" t="s">
        <v>601</v>
      </c>
      <c r="B48" s="9" t="e">
        <f aca="false">AVERAGE(Greens!H98,Greens!I98,Greens!J98,Greens!L98,Greens!P98,Greens!R98,Greens!S98,Greens!T98,Greens!U98,Greens!V98,Greens!W98,Greens!X98,Greens!Y98,Greens!AB98,Greens!AC98,Greens!AD98,Greens!AG98)</f>
        <v>#DIV/0!</v>
      </c>
      <c r="C48" s="58" t="n">
        <f aca="false">AVERAGE(Greens!B98,Greens!C98,Greens!D98,Greens!G98,Greens!K98,Greens!M98,Greens!N98,Greens!AA98,Greens!AE98,Greens!AF98,Greens!AH98,Greens!AI98,Greens!AJ98,Greens!AK98,Greens!AL98,Greens!AM98,Greens!AR98,Greens!AS98)</f>
        <v>-1.15857142857143</v>
      </c>
      <c r="D48" s="58" t="n">
        <f aca="false">AVERAGE(Greens!AN98,Greens!AO98,Greens!AP98,Greens!AQ98)</f>
        <v>-1.03</v>
      </c>
      <c r="E48" s="6" t="e">
        <f aca="false">AVERAGE(Greens!E98,Greens!F98,Greens!Q98,greens!#ref!)</f>
        <v>#NAME?</v>
      </c>
      <c r="F48" s="6" t="n">
        <f aca="false">Greens!O98</f>
        <v>0</v>
      </c>
    </row>
    <row r="49" customFormat="false" ht="15" hidden="false" customHeight="true" outlineLevel="0" collapsed="false">
      <c r="A49" s="83" t="s">
        <v>602</v>
      </c>
      <c r="B49" s="9" t="e">
        <f aca="false">AVERAGE(Greens!H99,Greens!I99,Greens!J99,Greens!L99,Greens!P99,Greens!R99,Greens!S99,Greens!T99,Greens!U99,Greens!V99,Greens!W99,Greens!X99,Greens!Y99,Greens!AB99,Greens!AC99,Greens!AD99,Greens!AG99)</f>
        <v>#DIV/0!</v>
      </c>
      <c r="C49" s="58" t="n">
        <f aca="false">AVERAGE(Greens!B99,Greens!C99,Greens!D99,Greens!G99,Greens!K99,Greens!M99,Greens!N99,Greens!AA99,Greens!AE99,Greens!AF99,Greens!AH99,Greens!AI99,Greens!AJ99,Greens!AK99,Greens!AL99,Greens!AM99,Greens!AR99,Greens!AS99)</f>
        <v>0.211666666666667</v>
      </c>
      <c r="D49" s="58" t="n">
        <f aca="false">AVERAGE(Greens!AN99,Greens!AO99,Greens!AP99,Greens!AQ99)</f>
        <v>-0.0966666666666667</v>
      </c>
      <c r="E49" s="6" t="e">
        <f aca="false">AVERAGE(Greens!E99,Greens!F99,Greens!Q99,greens!#ref!)</f>
        <v>#NAME?</v>
      </c>
      <c r="F49" s="6" t="n">
        <f aca="false">Greens!O99</f>
        <v>0</v>
      </c>
    </row>
    <row r="50" customFormat="false" ht="15" hidden="false" customHeight="true" outlineLevel="0" collapsed="false">
      <c r="A50" s="83" t="s">
        <v>603</v>
      </c>
      <c r="B50" s="9" t="e">
        <f aca="false">AVERAGE(Greens!H105,Greens!I105,Greens!J105,Greens!L105,Greens!P105,Greens!R105,Greens!S105,Greens!T105,Greens!U105,Greens!V105,Greens!W105,Greens!X105,Greens!Y105,Greens!AB105,Greens!AC105,Greens!AD105,Greens!AG105)</f>
        <v>#DIV/0!</v>
      </c>
      <c r="C50" s="58" t="n">
        <f aca="false">AVERAGE(Greens!B105,Greens!C105,Greens!D105,Greens!G105,Greens!K105,Greens!M105,Greens!N105,Greens!AA105,Greens!AE105,Greens!AF105,Greens!AH105,Greens!AI105,Greens!AJ105,Greens!AK105,Greens!AL105,Greens!AM105,Greens!AR105,Greens!AS105)</f>
        <v>0.402857142857143</v>
      </c>
      <c r="D50" s="58" t="n">
        <f aca="false">AVERAGE(Greens!AN105,Greens!AO105,Greens!AP105,Greens!AQ105)</f>
        <v>0.325</v>
      </c>
      <c r="E50" s="6" t="e">
        <f aca="false">AVERAGE(Greens!E105,Greens!F105,Greens!Q105,greens!#ref!)</f>
        <v>#NAME?</v>
      </c>
      <c r="F50" s="6" t="n">
        <f aca="false">Greens!O105</f>
        <v>0</v>
      </c>
    </row>
    <row r="51" customFormat="false" ht="15" hidden="false" customHeight="true" outlineLevel="0" collapsed="false">
      <c r="A51" s="83" t="s">
        <v>604</v>
      </c>
      <c r="B51" s="9" t="e">
        <f aca="false">AVERAGE(Greens!H106,Greens!I106,Greens!J106,Greens!L106,Greens!P106,Greens!R106,Greens!S106,Greens!T106,Greens!U106,Greens!V106,Greens!W106,Greens!X106,Greens!Y106,Greens!AB106,Greens!AC106,Greens!AD106,Greens!AG106)</f>
        <v>#DIV/0!</v>
      </c>
      <c r="C51" s="58" t="n">
        <f aca="false">AVERAGE(Greens!B106,Greens!C106,Greens!D106,Greens!G106,Greens!K106,Greens!M106,Greens!N106,Greens!AA106,Greens!AE106,Greens!AF106,Greens!AH106,Greens!AI106,Greens!AJ106,Greens!AK106,Greens!AL106,Greens!AM106,Greens!AR106,Greens!AS106)</f>
        <v>-0.38</v>
      </c>
      <c r="D51" s="58" t="n">
        <f aca="false">AVERAGE(Greens!AN106,Greens!AO106,Greens!AP106,Greens!AQ106)</f>
        <v>-0.415</v>
      </c>
      <c r="E51" s="6" t="e">
        <f aca="false">AVERAGE(Greens!E106,Greens!F106,Greens!Q106,greens!#ref!)</f>
        <v>#NAME?</v>
      </c>
      <c r="F51" s="6" t="n">
        <f aca="false">Greens!O106</f>
        <v>0</v>
      </c>
    </row>
    <row r="52" customFormat="false" ht="15" hidden="false" customHeight="true" outlineLevel="0" collapsed="false">
      <c r="A52" s="83" t="s">
        <v>605</v>
      </c>
      <c r="B52" s="9" t="e">
        <f aca="false">AVERAGE(Greens!H108,Greens!I108,Greens!J108,Greens!L108,Greens!P108,Greens!R108,Greens!S108,Greens!T108,Greens!U108,Greens!V108,Greens!W108,Greens!X108,Greens!Y108,Greens!AB108,Greens!AC108,Greens!AD108,Greens!AG108)</f>
        <v>#DIV/0!</v>
      </c>
      <c r="C52" s="58" t="n">
        <f aca="false">AVERAGE(Greens!B108,Greens!C108,Greens!D108,Greens!G108,Greens!K108,Greens!M108,Greens!N108,Greens!AA108,Greens!AE108,Greens!AF108,Greens!AH108,Greens!AI108,Greens!AJ108,Greens!AK108,Greens!AL108,Greens!AM108,Greens!AR108,Greens!AS108)</f>
        <v>-0.665</v>
      </c>
      <c r="D52" s="9" t="e">
        <f aca="false">AVERAGE(Greens!AN108,Greens!AO108,Greens!AP108,Greens!AQ108)</f>
        <v>#DIV/0!</v>
      </c>
      <c r="E52" s="6" t="e">
        <f aca="false">AVERAGE(Greens!E108,Greens!F108,Greens!Q108,greens!#ref!)</f>
        <v>#NAME?</v>
      </c>
      <c r="F52" s="6" t="n">
        <f aca="false">Greens!O108</f>
        <v>0</v>
      </c>
    </row>
    <row r="53" customFormat="false" ht="15" hidden="false" customHeight="true" outlineLevel="0" collapsed="false">
      <c r="A53" s="83" t="s">
        <v>606</v>
      </c>
      <c r="B53" s="9" t="e">
        <f aca="false">AVERAGE(Greens!H110,Greens!I110,Greens!J110,Greens!L110,Greens!P110,Greens!R110,Greens!S110,Greens!T110,Greens!U110,Greens!V110,Greens!W110,Greens!X110,Greens!Y110,Greens!AB110,Greens!AC110,Greens!AD110,Greens!AG110)</f>
        <v>#DIV/0!</v>
      </c>
      <c r="C53" s="58" t="n">
        <f aca="false">AVERAGE(Greens!B110,Greens!C110,Greens!D110,Greens!G110,Greens!K110,Greens!M110,Greens!N110,Greens!AA110,Greens!AE110,Greens!AF110,Greens!AH110,Greens!AI110,Greens!AJ110,Greens!AK110,Greens!AL110,Greens!AM110,Greens!AR110,Greens!AS110)</f>
        <v>0.498571428571429</v>
      </c>
      <c r="D53" s="58" t="n">
        <f aca="false">AVERAGE(Greens!AN110,Greens!AO110,Greens!AP110,Greens!AQ110)</f>
        <v>-0.285</v>
      </c>
      <c r="E53" s="6" t="e">
        <f aca="false">AVERAGE(Greens!E110,Greens!F110,Greens!Q110,greens!#ref!)</f>
        <v>#NAME?</v>
      </c>
      <c r="F53" s="6" t="n">
        <f aca="false">Greens!O110</f>
        <v>0</v>
      </c>
    </row>
    <row r="54" customFormat="false" ht="15" hidden="false" customHeight="true" outlineLevel="0" collapsed="false">
      <c r="A54" s="83" t="s">
        <v>607</v>
      </c>
      <c r="B54" s="9" t="e">
        <f aca="false">AVERAGE(Greens!H112,Greens!I112,Greens!J112,Greens!L112,Greens!P112,Greens!R112,Greens!S112,Greens!T112,Greens!U112,Greens!V112,Greens!W112,Greens!X112,Greens!Y112,Greens!AB112,Greens!AC112,Greens!AD112,Greens!AG112)</f>
        <v>#DIV/0!</v>
      </c>
      <c r="C54" s="58" t="n">
        <f aca="false">AVERAGE(Greens!B112,Greens!C112,Greens!D112,Greens!G112,Greens!K112,Greens!M112,Greens!N112,Greens!AA112,Greens!AE112,Greens!AF112,Greens!AH112,Greens!AI112,Greens!AJ112,Greens!AK112,Greens!AL112,Greens!AM112,Greens!AR112,Greens!AS112)</f>
        <v>-0.201666666666667</v>
      </c>
      <c r="D54" s="58" t="n">
        <f aca="false">AVERAGE(Greens!AN112,Greens!AO112,Greens!AP112,Greens!AQ112)</f>
        <v>-0.27</v>
      </c>
      <c r="E54" s="6" t="e">
        <f aca="false">AVERAGE(Greens!E112,Greens!F112,Greens!Q112,greens!#ref!)</f>
        <v>#NAME?</v>
      </c>
      <c r="F54" s="6" t="n">
        <f aca="false">Greens!O112</f>
        <v>0</v>
      </c>
    </row>
    <row r="55" customFormat="false" ht="15" hidden="false" customHeight="true" outlineLevel="0" collapsed="false">
      <c r="A55" s="83" t="s">
        <v>608</v>
      </c>
      <c r="B55" s="9" t="e">
        <f aca="false">AVERAGE(Greens!H115,Greens!I115,Greens!J115,Greens!L115,Greens!P115,Greens!R115,Greens!S115,Greens!T115,Greens!U115,Greens!V115,Greens!W115,Greens!X115,Greens!Y115,Greens!AB115,Greens!AC115,Greens!AD115,Greens!AG115)</f>
        <v>#DIV/0!</v>
      </c>
      <c r="C55" s="58" t="n">
        <f aca="false">AVERAGE(Greens!B115,Greens!C115,Greens!D115,Greens!G115,Greens!K115,Greens!M115,Greens!N115,Greens!AA115,Greens!AE115,Greens!AF115,Greens!AH115,Greens!AI115,Greens!AJ115,Greens!AK115,Greens!AL115,Greens!AM115,Greens!AR115,Greens!AS115)</f>
        <v>-0.331428571428571</v>
      </c>
      <c r="D55" s="58" t="n">
        <f aca="false">AVERAGE(Greens!AN115,Greens!AO115,Greens!AP115,Greens!AQ115)</f>
        <v>-0.22</v>
      </c>
      <c r="E55" s="6" t="e">
        <f aca="false">AVERAGE(Greens!E115,Greens!F115,Greens!Q115,greens!#ref!)</f>
        <v>#NAME?</v>
      </c>
      <c r="F55" s="6" t="n">
        <f aca="false">Greens!O115</f>
        <v>0</v>
      </c>
    </row>
    <row r="56" customFormat="false" ht="15" hidden="false" customHeight="true" outlineLevel="0" collapsed="false">
      <c r="A56" s="83" t="s">
        <v>609</v>
      </c>
      <c r="B56" s="9" t="e">
        <f aca="false">AVERAGE(Greens!H117,Greens!I117,Greens!J117,Greens!L117,Greens!P117,Greens!R117,Greens!S117,Greens!T117,Greens!U117,Greens!V117,Greens!W117,Greens!X117,Greens!Y117,Greens!AB117,Greens!AC117,Greens!AD117,Greens!AG117)</f>
        <v>#DIV/0!</v>
      </c>
      <c r="C56" s="9" t="e">
        <f aca="false">AVERAGE(Greens!B117,Greens!C117,Greens!D117,Greens!G117,Greens!K117,Greens!M117,Greens!N117,Greens!AA117,Greens!AE117,Greens!AF117,Greens!AH117,Greens!AI117,Greens!AJ117,Greens!AK117,Greens!AL117,Greens!AM117,Greens!AR117,Greens!AS117)</f>
        <v>#DIV/0!</v>
      </c>
      <c r="D56" s="9" t="e">
        <f aca="false">AVERAGE(Greens!AN117,Greens!AO117,Greens!AP117,Greens!AQ117)</f>
        <v>#DIV/0!</v>
      </c>
      <c r="E56" s="6" t="e">
        <f aca="false">AVERAGE(Greens!E117,Greens!F117,Greens!Q117,greens!#ref!)</f>
        <v>#NAME?</v>
      </c>
      <c r="F56" s="6" t="n">
        <f aca="false">Greens!O117</f>
        <v>0</v>
      </c>
    </row>
    <row r="57" customFormat="false" ht="15" hidden="false" customHeight="true" outlineLevel="0" collapsed="false">
      <c r="A57" s="83" t="s">
        <v>610</v>
      </c>
      <c r="B57" s="9" t="e">
        <f aca="false">AVERAGE(Greens!H119,Greens!I119,Greens!J119,Greens!L119,Greens!P119,Greens!R119,Greens!S119,Greens!T119,Greens!U119,Greens!V119,Greens!W119,Greens!X119,Greens!Y119,Greens!AB119,Greens!AC119,Greens!AD119,Greens!AG119)</f>
        <v>#DIV/0!</v>
      </c>
      <c r="C57" s="9" t="e">
        <f aca="false">AVERAGE(Greens!B119,Greens!C119,Greens!D119,Greens!G119,Greens!K119,Greens!M119,Greens!N119,Greens!AA119,Greens!AE119,Greens!AF119,Greens!AH119,Greens!AI119,Greens!AJ119,Greens!AK119,Greens!AL119,Greens!AM119,Greens!AR119,Greens!AS119)</f>
        <v>#DIV/0!</v>
      </c>
      <c r="D57" s="9" t="e">
        <f aca="false">AVERAGE(Greens!AN119,Greens!AO119,Greens!AP119,Greens!AQ119)</f>
        <v>#DIV/0!</v>
      </c>
      <c r="E57" s="6" t="e">
        <f aca="false">AVERAGE(Greens!E119,Greens!F119,Greens!Q119,greens!#ref!)</f>
        <v>#NAME?</v>
      </c>
      <c r="F57" s="6" t="n">
        <f aca="false">Greens!O119</f>
        <v>0</v>
      </c>
    </row>
    <row r="58" customFormat="false" ht="15" hidden="false" customHeight="true" outlineLevel="0" collapsed="false">
      <c r="A58" s="83" t="s">
        <v>611</v>
      </c>
      <c r="B58" s="9" t="e">
        <f aca="false">AVERAGE(Greens!H120,Greens!I120,Greens!J120,Greens!L120,Greens!P120,Greens!R120,Greens!S120,Greens!T120,Greens!U120,Greens!V120,Greens!W120,Greens!X120,Greens!Y120,Greens!AB120,Greens!AC120,Greens!AD120,Greens!AG120)</f>
        <v>#DIV/0!</v>
      </c>
      <c r="C58" s="9" t="e">
        <f aca="false">AVERAGE(Greens!B120,Greens!C120,Greens!D120,Greens!G120,Greens!K120,Greens!M120,Greens!N120,Greens!AA120,Greens!AE120,Greens!AF120,Greens!AH120,Greens!AI120,Greens!AJ120,Greens!AK120,Greens!AL120,Greens!AM120,Greens!AR120,Greens!AS120)</f>
        <v>#DIV/0!</v>
      </c>
      <c r="D58" s="9" t="e">
        <f aca="false">AVERAGE(Greens!AN120,Greens!AO120,Greens!AP120,Greens!AQ120)</f>
        <v>#DIV/0!</v>
      </c>
      <c r="E58" s="6" t="e">
        <f aca="false">AVERAGE(Greens!E120,Greens!F120,Greens!Q120,greens!#ref!)</f>
        <v>#NAME?</v>
      </c>
      <c r="F58" s="6" t="n">
        <f aca="false">Greens!O120</f>
        <v>0</v>
      </c>
    </row>
    <row r="59" customFormat="false" ht="15" hidden="false" customHeight="true" outlineLevel="0" collapsed="false">
      <c r="A59" s="83" t="s">
        <v>612</v>
      </c>
      <c r="B59" s="9" t="e">
        <f aca="false">AVERAGE(Greens!H121,Greens!I121,Greens!J121,Greens!L121,Greens!P121,Greens!R121,Greens!S121,Greens!T121,Greens!U121,Greens!V121,Greens!W121,Greens!X121,Greens!Y121,Greens!AB121,Greens!AC121,Greens!AD121,Greens!AG121)</f>
        <v>#DIV/0!</v>
      </c>
      <c r="C59" s="58" t="n">
        <f aca="false">AVERAGE(Greens!B121,Greens!C121,Greens!D121,Greens!G121,Greens!K121,Greens!M121,Greens!N121,Greens!AA121,Greens!AE121,Greens!AF121,Greens!AH121,Greens!AI121,Greens!AJ121,Greens!AK121,Greens!AL121,Greens!AM121,Greens!AR121,Greens!AS121)</f>
        <v>0.776</v>
      </c>
      <c r="D59" s="58" t="n">
        <f aca="false">AVERAGE(Greens!AN121,Greens!AO121,Greens!AP121,Greens!AQ121)</f>
        <v>0.38</v>
      </c>
      <c r="E59" s="6" t="e">
        <f aca="false">AVERAGE(Greens!E121,Greens!F121,Greens!Q121,greens!#ref!)</f>
        <v>#NAME?</v>
      </c>
      <c r="F59" s="6" t="n">
        <f aca="false">Greens!O121</f>
        <v>0</v>
      </c>
    </row>
    <row r="60" customFormat="false" ht="15" hidden="false" customHeight="true" outlineLevel="0" collapsed="false">
      <c r="A60" s="83" t="s">
        <v>613</v>
      </c>
      <c r="B60" s="9" t="e">
        <f aca="false">AVERAGE(Greens!H122,Greens!I122,Greens!J122,Greens!L122,Greens!P122,Greens!R122,Greens!S122,Greens!T122,Greens!U122,Greens!V122,Greens!W122,Greens!X122,Greens!Y122,Greens!AB122,Greens!AC122,Greens!AD122,Greens!AG122)</f>
        <v>#DIV/0!</v>
      </c>
      <c r="C60" s="9" t="e">
        <f aca="false">AVERAGE(Greens!B122,Greens!C122,Greens!D122,Greens!G122,Greens!K122,Greens!M122,Greens!N122,Greens!AA122,Greens!AE122,Greens!AF122,Greens!AH122,Greens!AI122,Greens!AJ122,Greens!AK122,Greens!AL122,Greens!AM122,Greens!AR122,Greens!AS122)</f>
        <v>#DIV/0!</v>
      </c>
      <c r="D60" s="9" t="e">
        <f aca="false">AVERAGE(Greens!AN122,Greens!AO122,Greens!AP122,Greens!AQ122)</f>
        <v>#DIV/0!</v>
      </c>
      <c r="E60" s="6" t="e">
        <f aca="false">AVERAGE(Greens!E122,Greens!F122,Greens!Q122,greens!#ref!)</f>
        <v>#NAME?</v>
      </c>
      <c r="F60" s="6" t="n">
        <f aca="false">Greens!O123</f>
        <v>0</v>
      </c>
    </row>
    <row r="61" customFormat="false" ht="15" hidden="false" customHeight="true" outlineLevel="0" collapsed="false">
      <c r="A61" s="83" t="s">
        <v>614</v>
      </c>
      <c r="B61" s="9" t="e">
        <f aca="false">AVERAGE(Greens!H123,Greens!I123,Greens!J123,Greens!L123,Greens!P123,Greens!R123,Greens!S123,Greens!T123,Greens!U123,Greens!V123,Greens!W123,Greens!X123,Greens!Y123,Greens!AB123,Greens!AC123,Greens!AD123,Greens!AG123)</f>
        <v>#DIV/0!</v>
      </c>
      <c r="C61" s="9" t="e">
        <f aca="false">AVERAGE(Greens!B123,Greens!C123,Greens!D123,Greens!G123,Greens!K123,Greens!M123,Greens!N123,Greens!AA123,Greens!AE123,Greens!AF123,Greens!AH123,Greens!AI123,Greens!AJ123,Greens!AK123,Greens!AL123,Greens!AM123,Greens!AR123,Greens!AS123)</f>
        <v>#DIV/0!</v>
      </c>
      <c r="D61" s="9" t="e">
        <f aca="false">AVERAGE(Greens!AN123,Greens!AO123,Greens!AP123,Greens!AQ123)</f>
        <v>#DIV/0!</v>
      </c>
      <c r="E61" s="6" t="e">
        <f aca="false">AVERAGE(Greens!E123,Greens!F123,Greens!Q123,greens!#ref!)</f>
        <v>#NAME?</v>
      </c>
      <c r="F61" s="6" t="n">
        <f aca="false">Greens!O122</f>
        <v>0</v>
      </c>
    </row>
    <row r="62" customFormat="false" ht="15" hidden="false" customHeight="true" outlineLevel="0" collapsed="false">
      <c r="A62" s="83" t="s">
        <v>615</v>
      </c>
      <c r="B62" s="9" t="e">
        <f aca="false">AVERAGE(Greens!H124,Greens!I124,Greens!J124,Greens!L124,Greens!P124,Greens!R124,Greens!S124,Greens!T124,Greens!U124,Greens!V124,Greens!W124,Greens!X124,Greens!Y124,Greens!AB124,Greens!AC124,Greens!AD124,Greens!AG124)</f>
        <v>#DIV/0!</v>
      </c>
      <c r="C62" s="58" t="n">
        <f aca="false">AVERAGE(Greens!B124,Greens!C124,Greens!D124,Greens!G124,Greens!K124,Greens!M124,Greens!N124,Greens!AA124,Greens!AE124,Greens!AF124,Greens!AH124,Greens!AI124,Greens!AJ124,Greens!AK124,Greens!AL124,Greens!AM124,Greens!AR124,Greens!AS124)</f>
        <v>-1.776</v>
      </c>
      <c r="D62" s="58" t="n">
        <f aca="false">AVERAGE(Greens!AN124,Greens!AO124,Greens!AP124,Greens!AQ124)</f>
        <v>-0.11</v>
      </c>
      <c r="E62" s="6" t="e">
        <f aca="false">AVERAGE(Greens!E124,Greens!F124,Greens!Q124,greens!#ref!)</f>
        <v>#NAME?</v>
      </c>
      <c r="F62" s="6" t="n">
        <f aca="false">Greens!O124</f>
        <v>0</v>
      </c>
    </row>
    <row r="63" customFormat="false" ht="15" hidden="false" customHeight="true" outlineLevel="0" collapsed="false">
      <c r="A63" s="83" t="s">
        <v>616</v>
      </c>
      <c r="B63" s="9" t="e">
        <f aca="false">AVERAGE(Greens!H125,Greens!I125,Greens!J125,Greens!L125,Greens!P125,Greens!R125,Greens!S125,Greens!T125,Greens!U125,Greens!V125,Greens!W125,Greens!X125,Greens!Y125,Greens!AB125,Greens!AC125,Greens!AD125,Greens!AG125)</f>
        <v>#DIV/0!</v>
      </c>
      <c r="C63" s="58" t="n">
        <f aca="false">AVERAGE(Greens!B125,Greens!C125,Greens!D125,Greens!G125,Greens!K125,Greens!M125,Greens!N125,Greens!AA125,Greens!AE125,Greens!AF125,Greens!AH125,Greens!AI125,Greens!AJ125,Greens!AK125,Greens!AL125,Greens!AM125,Greens!AR125,Greens!AS125)</f>
        <v>-0.745</v>
      </c>
      <c r="D63" s="9" t="e">
        <f aca="false">AVERAGE(Greens!AN125,Greens!AO125,Greens!AP125,Greens!AQ125)</f>
        <v>#DIV/0!</v>
      </c>
      <c r="E63" s="6" t="e">
        <f aca="false">AVERAGE(Greens!E125,Greens!F125,Greens!Q125,greens!#ref!)</f>
        <v>#NAME?</v>
      </c>
      <c r="F63" s="6" t="n">
        <f aca="false">Greens!O125</f>
        <v>0</v>
      </c>
    </row>
    <row r="64" customFormat="false" ht="15" hidden="false" customHeight="true" outlineLevel="0" collapsed="false">
      <c r="A64" s="83" t="s">
        <v>617</v>
      </c>
      <c r="B64" s="9" t="e">
        <f aca="false">AVERAGE(Greens!H126,Greens!I126,Greens!J126,Greens!L126,Greens!P126,Greens!R126,Greens!S126,Greens!T126,Greens!U126,Greens!V126,Greens!W126,Greens!X126,Greens!Y126,Greens!AB126,Greens!AC126,Greens!AD126,Greens!AG126)</f>
        <v>#DIV/0!</v>
      </c>
      <c r="C64" s="58" t="n">
        <f aca="false">AVERAGE(Greens!B126,Greens!C126,Greens!D126,Greens!G126,Greens!K126,Greens!M126,Greens!N126,Greens!AA126,Greens!AE126,Greens!AF126,Greens!AH126,Greens!AI126,Greens!AJ126,Greens!AK126,Greens!AL126,Greens!AM126,Greens!AR126,Greens!AS126)</f>
        <v>0.176666666666667</v>
      </c>
      <c r="D64" s="58" t="n">
        <f aca="false">AVERAGE(Greens!AN126,Greens!AO126,Greens!AP126,Greens!AQ126)</f>
        <v>-1.165</v>
      </c>
      <c r="E64" s="6" t="e">
        <f aca="false">AVERAGE(Greens!E126,Greens!F126,Greens!Q126,greens!#ref!)</f>
        <v>#NAME?</v>
      </c>
      <c r="F64" s="6" t="n">
        <f aca="false">Greens!O126</f>
        <v>0</v>
      </c>
    </row>
    <row r="65" customFormat="false" ht="15" hidden="false" customHeight="true" outlineLevel="0" collapsed="false">
      <c r="A65" s="83" t="s">
        <v>618</v>
      </c>
      <c r="B65" s="9" t="e">
        <f aca="false">AVERAGE(Greens!H127,Greens!I127,Greens!J127,Greens!L127,Greens!P127,Greens!R127,Greens!S127,Greens!T127,Greens!U127,Greens!V127,Greens!W127,Greens!X127,Greens!Y127,Greens!AB127,Greens!AC127,Greens!AD127,Greens!AG127)</f>
        <v>#DIV/0!</v>
      </c>
      <c r="C65" s="58" t="n">
        <f aca="false">AVERAGE(Greens!B127,Greens!C127,Greens!D127,Greens!G127,Greens!K127,Greens!M127,Greens!N127,Greens!AA127,Greens!AE127,Greens!AF127,Greens!AH127,Greens!AI127,Greens!AJ127,Greens!AK127,Greens!AL127,Greens!AM127,Greens!AR127,Greens!AS127)</f>
        <v>-0.266666666666667</v>
      </c>
      <c r="D65" s="58" t="e">
        <f aca="false">AVERAGE(Greens!AN127,Greens!AO127,Greens!AP127,Greens!AQ127)</f>
        <v>#DIV/0!</v>
      </c>
      <c r="E65" s="6" t="e">
        <f aca="false">AVERAGE(Greens!E127,Greens!F127,Greens!Q127,greens!#ref!)</f>
        <v>#NAME?</v>
      </c>
      <c r="F65" s="6" t="n">
        <f aca="false">Greens!O127</f>
        <v>0</v>
      </c>
    </row>
    <row r="66" customFormat="false" ht="15" hidden="false" customHeight="true" outlineLevel="0" collapsed="false">
      <c r="A66" s="83" t="s">
        <v>619</v>
      </c>
      <c r="B66" s="9" t="e">
        <f aca="false">AVERAGE(Greens!H129,Greens!I129,Greens!J129,Greens!L129,Greens!P129,Greens!R129,Greens!S129,Greens!T129,Greens!U129,Greens!V129,Greens!W129,Greens!X129,Greens!Y129,Greens!AB129,Greens!AC129,Greens!AD129,Greens!AG129)</f>
        <v>#DIV/0!</v>
      </c>
      <c r="C66" s="58" t="n">
        <f aca="false">AVERAGE(Greens!B129,Greens!C129,Greens!D129,Greens!G129,Greens!K129,Greens!M129,Greens!N129,Greens!AA129,Greens!AE129,Greens!AF129,Greens!AH129,Greens!AI129,Greens!AJ129,Greens!AK129,Greens!AL129,Greens!AM129,Greens!AR129,Greens!AS129)</f>
        <v>0.025</v>
      </c>
      <c r="D66" s="58" t="n">
        <f aca="false">AVERAGE(Greens!AN129,Greens!AO129,Greens!AP129,Greens!AQ129)</f>
        <v>-1.145</v>
      </c>
      <c r="E66" s="6" t="e">
        <f aca="false">AVERAGE(Greens!E129,Greens!F129,Greens!Q129,greens!#ref!)</f>
        <v>#NAME?</v>
      </c>
      <c r="F66" s="6" t="n">
        <f aca="false">Greens!O129</f>
        <v>0</v>
      </c>
    </row>
    <row r="67" customFormat="false" ht="15" hidden="false" customHeight="true" outlineLevel="0" collapsed="false">
      <c r="A67" s="83" t="s">
        <v>620</v>
      </c>
      <c r="B67" s="9" t="e">
        <f aca="false">AVERAGE(Greens!H132,Greens!I132,Greens!J132,Greens!L132,Greens!P132,Greens!R132,Greens!S132,Greens!T132,Greens!U132,Greens!V132,Greens!W132,Greens!X132,Greens!Y132,Greens!AB132,Greens!AC132,Greens!AD132,Greens!AG132)</f>
        <v>#DIV/0!</v>
      </c>
      <c r="C67" s="9" t="e">
        <f aca="false">AVERAGE(Greens!B132,Greens!C132,Greens!D132,Greens!G132,Greens!K132,Greens!M132,Greens!N132,Greens!AA132,Greens!AE132,Greens!AF132,Greens!AH132,Greens!AI132,Greens!AJ132,Greens!AK132,Greens!AL132,Greens!AM132,Greens!AR132,Greens!AS132)</f>
        <v>#DIV/0!</v>
      </c>
      <c r="D67" s="58" t="n">
        <f aca="false">AVERAGE(Greens!AN132,Greens!AO132,Greens!AP132,Greens!AQ132)</f>
        <v>-0.505</v>
      </c>
      <c r="E67" s="6" t="e">
        <f aca="false">AVERAGE(Greens!E132,Greens!F132,Greens!Q132,greens!#ref!)</f>
        <v>#NAME?</v>
      </c>
      <c r="F67" s="6" t="n">
        <f aca="false">Greens!O132</f>
        <v>0</v>
      </c>
    </row>
    <row r="68" customFormat="false" ht="15" hidden="false" customHeight="true" outlineLevel="0" collapsed="false">
      <c r="A68" s="83" t="s">
        <v>621</v>
      </c>
      <c r="B68" s="9" t="e">
        <f aca="false">AVERAGE(Greens!H133,Greens!I133,Greens!J133,Greens!L133,Greens!P133,Greens!R133,Greens!S133,Greens!T133,Greens!U133,Greens!V133,Greens!W133,Greens!X133,Greens!Y133,Greens!AB133,Greens!AC133,Greens!AD133,Greens!AG133)</f>
        <v>#DIV/0!</v>
      </c>
      <c r="C68" s="58" t="n">
        <f aca="false">AVERAGE(Greens!B133,Greens!C133,Greens!D133,Greens!G133,Greens!K133,Greens!M133,Greens!N133,Greens!AA133,Greens!AE133,Greens!AF133,Greens!AH133,Greens!AI133,Greens!AJ133,Greens!AK133,Greens!AL133,Greens!AM133,Greens!AR133,Greens!AS133)</f>
        <v>-0.736666666666667</v>
      </c>
      <c r="D68" s="58" t="n">
        <f aca="false">AVERAGE(Greens!AN133,Greens!AO133,Greens!AP133,Greens!AQ133)</f>
        <v>0.25</v>
      </c>
      <c r="E68" s="6" t="e">
        <f aca="false">AVERAGE(Greens!E133,Greens!F133,Greens!Q133,greens!#ref!)</f>
        <v>#NAME?</v>
      </c>
      <c r="F68" s="6" t="n">
        <f aca="false">Greens!O133</f>
        <v>0</v>
      </c>
    </row>
    <row r="69" customFormat="false" ht="15" hidden="false" customHeight="true" outlineLevel="0" collapsed="false">
      <c r="A69" s="83" t="s">
        <v>622</v>
      </c>
      <c r="B69" s="9" t="e">
        <f aca="false">AVERAGE(Greens!H136,Greens!I136,Greens!J136,Greens!L136,Greens!P136,Greens!R136,Greens!S136,Greens!T136,Greens!U136,Greens!V136,Greens!W136,Greens!X136,Greens!Y136,Greens!AB136,Greens!AC136,Greens!AD136,Greens!AG136)</f>
        <v>#DIV/0!</v>
      </c>
      <c r="C69" s="58" t="n">
        <f aca="false">AVERAGE(Greens!B136,Greens!C136,Greens!D136,Greens!G136,Greens!K136,Greens!M136,Greens!N136,Greens!AA136,Greens!AE136,Greens!AF136,Greens!AH136,Greens!AI136,Greens!AJ136,Greens!AK136,Greens!AL136,Greens!AM136,Greens!AR136,Greens!AS136)</f>
        <v>0.421666666666667</v>
      </c>
      <c r="D69" s="58" t="n">
        <f aca="false">AVERAGE(Greens!AN136,Greens!AO136,Greens!AP136,Greens!AQ136)</f>
        <v>0.02</v>
      </c>
      <c r="E69" s="6" t="e">
        <f aca="false">AVERAGE(Greens!E136,Greens!F136,Greens!Q136,greens!#ref!)</f>
        <v>#NAME?</v>
      </c>
      <c r="F69" s="6" t="n">
        <f aca="false">Greens!O136</f>
        <v>0</v>
      </c>
    </row>
    <row r="70" customFormat="false" ht="15" hidden="false" customHeight="true" outlineLevel="0" collapsed="false">
      <c r="A70" s="83" t="s">
        <v>623</v>
      </c>
      <c r="B70" s="9" t="e">
        <f aca="false">AVERAGE(Greens!H137,Greens!I137,Greens!J137,Greens!L137,Greens!P137,Greens!R137,Greens!S137,Greens!T137,Greens!U137,Greens!V137,Greens!W137,Greens!X137,Greens!Y137,Greens!AB137,Greens!AC137,Greens!AD137,Greens!AG137)</f>
        <v>#DIV/0!</v>
      </c>
      <c r="C70" s="9" t="e">
        <f aca="false">AVERAGE(Greens!B137,Greens!C137,Greens!D137,Greens!G137,Greens!K137,Greens!M137,Greens!N137,Greens!AA137,Greens!AE137,Greens!AF137,Greens!AH137,Greens!AI137,Greens!AJ137,Greens!AK137,Greens!AL137,Greens!AM137,Greens!AR137,Greens!AS137)</f>
        <v>#DIV/0!</v>
      </c>
      <c r="D70" s="9" t="e">
        <f aca="false">AVERAGE(Greens!AN137,Greens!AO137,Greens!AP137,Greens!AQ137)</f>
        <v>#DIV/0!</v>
      </c>
      <c r="E70" s="6" t="e">
        <f aca="false">AVERAGE(Greens!E137,Greens!F137,Greens!Q137,greens!#ref!)</f>
        <v>#NAME?</v>
      </c>
      <c r="F70" s="6" t="n">
        <f aca="false">Greens!O137</f>
        <v>0</v>
      </c>
    </row>
    <row r="71" customFormat="false" ht="15" hidden="false" customHeight="true" outlineLevel="0" collapsed="false">
      <c r="A71" s="83" t="s">
        <v>624</v>
      </c>
      <c r="B71" s="9" t="e">
        <f aca="false">AVERAGE(Greens!H138,Greens!I138,Greens!J138,Greens!L138,Greens!P138,Greens!R138,Greens!S138,Greens!T138,Greens!U138,Greens!V138,Greens!W138,Greens!X138,Greens!Y138,Greens!AB138,Greens!AC138,Greens!AD138,Greens!AG138)</f>
        <v>#DIV/0!</v>
      </c>
      <c r="C71" s="9" t="e">
        <f aca="false">AVERAGE(Greens!B138,Greens!C138,Greens!D138,Greens!G138,Greens!K138,Greens!M138,Greens!N138,Greens!AA138,Greens!AE138,Greens!AF138,Greens!AH138,Greens!AI138,Greens!AJ138,Greens!AK138,Greens!AL138,Greens!AM138,Greens!AR138,Greens!AS138)</f>
        <v>#DIV/0!</v>
      </c>
      <c r="D71" s="9" t="e">
        <f aca="false">AVERAGE(Greens!AN138,Greens!AO138,Greens!AP138,Greens!AQ138)</f>
        <v>#DIV/0!</v>
      </c>
      <c r="E71" s="6" t="e">
        <f aca="false">AVERAGE(Greens!E138,Greens!F138,Greens!Q138,greens!#ref!)</f>
        <v>#NAME?</v>
      </c>
      <c r="F71" s="6" t="n">
        <f aca="false">Greens!O138</f>
        <v>0</v>
      </c>
    </row>
    <row r="72" customFormat="false" ht="15" hidden="false" customHeight="true" outlineLevel="0" collapsed="false">
      <c r="A72" s="83" t="s">
        <v>625</v>
      </c>
      <c r="B72" s="9" t="e">
        <f aca="false">AVERAGE(Greens!H146,Greens!I146,Greens!J146,Greens!L146,Greens!P146,Greens!R146,Greens!S146,Greens!T146,Greens!U146,Greens!V146,Greens!W146,Greens!X146,Greens!Y146,Greens!AB146,Greens!AC146,Greens!AD146,Greens!AG146)</f>
        <v>#DIV/0!</v>
      </c>
      <c r="C72" s="58" t="n">
        <f aca="false">AVERAGE(Greens!B146,Greens!C146,Greens!D146,Greens!G146,Greens!K146,Greens!M146,Greens!N146,Greens!AA146,Greens!AE146,Greens!AF146,Greens!AH146,Greens!AI146,Greens!AJ146,Greens!AK146,Greens!AL146,Greens!AM146,Greens!AR146,Greens!AS146)</f>
        <v>-0.425714285714286</v>
      </c>
      <c r="D72" s="58" t="n">
        <f aca="false">AVERAGE(Greens!AN146,Greens!AO146,Greens!AP146,Greens!AQ146)</f>
        <v>0.355</v>
      </c>
      <c r="E72" s="6" t="e">
        <f aca="false">AVERAGE(Greens!E146,Greens!F146,Greens!Q146,greens!#ref!)</f>
        <v>#NAME?</v>
      </c>
      <c r="F72" s="6" t="n">
        <f aca="false">Greens!O146</f>
        <v>0</v>
      </c>
    </row>
    <row r="73" customFormat="false" ht="15" hidden="false" customHeight="true" outlineLevel="0" collapsed="false">
      <c r="A73" s="83" t="s">
        <v>626</v>
      </c>
      <c r="B73" s="9" t="e">
        <f aca="false">AVERAGE(Greens!H148,Greens!I148,Greens!J148,Greens!L148,Greens!P148,Greens!R148,Greens!S148,Greens!T148,Greens!U148,Greens!V148,Greens!W148,Greens!X148,Greens!Y148,Greens!AB148,Greens!AC148,Greens!AD148,Greens!AG148)</f>
        <v>#DIV/0!</v>
      </c>
      <c r="C73" s="9" t="e">
        <f aca="false">AVERAGE(Greens!B148,Greens!C148,Greens!D148,Greens!G148,Greens!K148,Greens!M148,Greens!N148,Greens!AA148,Greens!AE148,Greens!AF148,Greens!AH148,Greens!AI148,Greens!AJ148,Greens!AK148,Greens!AL148,Greens!AM148,Greens!AR148,Greens!AS148)</f>
        <v>#DIV/0!</v>
      </c>
      <c r="D73" s="9" t="e">
        <f aca="false">AVERAGE(Greens!AN148,Greens!AO148,Greens!AP148,Greens!AQ148)</f>
        <v>#DIV/0!</v>
      </c>
      <c r="E73" s="6" t="e">
        <f aca="false">AVERAGE(Greens!E148,Greens!F148,Greens!Q148,greens!#ref!)</f>
        <v>#NAME?</v>
      </c>
      <c r="F73" s="6" t="n">
        <f aca="false">Greens!O148</f>
        <v>0</v>
      </c>
    </row>
    <row r="74" customFormat="false" ht="15" hidden="false" customHeight="true" outlineLevel="0" collapsed="false">
      <c r="A74" s="83" t="s">
        <v>627</v>
      </c>
      <c r="B74" s="9" t="e">
        <f aca="false">AVERAGE(Greens!H149,Greens!I149,Greens!J149,Greens!L149,Greens!P149,Greens!R149,Greens!S149,Greens!T149,Greens!U149,Greens!V149,Greens!W149,Greens!X149,Greens!Y149,Greens!AB149,Greens!AC149,Greens!AD149,Greens!AG149)</f>
        <v>#DIV/0!</v>
      </c>
      <c r="C74" s="9" t="e">
        <f aca="false">AVERAGE(Greens!B149,Greens!C149,Greens!D149,Greens!G149,Greens!K149,Greens!M149,Greens!N149,Greens!AA149,Greens!AE149,Greens!AF149,Greens!AH149,Greens!AI149,Greens!AJ149,Greens!AK149,Greens!AL149,Greens!AM149,Greens!AR149,Greens!AS149)</f>
        <v>#DIV/0!</v>
      </c>
      <c r="D74" s="9" t="e">
        <f aca="false">AVERAGE(Greens!AN149,Greens!AO149,Greens!AP149,Greens!AQ149)</f>
        <v>#DIV/0!</v>
      </c>
      <c r="E74" s="6" t="e">
        <f aca="false">AVERAGE(Greens!E149,Greens!F149,Greens!Q149,greens!#ref!)</f>
        <v>#NAME?</v>
      </c>
      <c r="F74" s="6" t="n">
        <f aca="false">Greens!O149</f>
        <v>0</v>
      </c>
    </row>
    <row r="75" customFormat="false" ht="15" hidden="false" customHeight="true" outlineLevel="0" collapsed="false">
      <c r="A75" s="83" t="s">
        <v>628</v>
      </c>
      <c r="B75" s="9" t="e">
        <f aca="false">AVERAGE(Greens!H150,Greens!I150,Greens!J150,Greens!L150,Greens!P150,Greens!R150,Greens!S150,Greens!T150,Greens!U150,Greens!V150,Greens!W150,Greens!X150,Greens!Y150,Greens!AB150,Greens!AC150,Greens!AD150,Greens!AG150)</f>
        <v>#DIV/0!</v>
      </c>
      <c r="C75" s="58" t="n">
        <f aca="false">AVERAGE(Greens!B150,Greens!C150,Greens!D150,Greens!G150,Greens!K150,Greens!M150,Greens!N150,Greens!AA150,Greens!AE150,Greens!AF150,Greens!AH150,Greens!AI150,Greens!AJ150,Greens!AK150,Greens!AL150,Greens!AM150,Greens!AR150,Greens!AS150)</f>
        <v>0.231666666666667</v>
      </c>
      <c r="D75" s="58" t="n">
        <f aca="false">AVERAGE(Greens!AN150,Greens!AO150,Greens!AP150,Greens!AQ150)</f>
        <v>0.05</v>
      </c>
      <c r="E75" s="6" t="e">
        <f aca="false">AVERAGE(Greens!E150,Greens!F150,Greens!Q150,greens!#ref!)</f>
        <v>#NAME?</v>
      </c>
      <c r="F75" s="6" t="n">
        <f aca="false">Greens!O150</f>
        <v>0</v>
      </c>
    </row>
    <row r="76" customFormat="false" ht="15" hidden="false" customHeight="true" outlineLevel="0" collapsed="false">
      <c r="A76" s="83" t="s">
        <v>629</v>
      </c>
      <c r="B76" s="9" t="e">
        <f aca="false">AVERAGE(Greens!H153,Greens!I153,Greens!J153,Greens!L153,Greens!P153,Greens!R153,Greens!S153,Greens!T153,Greens!U153,Greens!V153,Greens!W153,Greens!X153,Greens!Y153,Greens!AB153,Greens!AC153,Greens!AD153,Greens!AG153)</f>
        <v>#DIV/0!</v>
      </c>
      <c r="C76" s="9" t="n">
        <f aca="false">AVERAGE(Greens!B153,Greens!C153,Greens!D153,Greens!G153,Greens!K153,Greens!M153,Greens!N153,Greens!AA153,Greens!AE153,Greens!AF153,Greens!AH153,Greens!AI153,Greens!AJ153,Greens!AK153,Greens!AL153,Greens!AM153,Greens!AR153,Greens!AS153)</f>
        <v>-0.09</v>
      </c>
      <c r="D76" s="9" t="e">
        <f aca="false">AVERAGE(Greens!AN153,Greens!AO153,Greens!AP153,Greens!AQ153)</f>
        <v>#DIV/0!</v>
      </c>
      <c r="E76" s="6" t="e">
        <f aca="false">AVERAGE(Greens!E153,Greens!F153,Greens!Q153,greens!#ref!)</f>
        <v>#NAME?</v>
      </c>
      <c r="F76" s="6" t="n">
        <f aca="false">Greens!O153</f>
        <v>0</v>
      </c>
    </row>
    <row r="77" customFormat="false" ht="15" hidden="false" customHeight="true" outlineLevel="0" collapsed="false">
      <c r="A77" s="83" t="s">
        <v>630</v>
      </c>
      <c r="B77" s="9" t="e">
        <f aca="false">AVERAGE(Greens!H154,Greens!I154,Greens!J154,Greens!L154,Greens!P154,Greens!R154,Greens!S154,Greens!T154,Greens!U154,Greens!V154,Greens!W154,Greens!X154,Greens!Y154,Greens!AB154,Greens!AC154,Greens!AD154,Greens!AG154)</f>
        <v>#DIV/0!</v>
      </c>
      <c r="C77" s="58" t="n">
        <f aca="false">AVERAGE(Greens!B154,Greens!C154,Greens!D154,Greens!G154,Greens!K154,Greens!M154,Greens!N154,Greens!AA154,Greens!AE154,Greens!AF154,Greens!AH154,Greens!AI154,Greens!AJ154,Greens!AK154,Greens!AL154,Greens!AM154,Greens!AR154,Greens!AS154)</f>
        <v>-1.95666666666667</v>
      </c>
      <c r="D77" s="58" t="n">
        <f aca="false">AVERAGE(Greens!AN154,Greens!AO154,Greens!AP154,Greens!AQ154)</f>
        <v>0.03</v>
      </c>
      <c r="E77" s="6" t="e">
        <f aca="false">AVERAGE(Greens!E154,Greens!F154,Greens!Q154,greens!#ref!)</f>
        <v>#NAME?</v>
      </c>
      <c r="F77" s="6" t="n">
        <f aca="false">Greens!O154</f>
        <v>0</v>
      </c>
    </row>
    <row r="78" customFormat="false" ht="15" hidden="false" customHeight="true" outlineLevel="0" collapsed="false">
      <c r="A78" s="83" t="s">
        <v>631</v>
      </c>
      <c r="B78" s="9" t="e">
        <f aca="false">AVERAGE(Greens!H156,Greens!I156,Greens!J156,Greens!L156,Greens!P156,Greens!R156,Greens!S156,Greens!T156,Greens!U156,Greens!V156,Greens!W156,Greens!X156,Greens!Y156,Greens!AB156,Greens!AC156,Greens!AD156,Greens!AG156)</f>
        <v>#DIV/0!</v>
      </c>
      <c r="C78" s="9" t="e">
        <f aca="false">AVERAGE(Greens!B156,Greens!C156,Greens!D156,Greens!G156,Greens!K156,Greens!M156,Greens!N156,Greens!AA156,Greens!AE156,Greens!AF156,Greens!AH156,Greens!AI156,Greens!AJ156,Greens!AK156,Greens!AL156,Greens!AM156,Greens!AR156,Greens!AS156)</f>
        <v>#DIV/0!</v>
      </c>
      <c r="D78" s="9" t="e">
        <f aca="false">AVERAGE(Greens!AN156,Greens!AO156,Greens!AP156,Greens!AQ156)</f>
        <v>#DIV/0!</v>
      </c>
      <c r="E78" s="6" t="e">
        <f aca="false">AVERAGE(Greens!E156,Greens!F156,Greens!Q156,greens!#ref!)</f>
        <v>#NAME?</v>
      </c>
      <c r="F78" s="6" t="n">
        <f aca="false">Greens!O156</f>
        <v>0</v>
      </c>
    </row>
    <row r="79" customFormat="false" ht="15" hidden="false" customHeight="true" outlineLevel="0" collapsed="false">
      <c r="A79" s="83" t="s">
        <v>632</v>
      </c>
      <c r="B79" s="9" t="e">
        <f aca="false">AVERAGE(Greens!H159,Greens!I159,Greens!J159,Greens!L159,Greens!P159,Greens!R159,Greens!S159,Greens!T159,Greens!U159,Greens!V159,Greens!W159,Greens!X159,Greens!Y159,Greens!AB159,Greens!AC159,Greens!AD159,Greens!AG159)</f>
        <v>#DIV/0!</v>
      </c>
      <c r="C79" s="9" t="e">
        <f aca="false">AVERAGE(Greens!B159,Greens!C159,Greens!D159,Greens!G159,Greens!K159,Greens!M159,Greens!N159,Greens!AA159,Greens!AE159,Greens!AF159,Greens!AH159,Greens!AI159,Greens!AJ159,Greens!AK159,Greens!AL159,Greens!AM159,Greens!AR159,Greens!AS159)</f>
        <v>#DIV/0!</v>
      </c>
      <c r="D79" s="9" t="e">
        <f aca="false">AVERAGE(Greens!AN159,Greens!AO159,Greens!AP159,Greens!AQ159)</f>
        <v>#DIV/0!</v>
      </c>
      <c r="E79" s="6" t="e">
        <f aca="false">AVERAGE(Greens!E159,Greens!F159,Greens!Q159,greens!#ref!)</f>
        <v>#NAME?</v>
      </c>
      <c r="F79" s="6" t="n">
        <f aca="false">Greens!O159</f>
        <v>0</v>
      </c>
    </row>
    <row r="80" customFormat="false" ht="15" hidden="false" customHeight="true" outlineLevel="0" collapsed="false">
      <c r="A80" s="83" t="s">
        <v>633</v>
      </c>
      <c r="B80" s="9" t="e">
        <f aca="false">AVERAGE(Greens!H160,Greens!I160,Greens!J160,Greens!L160,Greens!P160,Greens!R160,Greens!S160,Greens!T160,Greens!U160,Greens!V160,Greens!W160,Greens!X160,Greens!Y160,Greens!AB160,Greens!AC160,Greens!AD160,Greens!AG160)</f>
        <v>#DIV/0!</v>
      </c>
      <c r="C80" s="9" t="n">
        <f aca="false">AVERAGE(Greens!B160,Greens!C160,Greens!D160,Greens!G160,Greens!K160,Greens!M160,Greens!N160,Greens!AA160,Greens!AE160,Greens!AF160,Greens!AH160,Greens!AI160,Greens!AJ160,Greens!AK160,Greens!AL160,Greens!AM160,Greens!AR160,Greens!AS160)</f>
        <v>0.1</v>
      </c>
      <c r="D80" s="58" t="n">
        <f aca="false">AVERAGE(Greens!AN160,Greens!AO160,Greens!AP160,Greens!AQ160)</f>
        <v>-1.32</v>
      </c>
      <c r="E80" s="6" t="e">
        <f aca="false">AVERAGE(Greens!E160,Greens!F160,Greens!Q160,greens!#ref!)</f>
        <v>#NAME?</v>
      </c>
      <c r="F80" s="6" t="n">
        <f aca="false">Greens!O160</f>
        <v>0</v>
      </c>
    </row>
    <row r="81" customFormat="false" ht="15" hidden="false" customHeight="true" outlineLevel="0" collapsed="false">
      <c r="A81" s="83" t="s">
        <v>634</v>
      </c>
      <c r="B81" s="9" t="e">
        <f aca="false">AVERAGE(Greens!H162,Greens!I162,Greens!J162,Greens!L162,Greens!P162,Greens!R162,Greens!S162,Greens!T162,Greens!U162,Greens!V162,Greens!W162,Greens!X162,Greens!Y162,Greens!AB162,Greens!AC162,Greens!AD162,Greens!AG162)</f>
        <v>#DIV/0!</v>
      </c>
      <c r="C81" s="58" t="n">
        <f aca="false">AVERAGE(Greens!B162,Greens!C162,Greens!D162,Greens!G162,Greens!K162,Greens!M162,Greens!N162,Greens!AA162,Greens!AE162,Greens!AF162,Greens!AH162,Greens!AI162,Greens!AJ162,Greens!AK162,Greens!AL162,Greens!AM162,Greens!AR162,Greens!AS162)</f>
        <v>0.02</v>
      </c>
      <c r="D81" s="58" t="n">
        <f aca="false">AVERAGE(Greens!AN162,Greens!AO162,Greens!AP162,Greens!AQ162)</f>
        <v>-0.275</v>
      </c>
      <c r="E81" s="6" t="e">
        <f aca="false">AVERAGE(Greens!E162,Greens!F162,Greens!Q162,greens!#ref!)</f>
        <v>#NAME?</v>
      </c>
      <c r="F81" s="6" t="n">
        <f aca="false">Greens!O162</f>
        <v>0</v>
      </c>
    </row>
    <row r="82" customFormat="false" ht="15" hidden="false" customHeight="true" outlineLevel="0" collapsed="false">
      <c r="A82" s="83" t="s">
        <v>635</v>
      </c>
      <c r="B82" s="9" t="e">
        <f aca="false">AVERAGE(Greens!H163,Greens!I163,Greens!J163,Greens!L163,Greens!P163,Greens!R163,Greens!S163,Greens!T163,Greens!U163,Greens!V163,Greens!W163,Greens!X163,Greens!Y163,Greens!AB163,Greens!AC163,Greens!AD163,Greens!AG163)</f>
        <v>#DIV/0!</v>
      </c>
      <c r="C82" s="58" t="n">
        <f aca="false">AVERAGE(Greens!B163,Greens!C163,Greens!D163,Greens!G163,Greens!K163,Greens!M163,Greens!N163,Greens!AA163,Greens!AE163,Greens!AF163,Greens!AH163,Greens!AI163,Greens!AJ163,Greens!AK163,Greens!AL163,Greens!AM163,Greens!AR163,Greens!AS163)</f>
        <v>-0.372</v>
      </c>
      <c r="D82" s="58" t="n">
        <f aca="false">AVERAGE(Greens!AN163,Greens!AO163,Greens!AP163,Greens!AQ163)</f>
        <v>-1.415</v>
      </c>
      <c r="E82" s="6" t="e">
        <f aca="false">AVERAGE(Greens!E163,Greens!F163,Greens!Q163,greens!#ref!)</f>
        <v>#NAME?</v>
      </c>
      <c r="F82" s="6" t="n">
        <f aca="false">Greens!O163</f>
        <v>0</v>
      </c>
    </row>
    <row r="83" customFormat="false" ht="15" hidden="false" customHeight="true" outlineLevel="0" collapsed="false">
      <c r="A83" s="83" t="s">
        <v>636</v>
      </c>
      <c r="B83" s="9" t="e">
        <f aca="false">AVERAGE(Greens!H164,Greens!I164,Greens!J164,Greens!L164,Greens!P164,Greens!R164,Greens!S164,Greens!T164,Greens!U164,Greens!V164,Greens!W164,Greens!X164,Greens!Y164,Greens!AB164,Greens!AC164,Greens!AD164,Greens!AG164)</f>
        <v>#DIV/0!</v>
      </c>
      <c r="C83" s="9" t="e">
        <f aca="false">AVERAGE(Greens!B164,Greens!C164,Greens!D164,Greens!G164,Greens!K164,Greens!M164,Greens!N164,Greens!AA164,Greens!AE164,Greens!AF164,Greens!AH164,Greens!AI164,Greens!AJ164,Greens!AK164,Greens!AL164,Greens!AM164,Greens!AR164,Greens!AS164)</f>
        <v>#DIV/0!</v>
      </c>
      <c r="D83" s="9" t="e">
        <f aca="false">AVERAGE(Greens!AN164,Greens!AO164,Greens!AP164,Greens!AQ164)</f>
        <v>#DIV/0!</v>
      </c>
      <c r="E83" s="6" t="e">
        <f aca="false">AVERAGE(Greens!E164,Greens!F164,Greens!Q164,greens!#ref!)</f>
        <v>#NAME?</v>
      </c>
      <c r="F83" s="6" t="n">
        <f aca="false">Greens!O164</f>
        <v>0</v>
      </c>
    </row>
    <row r="84" customFormat="false" ht="15" hidden="false" customHeight="true" outlineLevel="0" collapsed="false">
      <c r="A84" s="83" t="s">
        <v>637</v>
      </c>
      <c r="B84" s="9" t="e">
        <f aca="false">AVERAGE(Greens!H166,Greens!I166,Greens!J166,Greens!L166,Greens!P166,Greens!R166,Greens!S166,Greens!T166,Greens!U166,Greens!V166,Greens!W166,Greens!X166,Greens!Y166,Greens!AB166,Greens!AC166,Greens!AD166,Greens!AG166)</f>
        <v>#DIV/0!</v>
      </c>
      <c r="C84" s="9" t="n">
        <f aca="false">AVERAGE(Greens!B166,Greens!C166,Greens!D166,Greens!G166,Greens!K166,Greens!M166,Greens!N166,Greens!AA166,Greens!AE166,Greens!AF166,Greens!AH166,Greens!AI166,Greens!AJ166,Greens!AK166,Greens!AL166,Greens!AM166,Greens!AR166,Greens!AS166)</f>
        <v>-0.19</v>
      </c>
      <c r="D84" s="9" t="e">
        <f aca="false">AVERAGE(Greens!AN166,Greens!AO166,Greens!AP166,Greens!AQ166)</f>
        <v>#DIV/0!</v>
      </c>
      <c r="E84" s="6" t="e">
        <f aca="false">AVERAGE(Greens!E166,Greens!F166,Greens!Q166,greens!#ref!)</f>
        <v>#NAME?</v>
      </c>
      <c r="F84" s="6" t="n">
        <f aca="false">Greens!O166</f>
        <v>0</v>
      </c>
    </row>
    <row r="85" customFormat="false" ht="15" hidden="false" customHeight="true" outlineLevel="0" collapsed="false">
      <c r="A85" s="83" t="s">
        <v>435</v>
      </c>
      <c r="B8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85" s="9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85" s="9" t="e">
        <f aca="false">AVERAGE(Greens!AN242,Greens!AO242,Greens!AP242,Greens!AQ242)</f>
        <v>#DIV/0!</v>
      </c>
      <c r="E85" s="6" t="e">
        <f aca="false">AVERAGE(Greens!E242,Greens!F242,Greens!Q242,greens!#ref!)</f>
        <v>#NAME?</v>
      </c>
      <c r="F85" s="6" t="n">
        <f aca="false">Greens!O242</f>
        <v>0</v>
      </c>
    </row>
    <row r="86" customFormat="false" ht="15" hidden="false" customHeight="true" outlineLevel="0" collapsed="false">
      <c r="A86" s="83" t="s">
        <v>638</v>
      </c>
      <c r="B86" s="9" t="e">
        <f aca="false">AVERAGE(Greens!H168,Greens!I168,Greens!J168,Greens!L168,Greens!P168,Greens!R168,Greens!S168,Greens!T168,Greens!U168,Greens!V168,Greens!W168,Greens!X168,Greens!Y168,Greens!AB168,Greens!AC168,Greens!AD168,Greens!AG168)</f>
        <v>#DIV/0!</v>
      </c>
      <c r="C86" s="9" t="n">
        <f aca="false">AVERAGE(Greens!B168,Greens!C168,Greens!D168,Greens!G168,Greens!K168,Greens!M168,Greens!N168,Greens!AA168,Greens!AE168,Greens!AF168,Greens!AH168,Greens!AI168,Greens!AJ168,Greens!AK168,Greens!AL168,Greens!AM168,Greens!AR168,Greens!AS168)</f>
        <v>0.51</v>
      </c>
      <c r="D86" s="58" t="n">
        <f aca="false">AVERAGE(Greens!AN168,Greens!AO168,Greens!AP168,Greens!AQ168)</f>
        <v>0.21</v>
      </c>
      <c r="E86" s="6" t="e">
        <f aca="false">AVERAGE(Greens!E168,Greens!F168,Greens!Q168,greens!#ref!)</f>
        <v>#NAME?</v>
      </c>
      <c r="F86" s="6" t="n">
        <f aca="false">Greens!O168</f>
        <v>0</v>
      </c>
    </row>
    <row r="87" customFormat="false" ht="15" hidden="false" customHeight="true" outlineLevel="0" collapsed="false">
      <c r="A87" s="83" t="s">
        <v>639</v>
      </c>
      <c r="B87" s="9" t="e">
        <f aca="false">AVERAGE(Greens!H169,Greens!I169,Greens!J169,Greens!L169,Greens!P169,Greens!R169,Greens!S169,Greens!T169,Greens!U169,Greens!V169,Greens!W169,Greens!X169,Greens!Y169,Greens!AB169,Greens!AC169,Greens!AD169,Greens!AG169)</f>
        <v>#DIV/0!</v>
      </c>
      <c r="C87" s="58" t="n">
        <f aca="false">AVERAGE(Greens!B169,Greens!C169,Greens!D169,Greens!G169,Greens!K169,Greens!M169,Greens!N169,Greens!AA169,Greens!AE169,Greens!AF169,Greens!AH169,Greens!AI169,Greens!AJ169,Greens!AK169,Greens!AL169,Greens!AM169,Greens!AR169,Greens!AS169)</f>
        <v>0.65</v>
      </c>
      <c r="D87" s="58" t="n">
        <f aca="false">AVERAGE(Greens!AN169,Greens!AO169,Greens!AP169,Greens!AQ169)</f>
        <v>0.25</v>
      </c>
      <c r="E87" s="6" t="e">
        <f aca="false">AVERAGE(Greens!E169,Greens!F169,Greens!Q169,greens!#ref!)</f>
        <v>#NAME?</v>
      </c>
      <c r="F87" s="6" t="n">
        <f aca="false">Greens!O169</f>
        <v>0</v>
      </c>
    </row>
    <row r="88" customFormat="false" ht="15" hidden="false" customHeight="true" outlineLevel="0" collapsed="false">
      <c r="A88" s="83" t="s">
        <v>640</v>
      </c>
      <c r="B88" s="9" t="e">
        <f aca="false">AVERAGE(Greens!H172,Greens!I172,Greens!J172,Greens!L172,Greens!P172,Greens!R172,Greens!S172,Greens!T172,Greens!U172,Greens!V172,Greens!W172,Greens!X172,Greens!Y172,Greens!AB172,Greens!AC172,Greens!AD172,Greens!AG172)</f>
        <v>#DIV/0!</v>
      </c>
      <c r="C88" s="9" t="e">
        <f aca="false">AVERAGE(Greens!B172,Greens!C172,Greens!D172,Greens!G172,Greens!K172,Greens!M172,Greens!N172,Greens!AA172,Greens!AE172,Greens!AF172,Greens!AH172,Greens!AI172,Greens!AJ172,Greens!AK172,Greens!AL172,Greens!AM172,Greens!AR172,Greens!AS172)</f>
        <v>#DIV/0!</v>
      </c>
      <c r="D88" s="9" t="e">
        <f aca="false">AVERAGE(Greens!AN172,Greens!AO172,Greens!AP172,Greens!AQ172)</f>
        <v>#DIV/0!</v>
      </c>
      <c r="E88" s="6" t="e">
        <f aca="false">AVERAGE(Greens!E172,Greens!F172,Greens!Q172,greens!#ref!)</f>
        <v>#NAME?</v>
      </c>
      <c r="F88" s="6" t="n">
        <f aca="false">Greens!O172</f>
        <v>0</v>
      </c>
    </row>
    <row r="89" customFormat="false" ht="15" hidden="false" customHeight="true" outlineLevel="0" collapsed="false">
      <c r="A89" s="83" t="s">
        <v>641</v>
      </c>
      <c r="B89" s="9" t="e">
        <f aca="false">AVERAGE(Greens!H173,Greens!I173,Greens!J173,Greens!L173,Greens!P173,Greens!R173,Greens!S173,Greens!T173,Greens!U173,Greens!V173,Greens!W173,Greens!X173,Greens!Y173,Greens!AB173,Greens!AC173,Greens!AD173,Greens!AG173)</f>
        <v>#DIV/0!</v>
      </c>
      <c r="C89" s="9" t="n">
        <f aca="false">AVERAGE(Greens!B173,Greens!C173,Greens!D173,Greens!G173,Greens!K173,Greens!M173,Greens!N173,Greens!AA173,Greens!AE173,Greens!AF173,Greens!AH173,Greens!AI173,Greens!AJ173,Greens!AK173,Greens!AL173,Greens!AM173,Greens!AR173,Greens!AS173)</f>
        <v>-0.56</v>
      </c>
      <c r="D89" s="9" t="e">
        <f aca="false">AVERAGE(Greens!AN173,Greens!AO173,Greens!AP173,Greens!AQ173)</f>
        <v>#DIV/0!</v>
      </c>
      <c r="E89" s="6" t="e">
        <f aca="false">AVERAGE(Greens!E173,Greens!F173,Greens!Q173,greens!#ref!)</f>
        <v>#NAME?</v>
      </c>
      <c r="F89" s="6" t="n">
        <f aca="false">Greens!O173</f>
        <v>0</v>
      </c>
    </row>
    <row r="90" customFormat="false" ht="15" hidden="false" customHeight="true" outlineLevel="0" collapsed="false">
      <c r="A90" s="83" t="s">
        <v>642</v>
      </c>
      <c r="B90" s="9" t="e">
        <f aca="false">AVERAGE(Greens!H174,Greens!I174,Greens!J174,Greens!L174,Greens!P174,Greens!R174,Greens!S174,Greens!T174,Greens!U174,Greens!V174,Greens!W174,Greens!X174,Greens!Y174,Greens!AB174,Greens!AC174,Greens!AD174,Greens!AG174)</f>
        <v>#DIV/0!</v>
      </c>
      <c r="C90" s="58" t="n">
        <f aca="false">AVERAGE(Greens!B174,Greens!C174,Greens!D174,Greens!G174,Greens!K174,Greens!M174,Greens!N174,Greens!AA174,Greens!AE174,Greens!AF174,Greens!AH174,Greens!AI174,Greens!AJ174,Greens!AK174,Greens!AL174,Greens!AM174,Greens!AR174,Greens!AS174)</f>
        <v>-0.194285714285714</v>
      </c>
      <c r="D90" s="58" t="n">
        <f aca="false">AVERAGE(Greens!AN174,Greens!AO174,Greens!AP174,Greens!AQ174)</f>
        <v>1.165</v>
      </c>
      <c r="E90" s="6" t="e">
        <f aca="false">AVERAGE(Greens!E174,Greens!F174,Greens!Q174,greens!#ref!)</f>
        <v>#NAME?</v>
      </c>
      <c r="F90" s="6" t="n">
        <f aca="false">Greens!O174</f>
        <v>0</v>
      </c>
    </row>
    <row r="91" customFormat="false" ht="15" hidden="false" customHeight="true" outlineLevel="0" collapsed="false">
      <c r="A91" s="83" t="s">
        <v>643</v>
      </c>
      <c r="B91" s="9" t="e">
        <f aca="false">AVERAGE(Greens!H175,Greens!I175,Greens!J175,Greens!L175,Greens!P175,Greens!R175,Greens!S175,Greens!T175,Greens!U175,Greens!V175,Greens!W175,Greens!X175,Greens!Y175,Greens!AB175,Greens!AC175,Greens!AD175,Greens!AG175)</f>
        <v>#DIV/0!</v>
      </c>
      <c r="C91" s="9" t="e">
        <f aca="false">AVERAGE(Greens!B175,Greens!C175,Greens!D175,Greens!G175,Greens!K175,Greens!M175,Greens!N175,Greens!AA175,Greens!AE175,Greens!AF175,Greens!AH175,Greens!AI175,Greens!AJ175,Greens!AK175,Greens!AL175,Greens!AM175,Greens!AR175,Greens!AS175)</f>
        <v>#DIV/0!</v>
      </c>
      <c r="D91" s="9" t="e">
        <f aca="false">AVERAGE(Greens!AN175,Greens!AO175,Greens!AP175,Greens!AQ175)</f>
        <v>#DIV/0!</v>
      </c>
      <c r="E91" s="6" t="e">
        <f aca="false">AVERAGE(Greens!E175,Greens!F175,Greens!Q175,greens!#ref!)</f>
        <v>#NAME?</v>
      </c>
      <c r="F91" s="6" t="n">
        <f aca="false">Greens!O175</f>
        <v>0</v>
      </c>
    </row>
    <row r="92" customFormat="false" ht="15" hidden="false" customHeight="true" outlineLevel="0" collapsed="false">
      <c r="A92" s="83" t="s">
        <v>644</v>
      </c>
      <c r="B92" s="9" t="e">
        <f aca="false">AVERAGE(Greens!H178,Greens!I178,Greens!J178,Greens!L178,Greens!P178,Greens!R178,Greens!S178,Greens!T178,Greens!U178,Greens!V178,Greens!W178,Greens!X178,Greens!Y178,Greens!AB178,Greens!AC178,Greens!AD178,Greens!AG178)</f>
        <v>#DIV/0!</v>
      </c>
      <c r="C92" s="58" t="n">
        <f aca="false">AVERAGE(Greens!B178,Greens!C178,Greens!D178,Greens!G178,Greens!K178,Greens!M178,Greens!N178,Greens!AA178,Greens!AE178,Greens!AF178,Greens!AH178,Greens!AI178,Greens!AJ178,Greens!AK178,Greens!AL178,Greens!AM178,Greens!AR178,Greens!AS178)</f>
        <v>-0.232857142857143</v>
      </c>
      <c r="D92" s="58" t="n">
        <f aca="false">AVERAGE(Greens!AN178,Greens!AO178,Greens!AP178,Greens!AQ178)</f>
        <v>2.22</v>
      </c>
      <c r="E92" s="6" t="e">
        <f aca="false">AVERAGE(Greens!E178,Greens!F178,Greens!Q178,greens!#ref!)</f>
        <v>#NAME?</v>
      </c>
      <c r="F92" s="6" t="n">
        <f aca="false">Greens!O178</f>
        <v>0</v>
      </c>
    </row>
    <row r="93" customFormat="false" ht="15" hidden="false" customHeight="true" outlineLevel="0" collapsed="false">
      <c r="A93" s="83" t="s">
        <v>645</v>
      </c>
      <c r="B93" s="9" t="e">
        <f aca="false">AVERAGE(Greens!H182,Greens!I182,Greens!J182,Greens!L182,Greens!P182,Greens!R182,Greens!S182,Greens!T182,Greens!U182,Greens!V182,Greens!W182,Greens!X182,Greens!Y182,Greens!AB182,Greens!AC182,Greens!AD182,Greens!AG182)</f>
        <v>#DIV/0!</v>
      </c>
      <c r="C93" s="58" t="n">
        <f aca="false">AVERAGE(Greens!B182,Greens!C182,Greens!D182,Greens!G182,Greens!K182,Greens!M182,Greens!N182,Greens!AA182,Greens!AE182,Greens!AF182,Greens!AH182,Greens!AI182,Greens!AJ182,Greens!AK182,Greens!AL182,Greens!AM182,Greens!AR182,Greens!AS182)</f>
        <v>0.43</v>
      </c>
      <c r="D93" s="58" t="n">
        <f aca="false">AVERAGE(Greens!AN182,Greens!AO182,Greens!AP182,Greens!AQ182)</f>
        <v>1.765</v>
      </c>
      <c r="E93" s="6" t="e">
        <f aca="false">AVERAGE(Greens!E182,Greens!F182,Greens!Q182,greens!#ref!)</f>
        <v>#NAME?</v>
      </c>
      <c r="F93" s="6" t="n">
        <f aca="false">Greens!O182</f>
        <v>0</v>
      </c>
    </row>
    <row r="94" customFormat="false" ht="15" hidden="false" customHeight="true" outlineLevel="0" collapsed="false">
      <c r="A94" s="83" t="s">
        <v>646</v>
      </c>
      <c r="B94" s="9" t="e">
        <f aca="false">AVERAGE(Greens!H183,Greens!I183,Greens!J183,Greens!L183,Greens!P183,Greens!R183,Greens!S183,Greens!T183,Greens!U183,Greens!V183,Greens!W183,Greens!X183,Greens!Y183,Greens!AB183,Greens!AC183,Greens!AD183,Greens!AG183)</f>
        <v>#DIV/0!</v>
      </c>
      <c r="C94" s="9" t="e">
        <f aca="false">AVERAGE(Greens!B183,Greens!C183,Greens!D183,Greens!G183,Greens!K183,Greens!M183,Greens!N183,Greens!AA183,Greens!AE183,Greens!AF183,Greens!AH183,Greens!AI183,Greens!AJ183,Greens!AK183,Greens!AL183,Greens!AM183,Greens!AR183,Greens!AS183)</f>
        <v>#DIV/0!</v>
      </c>
      <c r="D94" s="9" t="e">
        <f aca="false">AVERAGE(Greens!AN183,Greens!AO183,Greens!AP183,Greens!AQ183)</f>
        <v>#DIV/0!</v>
      </c>
      <c r="E94" s="6" t="e">
        <f aca="false">AVERAGE(Greens!E183,Greens!F183,Greens!Q183,greens!#ref!)</f>
        <v>#NAME?</v>
      </c>
      <c r="F94" s="6" t="n">
        <f aca="false">Greens!O183</f>
        <v>0</v>
      </c>
    </row>
    <row r="95" customFormat="false" ht="15" hidden="false" customHeight="true" outlineLevel="0" collapsed="false">
      <c r="A95" s="83" t="s">
        <v>647</v>
      </c>
      <c r="B95" s="9" t="e">
        <f aca="false">AVERAGE(Greens!H186,Greens!I186,Greens!J186,Greens!L186,Greens!P186,Greens!R186,Greens!S186,Greens!T186,Greens!U186,Greens!V186,Greens!W186,Greens!X186,Greens!Y186,Greens!AB186,Greens!AC186,Greens!AD186,Greens!AG186)</f>
        <v>#DIV/0!</v>
      </c>
      <c r="C95" s="9" t="e">
        <f aca="false">AVERAGE(Greens!B186,Greens!C186,Greens!D186,Greens!G186,Greens!K186,Greens!M186,Greens!N186,Greens!AA186,Greens!AE186,Greens!AF186,Greens!AH186,Greens!AI186,Greens!AJ186,Greens!AK186,Greens!AL186,Greens!AM186,Greens!AR186,Greens!AS186)</f>
        <v>#DIV/0!</v>
      </c>
      <c r="D95" s="9" t="e">
        <f aca="false">AVERAGE(Greens!AN186,Greens!AO186,Greens!AP186,Greens!AQ186)</f>
        <v>#DIV/0!</v>
      </c>
      <c r="E95" s="6" t="e">
        <f aca="false">AVERAGE(Greens!E186,Greens!F186,Greens!Q186,greens!#ref!)</f>
        <v>#NAME?</v>
      </c>
      <c r="F95" s="6" t="n">
        <f aca="false">Greens!O186</f>
        <v>0</v>
      </c>
    </row>
    <row r="96" customFormat="false" ht="15" hidden="false" customHeight="true" outlineLevel="0" collapsed="false">
      <c r="A96" s="83" t="s">
        <v>648</v>
      </c>
      <c r="B96" s="9" t="e">
        <f aca="false">AVERAGE(Greens!H190,Greens!I190,Greens!J190,Greens!L190,Greens!P190,Greens!R190,Greens!S190,Greens!T190,Greens!U190,Greens!V190,Greens!W190,Greens!X190,Greens!Y190,Greens!AB190,Greens!AC190,Greens!AD190,Greens!AG190)</f>
        <v>#DIV/0!</v>
      </c>
      <c r="C96" s="9" t="e">
        <f aca="false">AVERAGE(Greens!B190,Greens!C190,Greens!D190,Greens!G190,Greens!K190,Greens!M190,Greens!N190,Greens!AA190,Greens!AE190,Greens!AF190,Greens!AH190,Greens!AI190,Greens!AJ190,Greens!AK190,Greens!AL190,Greens!AM190,Greens!AR190,Greens!AS190)</f>
        <v>#DIV/0!</v>
      </c>
      <c r="D96" s="58" t="n">
        <f aca="false">AVERAGE(Greens!AN190,Greens!AO190,Greens!AP190,Greens!AQ190)</f>
        <v>-2</v>
      </c>
      <c r="E96" s="6" t="e">
        <f aca="false">AVERAGE(Greens!E190,Greens!F190,Greens!Q190,greens!#ref!)</f>
        <v>#NAME?</v>
      </c>
      <c r="F96" s="6" t="n">
        <f aca="false">Greens!O190</f>
        <v>0</v>
      </c>
    </row>
    <row r="97" customFormat="false" ht="15" hidden="false" customHeight="true" outlineLevel="0" collapsed="false">
      <c r="A97" s="83" t="s">
        <v>649</v>
      </c>
      <c r="B97" s="9" t="e">
        <f aca="false">AVERAGE(Greens!H191,Greens!I191,Greens!J191,Greens!L191,Greens!P191,Greens!R191,Greens!S191,Greens!T191,Greens!U191,Greens!V191,Greens!W191,Greens!X191,Greens!Y191,Greens!AB191,Greens!AC191,Greens!AD191,Greens!AG191)</f>
        <v>#DIV/0!</v>
      </c>
      <c r="C97" s="58" t="n">
        <f aca="false">AVERAGE(Greens!B191,Greens!C191,Greens!D191,Greens!G191,Greens!K191,Greens!M191,Greens!N191,Greens!AA191,Greens!AE191,Greens!AF191,Greens!AH191,Greens!AI191,Greens!AJ191,Greens!AK191,Greens!AL191,Greens!AM191,Greens!AR191,Greens!AS191)</f>
        <v>0.39</v>
      </c>
      <c r="D97" s="58" t="n">
        <f aca="false">AVERAGE(Greens!AN191,Greens!AO191,Greens!AP191,Greens!AQ191)</f>
        <v>-0.355</v>
      </c>
      <c r="E97" s="6" t="e">
        <f aca="false">AVERAGE(Greens!E191,Greens!F191,Greens!Q191,greens!#ref!)</f>
        <v>#NAME?</v>
      </c>
      <c r="F97" s="6" t="n">
        <f aca="false">Greens!O191</f>
        <v>0</v>
      </c>
    </row>
    <row r="98" customFormat="false" ht="15" hidden="false" customHeight="true" outlineLevel="0" collapsed="false">
      <c r="A98" s="83" t="s">
        <v>650</v>
      </c>
      <c r="B98" s="9" t="e">
        <f aca="false">AVERAGE(Greens!H192,Greens!I192,Greens!J192,Greens!L192,Greens!P192,Greens!R192,Greens!S192,Greens!T192,Greens!U192,Greens!V192,Greens!W192,Greens!X192,Greens!Y192,Greens!AB192,Greens!AC192,Greens!AD192,Greens!AG192)</f>
        <v>#DIV/0!</v>
      </c>
      <c r="C98" s="9" t="e">
        <f aca="false">AVERAGE(Greens!B192,Greens!C192,Greens!D192,Greens!G192,Greens!K192,Greens!M192,Greens!N192,Greens!AA192,Greens!AE192,Greens!AF192,Greens!AH192,Greens!AI192,Greens!AJ192,Greens!AK192,Greens!AL192,Greens!AM192,Greens!AR192,Greens!AS192)</f>
        <v>#DIV/0!</v>
      </c>
      <c r="D98" s="9" t="e">
        <f aca="false">AVERAGE(Greens!AN192,Greens!AO192,Greens!AP192,Greens!AQ192)</f>
        <v>#DIV/0!</v>
      </c>
      <c r="E98" s="6" t="e">
        <f aca="false">AVERAGE(Greens!E192,Greens!F192,Greens!Q192,greens!#ref!)</f>
        <v>#NAME?</v>
      </c>
      <c r="F98" s="6" t="n">
        <f aca="false">Greens!O192</f>
        <v>0</v>
      </c>
    </row>
    <row r="99" customFormat="false" ht="15" hidden="false" customHeight="true" outlineLevel="0" collapsed="false">
      <c r="A99" s="83" t="s">
        <v>651</v>
      </c>
      <c r="B99" s="9" t="e">
        <f aca="false">AVERAGE(Greens!H193,Greens!I193,Greens!J193,Greens!L193,Greens!P193,Greens!R193,Greens!S193,Greens!T193,Greens!U193,Greens!V193,Greens!W193,Greens!X193,Greens!Y193,Greens!AB193,Greens!AC193,Greens!AD193,Greens!AG193)</f>
        <v>#DIV/0!</v>
      </c>
      <c r="C99" s="58" t="n">
        <f aca="false">AVERAGE(Greens!B193,Greens!C193,Greens!D193,Greens!G193,Greens!K193,Greens!M193,Greens!N193,Greens!AA193,Greens!AE193,Greens!AF193,Greens!AH193,Greens!AI193,Greens!AJ193,Greens!AK193,Greens!AL193,Greens!AM193,Greens!AR193,Greens!AS193)</f>
        <v>-0.606666666666667</v>
      </c>
      <c r="D99" s="58" t="n">
        <f aca="false">AVERAGE(Greens!AN193,Greens!AO193,Greens!AP193,Greens!AQ193)</f>
        <v>-2.28</v>
      </c>
      <c r="E99" s="6" t="e">
        <f aca="false">AVERAGE(Greens!E193,Greens!F193,Greens!Q193,greens!#ref!)</f>
        <v>#NAME?</v>
      </c>
      <c r="F99" s="6" t="n">
        <f aca="false">Greens!O193</f>
        <v>0</v>
      </c>
    </row>
    <row r="100" customFormat="false" ht="15" hidden="false" customHeight="true" outlineLevel="0" collapsed="false">
      <c r="A100" s="83" t="s">
        <v>652</v>
      </c>
      <c r="B100" s="9" t="e">
        <f aca="false">AVERAGE(Greens!H194,Greens!I194,Greens!J194,Greens!L194,Greens!P194,Greens!R194,Greens!S194,Greens!T194,Greens!U194,Greens!V194,Greens!W194,Greens!X194,Greens!Y194,Greens!AB194,Greens!AC194,Greens!AD194,Greens!AG194)</f>
        <v>#DIV/0!</v>
      </c>
      <c r="C100" s="58" t="n">
        <f aca="false">AVERAGE(Greens!B194,Greens!C194,Greens!D194,Greens!G194,Greens!K194,Greens!M194,Greens!N194,Greens!AA194,Greens!AE194,Greens!AF194,Greens!AH194,Greens!AI194,Greens!AJ194,Greens!AK194,Greens!AL194,Greens!AM194,Greens!AR194,Greens!AS194)</f>
        <v>0.474</v>
      </c>
      <c r="D100" s="58" t="n">
        <f aca="false">AVERAGE(Greens!AN194,Greens!AO194,Greens!AP194,Greens!AQ194)</f>
        <v>1.18</v>
      </c>
      <c r="E100" s="6" t="e">
        <f aca="false">AVERAGE(Greens!E194,Greens!F194,Greens!Q194,greens!#ref!)</f>
        <v>#NAME?</v>
      </c>
      <c r="F100" s="6" t="n">
        <f aca="false">Greens!O194</f>
        <v>0</v>
      </c>
    </row>
    <row r="101" customFormat="false" ht="15" hidden="false" customHeight="true" outlineLevel="0" collapsed="false">
      <c r="A101" s="83" t="s">
        <v>653</v>
      </c>
      <c r="B101" s="9" t="e">
        <f aca="false">AVERAGE(Greens!H196,Greens!I196,Greens!J196,Greens!L196,Greens!P196,Greens!R196,Greens!S196,Greens!T196,Greens!U196,Greens!V196,Greens!W196,Greens!X196,Greens!Y196,Greens!AB196,Greens!AC196,Greens!AD196,Greens!AG196)</f>
        <v>#DIV/0!</v>
      </c>
      <c r="C101" s="58" t="n">
        <f aca="false">AVERAGE(Greens!B196,Greens!C196,Greens!D196,Greens!G196,Greens!K196,Greens!M196,Greens!N196,Greens!AA196,Greens!AE196,Greens!AF196,Greens!AH196,Greens!AI196,Greens!AJ196,Greens!AK196,Greens!AL196,Greens!AM196,Greens!AR196,Greens!AS196)</f>
        <v>-0.682</v>
      </c>
      <c r="D101" s="58" t="n">
        <f aca="false">AVERAGE(Greens!AN196,Greens!AO196,Greens!AP196,Greens!AQ196)</f>
        <v>1.22</v>
      </c>
      <c r="E101" s="6" t="e">
        <f aca="false">AVERAGE(Greens!E196,Greens!F196,Greens!Q196,greens!#ref!)</f>
        <v>#NAME?</v>
      </c>
      <c r="F101" s="6" t="n">
        <f aca="false">Greens!O196</f>
        <v>0</v>
      </c>
    </row>
    <row r="102" customFormat="false" ht="15" hidden="false" customHeight="true" outlineLevel="0" collapsed="false">
      <c r="A102" s="83" t="s">
        <v>654</v>
      </c>
      <c r="B102" s="9" t="e">
        <f aca="false">AVERAGE(Greens!H197,Greens!I197,Greens!J197,Greens!L197,Greens!P197,Greens!R197,Greens!S197,Greens!T197,Greens!U197,Greens!V197,Greens!W197,Greens!X197,Greens!Y197,Greens!AB197,Greens!AC197,Greens!AD197,Greens!AG197)</f>
        <v>#DIV/0!</v>
      </c>
      <c r="C102" s="58" t="n">
        <f aca="false">AVERAGE(Greens!B197,Greens!C197,Greens!D197,Greens!G197,Greens!K197,Greens!M197,Greens!N197,Greens!AA197,Greens!AE197,Greens!AF197,Greens!AH197,Greens!AI197,Greens!AJ197,Greens!AK197,Greens!AL197,Greens!AM197,Greens!AR197,Greens!AS197)</f>
        <v>-0.723333333333333</v>
      </c>
      <c r="D102" s="58" t="n">
        <f aca="false">AVERAGE(Greens!AN197,Greens!AO197,Greens!AP197,Greens!AQ197)</f>
        <v>0.96</v>
      </c>
      <c r="E102" s="6" t="e">
        <f aca="false">AVERAGE(Greens!E197,Greens!F197,Greens!Q197,greens!#ref!)</f>
        <v>#NAME?</v>
      </c>
      <c r="F102" s="6" t="n">
        <f aca="false">Greens!O197</f>
        <v>0</v>
      </c>
    </row>
    <row r="103" customFormat="false" ht="15" hidden="false" customHeight="true" outlineLevel="0" collapsed="false">
      <c r="A103" s="83" t="s">
        <v>655</v>
      </c>
      <c r="B103" s="9" t="e">
        <f aca="false">AVERAGE(Greens!H204,Greens!I204,Greens!J204,Greens!L204,Greens!P204,Greens!R204,Greens!S204,Greens!T204,Greens!U204,Greens!V204,Greens!W204,Greens!X204,Greens!Y204,Greens!AB204,Greens!AC204,Greens!AD204,Greens!AG204)</f>
        <v>#DIV/0!</v>
      </c>
      <c r="C103" s="9" t="e">
        <f aca="false">AVERAGE(Greens!B204,Greens!C204,Greens!D204,Greens!G204,Greens!K204,Greens!M204,Greens!N204,Greens!AA204,Greens!AE204,Greens!AF204,Greens!AH204,Greens!AI204,Greens!AJ204,Greens!AK204,Greens!AL204,Greens!AM204,Greens!AR204,Greens!AS204)</f>
        <v>#DIV/0!</v>
      </c>
      <c r="D103" s="9" t="e">
        <f aca="false">AVERAGE(Greens!AN204,Greens!AO204,Greens!AP204,Greens!AQ204)</f>
        <v>#DIV/0!</v>
      </c>
      <c r="E103" s="6" t="e">
        <f aca="false">AVERAGE(Greens!E204,Greens!F204,Greens!Q204,greens!#ref!)</f>
        <v>#NAME?</v>
      </c>
      <c r="F103" s="6" t="n">
        <f aca="false">Greens!O204</f>
        <v>0</v>
      </c>
    </row>
    <row r="104" customFormat="false" ht="15" hidden="false" customHeight="true" outlineLevel="0" collapsed="false">
      <c r="A104" s="83" t="s">
        <v>656</v>
      </c>
      <c r="B104" s="9" t="e">
        <f aca="false">AVERAGE(Greens!H205,Greens!I205,Greens!J205,Greens!L205,Greens!P205,Greens!R205,Greens!S205,Greens!T205,Greens!U205,Greens!V205,Greens!W205,Greens!X205,Greens!Y205,Greens!AB205,Greens!AC205,Greens!AD205,Greens!AG205)</f>
        <v>#DIV/0!</v>
      </c>
      <c r="C104" s="58" t="n">
        <f aca="false">AVERAGE(Greens!B205,Greens!C205,Greens!D205,Greens!G205,Greens!K205,Greens!M205,Greens!N205,Greens!AA205,Greens!AE205,Greens!AF205,Greens!AH205,Greens!AI205,Greens!AJ205,Greens!AK205,Greens!AL205,Greens!AM205,Greens!AR205,Greens!AS205)</f>
        <v>-0.663333333333333</v>
      </c>
      <c r="D104" s="58" t="n">
        <f aca="false">AVERAGE(Greens!AN205,Greens!AO205,Greens!AP205,Greens!AQ205)</f>
        <v>-2.14</v>
      </c>
      <c r="E104" s="6" t="e">
        <f aca="false">AVERAGE(Greens!E205,Greens!F205,Greens!Q205,greens!#ref!)</f>
        <v>#NAME?</v>
      </c>
      <c r="F104" s="6" t="n">
        <f aca="false">Greens!O205</f>
        <v>0</v>
      </c>
    </row>
    <row r="105" customFormat="false" ht="15" hidden="false" customHeight="true" outlineLevel="0" collapsed="false">
      <c r="A105" s="83" t="s">
        <v>657</v>
      </c>
      <c r="B105" s="9" t="e">
        <f aca="false">AVERAGE(Greens!H206,Greens!I206,Greens!J206,Greens!L206,Greens!P206,Greens!R206,Greens!S206,Greens!T206,Greens!U206,Greens!V206,Greens!W206,Greens!X206,Greens!Y206,Greens!AB206,Greens!AC206,Greens!AD206,Greens!AG206)</f>
        <v>#DIV/0!</v>
      </c>
      <c r="C105" s="9" t="e">
        <f aca="false">AVERAGE(Greens!B206,Greens!C206,Greens!D206,Greens!G206,Greens!K206,Greens!M206,Greens!N206,Greens!AA206,Greens!AE206,Greens!AF206,Greens!AH206,Greens!AI206,Greens!AJ206,Greens!AK206,Greens!AL206,Greens!AM206,Greens!AR206,Greens!AS206)</f>
        <v>#DIV/0!</v>
      </c>
      <c r="D105" s="9" t="e">
        <f aca="false">AVERAGE(Greens!AN206,Greens!AO206,Greens!AP206,Greens!AQ206)</f>
        <v>#DIV/0!</v>
      </c>
      <c r="E105" s="6" t="e">
        <f aca="false">AVERAGE(Greens!E206,Greens!F206,Greens!Q206,greens!#ref!)</f>
        <v>#NAME?</v>
      </c>
      <c r="F105" s="6" t="n">
        <f aca="false">Greens!O206</f>
        <v>0</v>
      </c>
    </row>
    <row r="106" customFormat="false" ht="15" hidden="false" customHeight="true" outlineLevel="0" collapsed="false">
      <c r="A106" s="83" t="s">
        <v>658</v>
      </c>
      <c r="B106" s="9" t="e">
        <f aca="false">AVERAGE(Greens!H207,Greens!I207,Greens!J207,Greens!L207,Greens!P207,Greens!R207,Greens!S207,Greens!T207,Greens!U207,Greens!V207,Greens!W207,Greens!X207,Greens!Y207,Greens!AB207,Greens!AC207,Greens!AD207,Greens!AG207)</f>
        <v>#DIV/0!</v>
      </c>
      <c r="C106" s="58" t="n">
        <f aca="false">AVERAGE(Greens!B207,Greens!C207,Greens!D207,Greens!G207,Greens!K207,Greens!M207,Greens!N207,Greens!AA207,Greens!AE207,Greens!AF207,Greens!AH207,Greens!AI207,Greens!AJ207,Greens!AK207,Greens!AL207,Greens!AM207,Greens!AR207,Greens!AS207)</f>
        <v>-0.49</v>
      </c>
      <c r="D106" s="9" t="e">
        <f aca="false">AVERAGE(Greens!AN207,Greens!AO207,Greens!AP207,Greens!AQ207)</f>
        <v>#DIV/0!</v>
      </c>
      <c r="E106" s="6" t="e">
        <f aca="false">AVERAGE(Greens!E207,Greens!F207,Greens!Q207,greens!#ref!)</f>
        <v>#NAME?</v>
      </c>
      <c r="F106" s="6" t="n">
        <f aca="false">Greens!O207</f>
        <v>0</v>
      </c>
    </row>
    <row r="107" customFormat="false" ht="15" hidden="false" customHeight="true" outlineLevel="0" collapsed="false">
      <c r="A107" s="83" t="s">
        <v>659</v>
      </c>
      <c r="B107" s="9" t="e">
        <f aca="false">AVERAGE(Greens!H208,Greens!I208,Greens!J208,Greens!L208,Greens!P208,Greens!R208,Greens!S208,Greens!T208,Greens!U208,Greens!V208,Greens!W208,Greens!X208,Greens!Y208,Greens!AB208,Greens!AC208,Greens!AD208,Greens!AG208)</f>
        <v>#DIV/0!</v>
      </c>
      <c r="C107" s="58" t="n">
        <f aca="false">AVERAGE(Greens!B208,Greens!C208,Greens!D208,Greens!G208,Greens!K208,Greens!M208,Greens!N208,Greens!AA208,Greens!AE208,Greens!AF208,Greens!AH208,Greens!AI208,Greens!AJ208,Greens!AK208,Greens!AL208,Greens!AM208,Greens!AR208,Greens!AS208)</f>
        <v>0.575</v>
      </c>
      <c r="D107" s="58" t="n">
        <f aca="false">AVERAGE(Greens!AN208,Greens!AO208,Greens!AP208,Greens!AQ208)</f>
        <v>-0.79</v>
      </c>
      <c r="E107" s="6" t="e">
        <f aca="false">AVERAGE(Greens!E208,Greens!F208,Greens!Q208,greens!#ref!)</f>
        <v>#NAME?</v>
      </c>
      <c r="F107" s="6" t="n">
        <f aca="false">Greens!O208</f>
        <v>0</v>
      </c>
    </row>
    <row r="108" customFormat="false" ht="15" hidden="false" customHeight="true" outlineLevel="0" collapsed="false">
      <c r="A108" s="83" t="s">
        <v>660</v>
      </c>
      <c r="B108" s="9" t="e">
        <f aca="false">AVERAGE(Greens!H209,Greens!I209,Greens!J209,Greens!L209,Greens!P209,Greens!R209,Greens!S209,Greens!T209,Greens!U209,Greens!V209,Greens!W209,Greens!X209,Greens!Y209,Greens!AB209,Greens!AC209,Greens!AD209,Greens!AG209)</f>
        <v>#DIV/0!</v>
      </c>
      <c r="C108" s="9" t="n">
        <f aca="false">AVERAGE(Greens!B209,Greens!C209,Greens!D209,Greens!G209,Greens!K209,Greens!M209,Greens!N209,Greens!AA209,Greens!AE209,Greens!AF209,Greens!AH209,Greens!AI209,Greens!AJ209,Greens!AK209,Greens!AL209,Greens!AM209,Greens!AR209,Greens!AS209)</f>
        <v>1.24</v>
      </c>
      <c r="D108" s="9" t="e">
        <f aca="false">AVERAGE(Greens!AN209,Greens!AO209,Greens!AP209,Greens!AQ209)</f>
        <v>#DIV/0!</v>
      </c>
      <c r="E108" s="6" t="e">
        <f aca="false">AVERAGE(Greens!E209,Greens!F209,Greens!Q209,greens!#ref!)</f>
        <v>#NAME?</v>
      </c>
      <c r="F108" s="6" t="n">
        <f aca="false">Greens!O209</f>
        <v>0</v>
      </c>
    </row>
    <row r="109" customFormat="false" ht="15" hidden="false" customHeight="true" outlineLevel="0" collapsed="false">
      <c r="A109" s="83" t="s">
        <v>661</v>
      </c>
      <c r="B109" s="9" t="e">
        <f aca="false">AVERAGE(Greens!H217,Greens!I217,Greens!J217,Greens!L217,Greens!P217,Greens!R217,Greens!S217,Greens!T217,Greens!U217,Greens!V217,Greens!W217,Greens!X217,Greens!Y217,Greens!AB217,Greens!AC217,Greens!AD217,Greens!AG217)</f>
        <v>#DIV/0!</v>
      </c>
      <c r="C109" s="58" t="n">
        <f aca="false">AVERAGE(Greens!B217,Greens!C217,Greens!D217,Greens!G217,Greens!K217,Greens!M217,Greens!N217,Greens!AA217,Greens!AE217,Greens!AF217,Greens!AH217,Greens!AI217,Greens!AJ217,Greens!AK217,Greens!AL217,Greens!AM217,Greens!AR217,Greens!AS217)</f>
        <v>0.468</v>
      </c>
      <c r="D109" s="9" t="e">
        <f aca="false">AVERAGE(Greens!AN217,Greens!AO217,Greens!AP217,Greens!AQ217)</f>
        <v>#DIV/0!</v>
      </c>
      <c r="E109" s="6" t="e">
        <f aca="false">AVERAGE(Greens!E217,Greens!F217,Greens!Q217,greens!#ref!)</f>
        <v>#NAME?</v>
      </c>
      <c r="F109" s="6" t="n">
        <f aca="false">Greens!O217</f>
        <v>0</v>
      </c>
    </row>
    <row r="110" customFormat="false" ht="15" hidden="false" customHeight="true" outlineLevel="0" collapsed="false">
      <c r="A110" s="83" t="s">
        <v>662</v>
      </c>
      <c r="B110" s="9" t="e">
        <f aca="false">AVERAGE(Greens!H220,Greens!I220,Greens!J220,Greens!L220,Greens!P220,Greens!R220,Greens!S220,Greens!T220,Greens!U220,Greens!V220,Greens!W220,Greens!X220,Greens!Y220,Greens!AB220,Greens!AC220,Greens!AD220,Greens!AG220)</f>
        <v>#DIV/0!</v>
      </c>
      <c r="C110" s="58" t="n">
        <f aca="false">AVERAGE(Greens!B220,Greens!C220,Greens!D220,Greens!G220,Greens!K220,Greens!M220,Greens!N220,Greens!AA220,Greens!AE220,Greens!AF220,Greens!AH220,Greens!AI220,Greens!AJ220,Greens!AK220,Greens!AL220,Greens!AM220,Greens!AR220,Greens!AS220)</f>
        <v>0.35</v>
      </c>
      <c r="D110" s="58" t="n">
        <f aca="false">AVERAGE(Greens!AN220,Greens!AO220,Greens!AP220,Greens!AQ220)</f>
        <v>1.24</v>
      </c>
      <c r="E110" s="6" t="e">
        <f aca="false">AVERAGE(Greens!E220,Greens!F220,Greens!Q220,greens!#ref!)</f>
        <v>#NAME?</v>
      </c>
      <c r="F110" s="6" t="n">
        <f aca="false">Greens!O220</f>
        <v>0</v>
      </c>
    </row>
    <row r="111" customFormat="false" ht="15" hidden="false" customHeight="true" outlineLevel="0" collapsed="false">
      <c r="A111" s="83" t="s">
        <v>663</v>
      </c>
      <c r="B111" s="9" t="e">
        <f aca="false">AVERAGE(Greens!H221,Greens!I221,Greens!J221,Greens!L221,Greens!P221,Greens!R221,Greens!S221,Greens!T221,Greens!U221,Greens!V221,Greens!W221,Greens!X221,Greens!Y221,Greens!AB221,Greens!AC221,Greens!AD221,Greens!AG221)</f>
        <v>#DIV/0!</v>
      </c>
      <c r="C111" s="58" t="n">
        <f aca="false">AVERAGE(Greens!B221,Greens!C221,Greens!D221,Greens!G221,Greens!K221,Greens!M221,Greens!N221,Greens!AA221,Greens!AE221,Greens!AF221,Greens!AH221,Greens!AI221,Greens!AJ221,Greens!AK221,Greens!AL221,Greens!AM221,Greens!AR221,Greens!AS221)</f>
        <v>-0.742</v>
      </c>
      <c r="D111" s="58" t="n">
        <f aca="false">AVERAGE(Greens!AN221,Greens!AO221,Greens!AP221,Greens!AQ221)</f>
        <v>-1.83</v>
      </c>
      <c r="E111" s="6" t="e">
        <f aca="false">AVERAGE(Greens!E221,Greens!F221,Greens!Q221,greens!#ref!)</f>
        <v>#NAME?</v>
      </c>
      <c r="F111" s="6" t="n">
        <f aca="false">Greens!O221</f>
        <v>0</v>
      </c>
    </row>
    <row r="112" customFormat="false" ht="15" hidden="false" customHeight="true" outlineLevel="0" collapsed="false">
      <c r="A112" s="83" t="s">
        <v>664</v>
      </c>
      <c r="B112" s="9" t="e">
        <f aca="false">AVERAGE(Greens!H222,Greens!I222,Greens!J222,Greens!L222,Greens!P222,Greens!R222,Greens!S222,Greens!T222,Greens!U222,Greens!V222,Greens!W222,Greens!X222,Greens!Y222,Greens!AB222,Greens!AC222,Greens!AD222,Greens!AG222)</f>
        <v>#DIV/0!</v>
      </c>
      <c r="C112" s="58" t="n">
        <f aca="false">AVERAGE(Greens!B222,Greens!C222,Greens!D222,Greens!G222,Greens!K222,Greens!M222,Greens!N222,Greens!AA222,Greens!AE222,Greens!AF222,Greens!AH222,Greens!AI222,Greens!AJ222,Greens!AK222,Greens!AL222,Greens!AM222,Greens!AR222,Greens!AS222)</f>
        <v>-1.15</v>
      </c>
      <c r="D112" s="58" t="n">
        <f aca="false">AVERAGE(Greens!AN222,Greens!AO222,Greens!AP222,Greens!AQ222)</f>
        <v>-0.87</v>
      </c>
      <c r="E112" s="6" t="e">
        <f aca="false">AVERAGE(Greens!E222,Greens!F222,Greens!Q222,greens!#ref!)</f>
        <v>#NAME?</v>
      </c>
      <c r="F112" s="6" t="n">
        <f aca="false">Greens!O222</f>
        <v>0</v>
      </c>
    </row>
    <row r="113" customFormat="false" ht="15" hidden="false" customHeight="true" outlineLevel="0" collapsed="false">
      <c r="A113" s="83" t="s">
        <v>665</v>
      </c>
      <c r="B113" s="9" t="e">
        <f aca="false">AVERAGE(Greens!H223,Greens!I223,Greens!J223,Greens!L223,Greens!P223,Greens!R223,Greens!S223,Greens!T223,Greens!U223,Greens!V223,Greens!W223,Greens!X223,Greens!Y223,Greens!AB223,Greens!AC223,Greens!AD223,Greens!AG223)</f>
        <v>#DIV/0!</v>
      </c>
      <c r="C113" s="58" t="n">
        <f aca="false">AVERAGE(Greens!B223,Greens!C223,Greens!D223,Greens!G223,Greens!K223,Greens!M223,Greens!N223,Greens!AA223,Greens!AE223,Greens!AF223,Greens!AH223,Greens!AI223,Greens!AJ223,Greens!AK223,Greens!AL223,Greens!AM223,Greens!AR223,Greens!AS223)</f>
        <v>-0.874</v>
      </c>
      <c r="D113" s="58" t="n">
        <f aca="false">AVERAGE(Greens!AN223,Greens!AO223,Greens!AP223,Greens!AQ223)</f>
        <v>1.22</v>
      </c>
      <c r="E113" s="6" t="e">
        <f aca="false">AVERAGE(Greens!E223,Greens!F223,Greens!Q223,greens!#ref!)</f>
        <v>#NAME?</v>
      </c>
      <c r="F113" s="6" t="n">
        <f aca="false">Greens!O223</f>
        <v>0</v>
      </c>
    </row>
    <row r="114" customFormat="false" ht="15" hidden="false" customHeight="true" outlineLevel="0" collapsed="false">
      <c r="A114" s="83" t="s">
        <v>666</v>
      </c>
      <c r="B114" s="9" t="e">
        <f aca="false">AVERAGE(Greens!H227,Greens!I227,Greens!J227,Greens!L227,Greens!P227,Greens!R227,Greens!S227,Greens!T227,Greens!U227,Greens!V227,Greens!W227,Greens!X227,Greens!Y227,Greens!AB227,Greens!AC227,Greens!AD227,Greens!AG227)</f>
        <v>#DIV/0!</v>
      </c>
      <c r="C114" s="58" t="n">
        <f aca="false">AVERAGE(Greens!B227,Greens!C227,Greens!D227,Greens!G227,Greens!K227,Greens!M227,Greens!N227,Greens!AA227,Greens!AE227,Greens!AF227,Greens!AH227,Greens!AI227,Greens!AJ227,Greens!AK227,Greens!AL227,Greens!AM227,Greens!AR227,Greens!AS227)</f>
        <v>-0.808333333333333</v>
      </c>
      <c r="D114" s="58" t="n">
        <f aca="false">AVERAGE(Greens!AN227,Greens!AO227,Greens!AP227,Greens!AQ227)</f>
        <v>-1.175</v>
      </c>
      <c r="E114" s="6" t="e">
        <f aca="false">AVERAGE(Greens!E227,Greens!F227,Greens!Q227,greens!#ref!)</f>
        <v>#NAME?</v>
      </c>
      <c r="F114" s="6" t="n">
        <f aca="false">Greens!O227</f>
        <v>0</v>
      </c>
    </row>
    <row r="115" customFormat="false" ht="15" hidden="false" customHeight="true" outlineLevel="0" collapsed="false">
      <c r="A115" s="83" t="s">
        <v>667</v>
      </c>
      <c r="B115" s="9" t="e">
        <f aca="false">AVERAGE(Greens!H229,Greens!I229,Greens!J229,Greens!L229,Greens!P229,Greens!R229,Greens!S229,Greens!T229,Greens!U229,Greens!V229,Greens!W229,Greens!X229,Greens!Y229,Greens!AB229,Greens!AC229,Greens!AD229,Greens!AG229)</f>
        <v>#DIV/0!</v>
      </c>
      <c r="C115" s="9" t="e">
        <f aca="false">AVERAGE(Greens!B229,Greens!C229,Greens!D229,Greens!G229,Greens!K229,Greens!M229,Greens!N229,Greens!AA229,Greens!AE229,Greens!AF229,Greens!AH229,Greens!AI229,Greens!AJ229,Greens!AK229,Greens!AL229,Greens!AM229,Greens!AR229,Greens!AS229)</f>
        <v>#DIV/0!</v>
      </c>
      <c r="D115" s="9" t="e">
        <f aca="false">AVERAGE(Greens!AN229,Greens!AO229,Greens!AP229,Greens!AQ229)</f>
        <v>#DIV/0!</v>
      </c>
      <c r="E115" s="6" t="e">
        <f aca="false">AVERAGE(Greens!E229,Greens!F229,Greens!Q229,greens!#ref!)</f>
        <v>#NAME?</v>
      </c>
      <c r="F115" s="6" t="n">
        <f aca="false">Greens!O229</f>
        <v>0</v>
      </c>
    </row>
    <row r="116" customFormat="false" ht="15" hidden="false" customHeight="true" outlineLevel="0" collapsed="false">
      <c r="A116" s="83" t="s">
        <v>668</v>
      </c>
      <c r="B116" s="9" t="e">
        <f aca="false">AVERAGE(Greens!H230,Greens!I230,Greens!J230,Greens!L230,Greens!P230,Greens!R230,Greens!S230,Greens!T230,Greens!U230,Greens!V230,Greens!W230,Greens!X230,Greens!Y230,Greens!AB230,Greens!AC230,Greens!AD230,Greens!AG230)</f>
        <v>#DIV/0!</v>
      </c>
      <c r="C116" s="58" t="n">
        <f aca="false">AVERAGE(Greens!B230,Greens!C230,Greens!D230,Greens!G230,Greens!K230,Greens!M230,Greens!N230,Greens!AA230,Greens!AE230,Greens!AF230,Greens!AH230,Greens!AI230,Greens!AJ230,Greens!AK230,Greens!AL230,Greens!AM230,Greens!AR230,Greens!AS230)</f>
        <v>-0.19</v>
      </c>
      <c r="D116" s="9" t="e">
        <f aca="false">AVERAGE(Greens!AN230,Greens!AO230,Greens!AP230,Greens!AQ230)</f>
        <v>#DIV/0!</v>
      </c>
      <c r="E116" s="6" t="e">
        <f aca="false">AVERAGE(Greens!E230,Greens!F230,Greens!Q230,greens!#ref!)</f>
        <v>#NAME?</v>
      </c>
      <c r="F116" s="6" t="n">
        <f aca="false">Greens!O230</f>
        <v>0</v>
      </c>
    </row>
    <row r="117" customFormat="false" ht="15" hidden="false" customHeight="true" outlineLevel="0" collapsed="false">
      <c r="A117" s="83" t="s">
        <v>669</v>
      </c>
      <c r="B117" s="9" t="e">
        <f aca="false">AVERAGE(Greens!H231,Greens!I231,Greens!J231,Greens!L231,Greens!P231,Greens!R231,Greens!S231,Greens!T231,Greens!U231,Greens!V231,Greens!W231,Greens!X231,Greens!Y231,Greens!AB231,Greens!AC231,Greens!AD231,Greens!AG231)</f>
        <v>#DIV/0!</v>
      </c>
      <c r="C117" s="58" t="n">
        <f aca="false">AVERAGE(Greens!B231,Greens!C231,Greens!D231,Greens!G231,Greens!K231,Greens!M231,Greens!N231,Greens!AA231,Greens!AE231,Greens!AF231,Greens!AH231,Greens!AI231,Greens!AJ231,Greens!AK231,Greens!AL231,Greens!AM231,Greens!AR231,Greens!AS231)</f>
        <v>-0.975</v>
      </c>
      <c r="D117" s="58" t="n">
        <f aca="false">AVERAGE(Greens!AN231,Greens!AO231,Greens!AP231,Greens!AQ231)</f>
        <v>-0.595</v>
      </c>
      <c r="E117" s="6" t="e">
        <f aca="false">AVERAGE(Greens!E231,Greens!F231,Greens!Q231,greens!#ref!)</f>
        <v>#NAME?</v>
      </c>
      <c r="F117" s="6" t="n">
        <f aca="false">Greens!O231</f>
        <v>0</v>
      </c>
    </row>
    <row r="118" customFormat="false" ht="15" hidden="false" customHeight="true" outlineLevel="0" collapsed="false">
      <c r="A118" s="83" t="s">
        <v>670</v>
      </c>
      <c r="B118" s="9" t="e">
        <f aca="false">AVERAGE(Greens!H233,Greens!I233,Greens!J233,Greens!L233,Greens!P233,Greens!R233,Greens!S233,Greens!T233,Greens!U233,Greens!V233,Greens!W233,Greens!X233,Greens!Y233,Greens!AB233,Greens!AC233,Greens!AD233,Greens!AG233)</f>
        <v>#DIV/0!</v>
      </c>
      <c r="C118" s="58" t="n">
        <f aca="false">AVERAGE(Greens!B233,Greens!C233,Greens!D233,Greens!G233,Greens!K233,Greens!M233,Greens!N233,Greens!AA233,Greens!AE233,Greens!AF233,Greens!AH233,Greens!AI233,Greens!AJ233,Greens!AK233,Greens!AL233,Greens!AM233,Greens!AR233,Greens!AS233)</f>
        <v>0.257142857142857</v>
      </c>
      <c r="D118" s="58" t="n">
        <f aca="false">AVERAGE(Greens!AN233,Greens!AO233,Greens!AP233,Greens!AQ233)</f>
        <v>0.485</v>
      </c>
      <c r="E118" s="6" t="e">
        <f aca="false">AVERAGE(Greens!E233,Greens!F233,Greens!Q233,greens!#ref!)</f>
        <v>#NAME?</v>
      </c>
      <c r="F118" s="6" t="n">
        <f aca="false">Greens!O233</f>
        <v>0</v>
      </c>
    </row>
    <row r="119" customFormat="false" ht="15" hidden="false" customHeight="true" outlineLevel="0" collapsed="false">
      <c r="A119" s="83" t="s">
        <v>671</v>
      </c>
      <c r="B119" s="9" t="e">
        <f aca="false">AVERAGE(Greens!H234,Greens!I234,Greens!J234,Greens!L234,Greens!P234,Greens!R234,Greens!S234,Greens!T234,Greens!U234,Greens!V234,Greens!W234,Greens!X234,Greens!Y234,Greens!AB234,Greens!AC234,Greens!AD234,Greens!AG234)</f>
        <v>#DIV/0!</v>
      </c>
      <c r="C119" s="58" t="n">
        <f aca="false">AVERAGE(Greens!B234,Greens!C234,Greens!D234,Greens!G234,Greens!K234,Greens!M234,Greens!N234,Greens!AA234,Greens!AE234,Greens!AF234,Greens!AH234,Greens!AI234,Greens!AJ234,Greens!AK234,Greens!AL234,Greens!AM234,Greens!AR234,Greens!AS234)</f>
        <v>-0.846666666666667</v>
      </c>
      <c r="D119" s="58" t="n">
        <f aca="false">AVERAGE(Greens!AN234,Greens!AO234,Greens!AP234,Greens!AQ234)</f>
        <v>0.72</v>
      </c>
      <c r="E119" s="6" t="e">
        <f aca="false">AVERAGE(Greens!E234,Greens!F234,Greens!Q234,greens!#ref!)</f>
        <v>#NAME?</v>
      </c>
      <c r="F119" s="6" t="n">
        <f aca="false">Greens!O234</f>
        <v>0</v>
      </c>
    </row>
    <row r="120" customFormat="false" ht="15" hidden="false" customHeight="true" outlineLevel="0" collapsed="false">
      <c r="A120" s="83" t="s">
        <v>672</v>
      </c>
      <c r="B120" s="9" t="e">
        <f aca="false">AVERAGE(Greens!H236,Greens!I236,Greens!J236,Greens!L236,Greens!P236,Greens!R236,Greens!S236,Greens!T236,Greens!U236,Greens!V236,Greens!W236,Greens!X236,Greens!Y236,Greens!AB236,Greens!AC236,Greens!AD236,Greens!AG236)</f>
        <v>#DIV/0!</v>
      </c>
      <c r="C120" s="9" t="e">
        <f aca="false">AVERAGE(Greens!B236,Greens!C236,Greens!D236,Greens!G236,Greens!K236,Greens!M236,Greens!N236,Greens!AA236,Greens!AE236,Greens!AF236,Greens!AH236,Greens!AI236,Greens!AJ236,Greens!AK236,Greens!AL236,Greens!AM236,Greens!AR236,Greens!AS236)</f>
        <v>#DIV/0!</v>
      </c>
      <c r="D120" s="9" t="e">
        <f aca="false">AVERAGE(Greens!AN236,Greens!AO236,Greens!AP236,Greens!AQ236)</f>
        <v>#DIV/0!</v>
      </c>
      <c r="E120" s="6" t="e">
        <f aca="false">AVERAGE(Greens!E236,Greens!F236,Greens!Q236,greens!#ref!)</f>
        <v>#NAME?</v>
      </c>
      <c r="F120" s="6" t="n">
        <f aca="false">Greens!O236</f>
        <v>0</v>
      </c>
    </row>
    <row r="121" customFormat="false" ht="15" hidden="false" customHeight="true" outlineLevel="0" collapsed="false">
      <c r="A121" s="83" t="s">
        <v>673</v>
      </c>
      <c r="B121" s="9" t="e">
        <f aca="false">AVERAGE(Greens!H237,Greens!I237,Greens!J237,Greens!L237,Greens!P237,Greens!R237,Greens!S237,Greens!T237,Greens!U237,Greens!V237,Greens!W237,Greens!X237,Greens!Y237,Greens!AB237,Greens!AC237,Greens!AD237,Greens!AG237)</f>
        <v>#DIV/0!</v>
      </c>
      <c r="C121" s="58" t="n">
        <f aca="false">AVERAGE(Greens!B237,Greens!C237,Greens!D237,Greens!G237,Greens!K237,Greens!M237,Greens!N237,Greens!AA237,Greens!AE237,Greens!AF237,Greens!AH237,Greens!AI237,Greens!AJ237,Greens!AK237,Greens!AL237,Greens!AM237,Greens!AR237,Greens!AS237)</f>
        <v>-0.234</v>
      </c>
      <c r="D121" s="58" t="n">
        <f aca="false">AVERAGE(Greens!AN237,Greens!AO237,Greens!AP237,Greens!AQ237)</f>
        <v>2.08</v>
      </c>
      <c r="E121" s="6" t="e">
        <f aca="false">AVERAGE(Greens!E237,Greens!F237,Greens!Q237,greens!#ref!)</f>
        <v>#NAME?</v>
      </c>
      <c r="F121" s="6" t="n">
        <f aca="false">Greens!O237</f>
        <v>0</v>
      </c>
    </row>
    <row r="122" customFormat="false" ht="15" hidden="false" customHeight="true" outlineLevel="0" collapsed="false">
      <c r="A122" s="83" t="s">
        <v>674</v>
      </c>
      <c r="B122" s="9" t="e">
        <f aca="false">AVERAGE(Greens!H238,Greens!I238,Greens!J238,Greens!L238,Greens!P238,Greens!R238,Greens!S238,Greens!T238,Greens!U238,Greens!V238,Greens!W238,Greens!X238,Greens!Y238,Greens!AB238,Greens!AC238,Greens!AD238,Greens!AG238)</f>
        <v>#DIV/0!</v>
      </c>
      <c r="C122" s="58" t="n">
        <f aca="false">AVERAGE(Greens!B238,Greens!C238,Greens!D238,Greens!G238,Greens!K238,Greens!M238,Greens!N238,Greens!AA238,Greens!AE238,Greens!AF238,Greens!AH238,Greens!AI238,Greens!AJ238,Greens!AK238,Greens!AL238,Greens!AM238,Greens!AR238,Greens!AS238)</f>
        <v>0.41</v>
      </c>
      <c r="D122" s="58" t="n">
        <f aca="false">AVERAGE(Greens!AN238,Greens!AO238,Greens!AP238,Greens!AQ238)</f>
        <v>1.3</v>
      </c>
      <c r="E122" s="6" t="e">
        <f aca="false">AVERAGE(Greens!E238,Greens!F238,Greens!Q238,greens!#ref!)</f>
        <v>#NAME?</v>
      </c>
      <c r="F122" s="6" t="n">
        <f aca="false">Greens!O238</f>
        <v>0</v>
      </c>
    </row>
    <row r="123" customFormat="false" ht="15" hidden="false" customHeight="true" outlineLevel="0" collapsed="false">
      <c r="A123" s="83" t="s">
        <v>675</v>
      </c>
      <c r="B123" s="9" t="e">
        <f aca="false">AVERAGE(Greens!H239,Greens!I239,Greens!J239,Greens!L239,Greens!P239,Greens!R239,Greens!S239,Greens!T239,Greens!U239,Greens!V239,Greens!W239,Greens!X239,Greens!Y239,Greens!AB239,Greens!AC239,Greens!AD239,Greens!AG239)</f>
        <v>#DIV/0!</v>
      </c>
      <c r="C123" s="58" t="n">
        <f aca="false">AVERAGE(Greens!B239,Greens!C239,Greens!D239,Greens!G239,Greens!K239,Greens!M239,Greens!N239,Greens!AA239,Greens!AE239,Greens!AF239,Greens!AH239,Greens!AI239,Greens!AJ239,Greens!AK239,Greens!AL239,Greens!AM239,Greens!AR239,Greens!AS239)</f>
        <v>-0.606666666666667</v>
      </c>
      <c r="D123" s="58" t="n">
        <f aca="false">AVERAGE(Greens!AN239,Greens!AO239,Greens!AP239,Greens!AQ239)</f>
        <v>1.55</v>
      </c>
      <c r="E123" s="6" t="e">
        <f aca="false">AVERAGE(Greens!E239,Greens!F239,Greens!Q239,greens!#ref!)</f>
        <v>#NAME?</v>
      </c>
      <c r="F123" s="6" t="n">
        <f aca="false">Greens!O239</f>
        <v>0</v>
      </c>
    </row>
    <row r="124" customFormat="false" ht="15" hidden="false" customHeight="true" outlineLevel="0" collapsed="false">
      <c r="A124" s="83" t="s">
        <v>676</v>
      </c>
      <c r="B124" s="9" t="e">
        <f aca="false">AVERAGE(Greens!H240,Greens!I240,Greens!J240,Greens!L240,Greens!P240,Greens!R240,Greens!S240,Greens!T240,Greens!U240,Greens!V240,Greens!W240,Greens!X240,Greens!Y240,Greens!AB240,Greens!AC240,Greens!AD240,Greens!AG240)</f>
        <v>#DIV/0!</v>
      </c>
      <c r="C124" s="58" t="n">
        <f aca="false">AVERAGE(Greens!B240,Greens!C240,Greens!D240,Greens!G240,Greens!K240,Greens!M240,Greens!N240,Greens!AA240,Greens!AE240,Greens!AF240,Greens!AH240,Greens!AI240,Greens!AJ240,Greens!AK240,Greens!AL240,Greens!AM240,Greens!AR240,Greens!AS240)</f>
        <v>-0.254285714285714</v>
      </c>
      <c r="D124" s="58" t="n">
        <f aca="false">AVERAGE(Greens!AN240,Greens!AO240,Greens!AP240,Greens!AQ240)</f>
        <v>-0.745</v>
      </c>
      <c r="E124" s="6" t="e">
        <f aca="false">AVERAGE(Greens!E240,Greens!F240,Greens!Q240,greens!#ref!)</f>
        <v>#NAME?</v>
      </c>
      <c r="F124" s="6" t="n">
        <f aca="false">Greens!O240</f>
        <v>0</v>
      </c>
    </row>
    <row r="125" customFormat="false" ht="15" hidden="false" customHeight="true" outlineLevel="0" collapsed="false">
      <c r="A125" s="83" t="s">
        <v>677</v>
      </c>
      <c r="B12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125" s="58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125" s="58" t="e">
        <f aca="false">AVERAGE(Greens!AN242,Greens!AO242,Greens!AP242,Greens!AQ242)</f>
        <v>#DIV/0!</v>
      </c>
      <c r="E125" s="6" t="e">
        <f aca="false">AVERAGE(Greens!E242,Greens!F242,Greens!Q242,greens!#ref!)</f>
        <v>#NAME?</v>
      </c>
      <c r="F125" s="6" t="n">
        <f aca="false">Greens!O242</f>
        <v>0</v>
      </c>
    </row>
    <row r="126" customFormat="false" ht="15" hidden="false" customHeight="true" outlineLevel="0" collapsed="false">
      <c r="A126" s="83" t="s">
        <v>678</v>
      </c>
      <c r="B126" s="9" t="e">
        <f aca="false">AVERAGE(Greens!H244,Greens!I244,Greens!J244,Greens!L244,Greens!P244,Greens!R244,Greens!S244,Greens!T244,Greens!U244,Greens!V244,Greens!W244,Greens!X244,Greens!Y244,Greens!AB244,Greens!AC244,Greens!AD244,Greens!AG244)</f>
        <v>#DIV/0!</v>
      </c>
      <c r="C126" s="58" t="n">
        <f aca="false">AVERAGE(Greens!B244,Greens!C244,Greens!D244,Greens!G244,Greens!K244,Greens!M244,Greens!N244,Greens!AA244,Greens!AE244,Greens!AF244,Greens!AH244,Greens!AI244,Greens!AJ244,Greens!AK244,Greens!AL244,Greens!AM244,Greens!AR244,Greens!AS244)</f>
        <v>0.625714285714286</v>
      </c>
      <c r="D126" s="58" t="e">
        <f aca="false">AVERAGE(Greens!AN243,Greens!AO243,Greens!AP243,Greens!AQ243)</f>
        <v>#DIV/0!</v>
      </c>
      <c r="E126" s="6" t="e">
        <f aca="false">AVERAGE(Greens!E244,Greens!F244,Greens!Q244,greens!#ref!)</f>
        <v>#NAME?</v>
      </c>
      <c r="F126" s="6" t="n">
        <f aca="false">Greens!O244</f>
        <v>0</v>
      </c>
    </row>
    <row r="127" customFormat="false" ht="15" hidden="false" customHeight="true" outlineLevel="0" collapsed="false">
      <c r="A127" s="83" t="s">
        <v>679</v>
      </c>
      <c r="B127" s="9" t="e">
        <f aca="false">AVERAGE(Greens!H245,Greens!I245,Greens!J245,Greens!L245,Greens!P245,Greens!R245,Greens!S245,Greens!T245,Greens!U245,Greens!V245,Greens!W245,Greens!X245,Greens!Y245,Greens!AB245,Greens!AC245,Greens!AD245,Greens!AG245)</f>
        <v>#DIV/0!</v>
      </c>
      <c r="C127" s="9" t="e">
        <f aca="false">AVERAGE(Greens!B245,Greens!C245,Greens!D245,Greens!G245,Greens!K245,Greens!M245,Greens!N245,Greens!AA245,Greens!AE245,Greens!AF245,Greens!AH245,Greens!AI245,Greens!AJ245,Greens!AK245,Greens!AL245,Greens!AM245,Greens!AR245,Greens!AS245)</f>
        <v>#DIV/0!</v>
      </c>
      <c r="D127" s="9" t="e">
        <f aca="false">AVERAGE(Greens!AN245,Greens!AO245,Greens!AP245,Greens!AQ245)</f>
        <v>#DIV/0!</v>
      </c>
      <c r="E127" s="6" t="e">
        <f aca="false">AVERAGE(Greens!E245,Greens!F245,Greens!Q245,greens!#ref!)</f>
        <v>#NAME?</v>
      </c>
      <c r="F127" s="6" t="n">
        <f aca="false">Greens!O245</f>
        <v>0</v>
      </c>
    </row>
    <row r="128" customFormat="false" ht="15" hidden="false" customHeight="true" outlineLevel="0" collapsed="false">
      <c r="A128" s="83" t="s">
        <v>680</v>
      </c>
      <c r="B128" s="9" t="e">
        <f aca="false">AVERAGE(Greens!H246,Greens!I246,Greens!J246,Greens!L246,Greens!P246,Greens!R246,Greens!S246,Greens!T246,Greens!U246,Greens!V246,Greens!W246,Greens!X246,Greens!Y246,Greens!AB246,Greens!AC246,Greens!AD246,Greens!AG246)</f>
        <v>#DIV/0!</v>
      </c>
      <c r="C128" s="9" t="e">
        <f aca="false">AVERAGE(Greens!B246,Greens!C246,Greens!D246,Greens!G246,Greens!K246,Greens!M246,Greens!N246,Greens!AA246,Greens!AE246,Greens!AF246,Greens!AH246,Greens!AI246,Greens!AJ246,Greens!AK246,Greens!AL246,Greens!AM246,Greens!AR246,Greens!AS246)</f>
        <v>#DIV/0!</v>
      </c>
      <c r="D128" s="9" t="e">
        <f aca="false">AVERAGE(Greens!AN246,Greens!AO246,Greens!AP246,Greens!AQ246)</f>
        <v>#DIV/0!</v>
      </c>
      <c r="E128" s="6" t="e">
        <f aca="false">AVERAGE(Greens!E246,Greens!F246,Greens!Q246,greens!#ref!)</f>
        <v>#NAME?</v>
      </c>
      <c r="F128" s="6" t="n">
        <f aca="false">Greens!O246</f>
        <v>0</v>
      </c>
    </row>
    <row r="129" customFormat="false" ht="15" hidden="false" customHeight="true" outlineLevel="0" collapsed="false">
      <c r="A129" s="83" t="s">
        <v>681</v>
      </c>
      <c r="B129" s="9" t="e">
        <f aca="false">AVERAGE(Greens!H248,Greens!I248,Greens!J248,Greens!L248,Greens!P248,Greens!R248,Greens!S248,Greens!T248,Greens!U248,Greens!V248,Greens!W248,Greens!X248,Greens!Y248,Greens!AB248,Greens!AC248,Greens!AD248,Greens!AG248)</f>
        <v>#DIV/0!</v>
      </c>
      <c r="C129" s="58" t="n">
        <f aca="false">AVERAGE(Greens!B248,Greens!C248,Greens!D248,Greens!G248,Greens!K248,Greens!M248,Greens!N248,Greens!AA248,Greens!AE248,Greens!AF248,Greens!AH248,Greens!AI248,Greens!AJ248,Greens!AK248,Greens!AL248,Greens!AM248,Greens!AR248,Greens!AS248)</f>
        <v>-0.895</v>
      </c>
      <c r="D129" s="9" t="e">
        <f aca="false">AVERAGE(Greens!AN248,Greens!AO248,Greens!AP248,Greens!AQ248)</f>
        <v>#DIV/0!</v>
      </c>
      <c r="E129" s="6" t="e">
        <f aca="false">AVERAGE(Greens!E248,Greens!F248,Greens!Q248,greens!#ref!)</f>
        <v>#NAME?</v>
      </c>
      <c r="F129" s="6" t="n">
        <f aca="false">Greens!O248</f>
        <v>0</v>
      </c>
    </row>
    <row r="130" customFormat="false" ht="15" hidden="false" customHeight="true" outlineLevel="0" collapsed="false">
      <c r="A130" s="83" t="s">
        <v>682</v>
      </c>
      <c r="B130" s="9" t="e">
        <f aca="false">AVERAGE(Greens!H250,Greens!I250,Greens!J250,Greens!L250,Greens!P250,Greens!R250,Greens!S250,Greens!T250,Greens!U250,Greens!V250,Greens!W250,Greens!X250,Greens!Y250,Greens!AB250,Greens!AC250,Greens!AD250,Greens!AG250)</f>
        <v>#DIV/0!</v>
      </c>
      <c r="C130" s="9" t="e">
        <f aca="false">AVERAGE(Greens!B250,Greens!C250,Greens!D250,Greens!G250,Greens!K250,Greens!M250,Greens!N250,Greens!AA250,Greens!AE250,Greens!AF250,Greens!AH250,Greens!AI250,Greens!AJ250,Greens!AK250,Greens!AL250,Greens!AM250,Greens!AR250,Greens!AS250)</f>
        <v>#DIV/0!</v>
      </c>
      <c r="D130" s="9" t="e">
        <f aca="false">AVERAGE(Greens!AN250,Greens!AO250,Greens!AP250,Greens!AQ250)</f>
        <v>#DIV/0!</v>
      </c>
      <c r="E130" s="6" t="e">
        <f aca="false">AVERAGE(Greens!E250,Greens!F250,Greens!Q250,greens!#ref!)</f>
        <v>#NAME?</v>
      </c>
      <c r="F130" s="6" t="n">
        <f aca="false">Greens!O250</f>
        <v>0</v>
      </c>
    </row>
    <row r="131" customFormat="false" ht="15" hidden="false" customHeight="true" outlineLevel="0" collapsed="false">
      <c r="A131" s="83" t="s">
        <v>683</v>
      </c>
      <c r="B131" s="9" t="e">
        <f aca="false">AVERAGE(Greens!H251,Greens!I251,Greens!J251,Greens!L251,Greens!P251,Greens!R251,Greens!S251,Greens!T251,Greens!U251,Greens!V251,Greens!W251,Greens!X251,Greens!Y251,Greens!AB251,Greens!AC251,Greens!AD251,Greens!AG251)</f>
        <v>#DIV/0!</v>
      </c>
      <c r="C131" s="58" t="n">
        <f aca="false">AVERAGE(Greens!B251,Greens!C251,Greens!D251,Greens!G251,Greens!K251,Greens!M251,Greens!N251,Greens!AA251,Greens!AE251,Greens!AF251,Greens!AH251,Greens!AI251,Greens!AJ251,Greens!AK251,Greens!AL251,Greens!AM251,Greens!AR251,Greens!AS251)</f>
        <v>-0.335</v>
      </c>
      <c r="D131" s="58" t="n">
        <f aca="false">AVERAGE(Greens!AN251,Greens!AO251,Greens!AP251,Greens!AQ251)</f>
        <v>-1.3</v>
      </c>
      <c r="E131" s="6" t="e">
        <f aca="false">AVERAGE(Greens!E251,Greens!F251,Greens!Q251,greens!#ref!)</f>
        <v>#NAME?</v>
      </c>
      <c r="F131" s="6" t="n">
        <f aca="false">Greens!O251</f>
        <v>0</v>
      </c>
    </row>
    <row r="132" customFormat="false" ht="15" hidden="false" customHeight="true" outlineLevel="0" collapsed="false">
      <c r="A132" s="83" t="s">
        <v>684</v>
      </c>
      <c r="B132" s="9" t="e">
        <f aca="false">AVERAGE(Greens!H252,Greens!I252,Greens!J252,Greens!L252,Greens!P252,Greens!R252,Greens!S252,Greens!T252,Greens!U252,Greens!V252,Greens!W252,Greens!X252,Greens!Y252,Greens!AB252,Greens!AC252,Greens!AD252,Greens!AG252)</f>
        <v>#DIV/0!</v>
      </c>
      <c r="C132" s="9" t="e">
        <f aca="false">AVERAGE(Greens!B252,Greens!C252,Greens!D252,Greens!G252,Greens!K252,Greens!M252,Greens!N252,Greens!AA252,Greens!AE252,Greens!AF252,Greens!AH252,Greens!AI252,Greens!AJ252,Greens!AK252,Greens!AL252,Greens!AM252,Greens!AR252,Greens!AS252)</f>
        <v>#DIV/0!</v>
      </c>
      <c r="D132" s="9" t="e">
        <f aca="false">AVERAGE(Greens!AN252,Greens!AO252,Greens!AP252,Greens!AQ252)</f>
        <v>#DIV/0!</v>
      </c>
      <c r="E132" s="6" t="e">
        <f aca="false">AVERAGE(Greens!E252,Greens!F252,Greens!Q252,greens!#ref!)</f>
        <v>#NAME?</v>
      </c>
      <c r="F132" s="6" t="n">
        <f aca="false">Greens!O252</f>
        <v>0</v>
      </c>
    </row>
    <row r="133" customFormat="false" ht="15" hidden="false" customHeight="true" outlineLevel="0" collapsed="false">
      <c r="A133" s="83" t="s">
        <v>685</v>
      </c>
      <c r="B133" s="9" t="e">
        <f aca="false">AVERAGE(Greens!H255,Greens!I255,Greens!J255,Greens!L255,Greens!P255,Greens!R255,Greens!S255,Greens!T255,Greens!U255,Greens!V255,Greens!W255,Greens!X255,Greens!Y255,Greens!AB255,Greens!AC255,Greens!AD255,Greens!AG255)</f>
        <v>#DIV/0!</v>
      </c>
      <c r="C133" s="58" t="n">
        <f aca="false">AVERAGE(Greens!B255,Greens!C255,Greens!D255,Greens!G255,Greens!K255,Greens!M255,Greens!N255,Greens!AA255,Greens!AE255,Greens!AF255,Greens!AH255,Greens!AI255,Greens!AJ255,Greens!AK255,Greens!AL255,Greens!AM255,Greens!AR255,Greens!AS255)</f>
        <v>0.08</v>
      </c>
      <c r="D133" s="9" t="e">
        <f aca="false">AVERAGE(Greens!AN255,Greens!AO255,Greens!AP255,Greens!AQ255)</f>
        <v>#DIV/0!</v>
      </c>
      <c r="E133" s="6" t="e">
        <f aca="false">AVERAGE(Greens!E255,Greens!F255,Greens!Q255,greens!#ref!)</f>
        <v>#NAME?</v>
      </c>
      <c r="F133" s="6" t="n">
        <f aca="false">Greens!O255</f>
        <v>0</v>
      </c>
    </row>
    <row r="134" customFormat="false" ht="15" hidden="false" customHeight="true" outlineLevel="0" collapsed="false">
      <c r="A134" s="83" t="s">
        <v>686</v>
      </c>
      <c r="B134" s="9" t="e">
        <f aca="false">AVERAGE(Greens!H256,Greens!I256,Greens!J256,Greens!L256,Greens!P256,Greens!R256,Greens!S256,Greens!T256,Greens!U256,Greens!V256,Greens!W256,Greens!X256,Greens!Y256,Greens!AB256,Greens!AC256,Greens!AD256,Greens!AG256)</f>
        <v>#DIV/0!</v>
      </c>
      <c r="C134" s="58" t="n">
        <f aca="false">AVERAGE(Greens!B256,Greens!C256,Greens!D256,Greens!G256,Greens!K256,Greens!M256,Greens!N256,Greens!AA256,Greens!AE256,Greens!AF256,Greens!AH256,Greens!AI256,Greens!AJ256,Greens!AK256,Greens!AL256,Greens!AM256,Greens!AR256,Greens!AS256)</f>
        <v>-0.96</v>
      </c>
      <c r="D134" s="58" t="n">
        <f aca="false">AVERAGE(Greens!AN256,Greens!AO256,Greens!AP256,Greens!AQ256)</f>
        <v>-0.62</v>
      </c>
      <c r="E134" s="6" t="e">
        <f aca="false">AVERAGE(Greens!E256,Greens!F256,Greens!Q256,greens!#ref!)</f>
        <v>#NAME?</v>
      </c>
      <c r="F134" s="6" t="n">
        <f aca="false">Greens!O256</f>
        <v>0</v>
      </c>
    </row>
    <row r="135" customFormat="false" ht="15" hidden="false" customHeight="true" outlineLevel="0" collapsed="false">
      <c r="A135" s="83" t="s">
        <v>687</v>
      </c>
      <c r="B135" s="9" t="e">
        <f aca="false">AVERAGE(Greens!H257,Greens!I257,Greens!J257,Greens!L257,Greens!P257,Greens!R257,Greens!S257,Greens!T257,Greens!U257,Greens!V257,Greens!W257,Greens!X257,Greens!Y257,Greens!AB257,Greens!AC257,Greens!AD257,Greens!AG257)</f>
        <v>#DIV/0!</v>
      </c>
      <c r="C135" s="58" t="n">
        <f aca="false">AVERAGE(Greens!B257,Greens!C257,Greens!D257,Greens!G257,Greens!K257,Greens!M257,Greens!N257,Greens!AA257,Greens!AE257,Greens!AF257,Greens!AH257,Greens!AI257,Greens!AJ257,Greens!AK257,Greens!AL257,Greens!AM257,Greens!AR257,Greens!AS257)</f>
        <v>0.0966666666666667</v>
      </c>
      <c r="D135" s="58" t="n">
        <f aca="false">AVERAGE(Greens!AN257,Greens!AO257,Greens!AP257,Greens!AQ257)</f>
        <v>-2.29</v>
      </c>
      <c r="E135" s="6" t="e">
        <f aca="false">AVERAGE(Greens!E257,Greens!F257,Greens!Q257,greens!#ref!)</f>
        <v>#NAME?</v>
      </c>
      <c r="F135" s="6" t="n">
        <f aca="false">Greens!O257</f>
        <v>0</v>
      </c>
    </row>
    <row r="136" customFormat="false" ht="15" hidden="false" customHeight="true" outlineLevel="0" collapsed="false">
      <c r="A136" s="83" t="s">
        <v>688</v>
      </c>
      <c r="B136" s="9" t="n">
        <f aca="false">AVERAGE(Greens!H247,Greens!I247,Greens!J247,Greens!L247,Greens!P247,Greens!R247,Greens!S247,Greens!T247,Greens!U247,Greens!V247,Greens!W247,Greens!X247,Greens!Y247,Greens!AB247,Greens!AC247,Greens!AD247,Greens!AG247)</f>
        <v>2.29</v>
      </c>
      <c r="C136" s="58" t="n">
        <f aca="false">AVERAGE(Greens!B247,Greens!C247,Greens!D247,Greens!G247,Greens!K247,Greens!M247,Greens!N247,Greens!AA247,Greens!AE247,Greens!AF247,Greens!AH247,Greens!AI247,Greens!AJ247,Greens!AK247,Greens!AL247,Greens!AM247,Greens!AR247,Greens!AS247)</f>
        <v>0.44</v>
      </c>
      <c r="D136" s="9" t="e">
        <f aca="false">AVERAGE(Greens!AN247,Greens!AO247,Greens!AP247,Greens!AQ247)</f>
        <v>#DIV/0!</v>
      </c>
      <c r="E136" s="6" t="e">
        <f aca="false">AVERAGE(Greens!E247,Greens!F247,Greens!Q247,greens!#ref!)</f>
        <v>#NAME?</v>
      </c>
      <c r="F136" s="6" t="n">
        <f aca="false">Greens!O247</f>
        <v>0</v>
      </c>
    </row>
    <row r="137" customFormat="false" ht="15" hidden="false" customHeight="true" outlineLevel="0" collapsed="false">
      <c r="A137" s="83" t="s">
        <v>689</v>
      </c>
      <c r="B137" s="9" t="n">
        <f aca="false">AVERAGE(Greens!H201,Greens!I201,Greens!J201,Greens!L201,Greens!P201,Greens!R201,Greens!S201,Greens!T201,Greens!U201,Greens!V201,Greens!W201,Greens!X201,Greens!Y201,Greens!AB201,Greens!AC201,Greens!AD201,Greens!AG201)</f>
        <v>1.95</v>
      </c>
      <c r="C137" s="58" t="n">
        <f aca="false">AVERAGE(Greens!B201,Greens!C201,Greens!D201,Greens!G201,Greens!K201,Greens!M201,Greens!N201,Greens!AA201,Greens!AE201,Greens!AF201,Greens!AH201,Greens!AI201,Greens!AJ201,Greens!AK201,Greens!AL201,Greens!AM201,Greens!AR201,Greens!AS201)</f>
        <v>0.405</v>
      </c>
      <c r="D137" s="58" t="n">
        <f aca="false">AVERAGE(Greens!AN201,Greens!AO201,Greens!AP201,Greens!AQ201)</f>
        <v>-0.2525</v>
      </c>
      <c r="E137" s="6" t="e">
        <f aca="false">AVERAGE(Greens!E201,Greens!F201,Greens!Q201,greens!#ref!)</f>
        <v>#NAME?</v>
      </c>
      <c r="F137" s="6" t="n">
        <f aca="false">Greens!O201</f>
        <v>0</v>
      </c>
    </row>
    <row r="138" customFormat="false" ht="15" hidden="false" customHeight="true" outlineLevel="0" collapsed="false">
      <c r="A138" s="83" t="s">
        <v>690</v>
      </c>
      <c r="B138" s="9" t="n">
        <f aca="false">AVERAGE(Greens!H210,Greens!I210,Greens!J210,Greens!L210,Greens!P210,Greens!R210,Greens!S210,Greens!T210,Greens!U210,Greens!V210,Greens!W210,Greens!X210,Greens!Y210,Greens!AB210,Greens!AC210,Greens!AD210,Greens!AG210)</f>
        <v>1.88</v>
      </c>
      <c r="C138" s="58" t="n">
        <f aca="false">AVERAGE(Greens!B210,Greens!C210,Greens!D210,Greens!G210,Greens!K210,Greens!M210,Greens!N210,Greens!AA210,Greens!AE210,Greens!AF210,Greens!AH210,Greens!AI210,Greens!AJ210,Greens!AK210,Greens!AL210,Greens!AM210,Greens!AR210,Greens!AS210)</f>
        <v>0.18</v>
      </c>
      <c r="D138" s="58" t="n">
        <f aca="false">AVERAGE(Greens!AN210,Greens!AO210,Greens!AP210,Greens!AQ210)</f>
        <v>0.0766666666666667</v>
      </c>
      <c r="E138" s="6" t="e">
        <f aca="false">AVERAGE(Greens!E210,Greens!F210,Greens!Q210,greens!#ref!)</f>
        <v>#NAME?</v>
      </c>
      <c r="F138" s="6" t="n">
        <f aca="false">Greens!O210</f>
        <v>0</v>
      </c>
    </row>
    <row r="139" customFormat="false" ht="15" hidden="false" customHeight="true" outlineLevel="0" collapsed="false">
      <c r="A139" s="83" t="s">
        <v>691</v>
      </c>
      <c r="B139" s="9" t="n">
        <f aca="false">AVERAGE(Greens!H4,Greens!I4,Greens!J4,Greens!L4,Greens!P4,Greens!R4,Greens!S4,Greens!T4,Greens!U4,Greens!V4,Greens!W4,Greens!X4,Greens!Y4,Greens!AB4,Greens!AC4,Greens!AD4,Greens!AG4)</f>
        <v>1.48</v>
      </c>
      <c r="C139" s="58" t="n">
        <f aca="false">AVERAGE(Greens!B4,Greens!C4,Greens!D4,Greens!G4,Greens!K4,Greens!M4,Greens!N4,Greens!AA4,Greens!AE4,Greens!AF4,Greens!AH4,Greens!AI4,Greens!AJ4,Greens!AK4,Greens!AL4,Greens!AM4,Greens!AR4,Greens!AS4)</f>
        <v>0.395</v>
      </c>
      <c r="D139" s="58" t="n">
        <f aca="false">AVERAGE(Greens!AN4,Greens!AO4,Greens!AP4,Greens!AQ4)</f>
        <v>0.875</v>
      </c>
      <c r="E139" s="6" t="e">
        <f aca="false">AVERAGE(Greens!E4,Greens!F4,Greens!Q4,greens!#ref!)</f>
        <v>#NAME?</v>
      </c>
      <c r="F139" s="6" t="n">
        <f aca="false">Greens!O5</f>
        <v>0</v>
      </c>
    </row>
    <row r="140" customFormat="false" ht="15" hidden="false" customHeight="true" outlineLevel="0" collapsed="false">
      <c r="A140" s="83" t="s">
        <v>692</v>
      </c>
      <c r="B140" s="9" t="n">
        <f aca="false">AVERAGE(Greens!H151,Greens!I151,Greens!J151,Greens!L151,Greens!P151,Greens!R151,Greens!S151,Greens!T151,Greens!U151,Greens!V151,Greens!W151,Greens!X151,Greens!Y151,Greens!AB151,Greens!AC151,Greens!AD151,Greens!AG151)</f>
        <v>1.47</v>
      </c>
      <c r="C140" s="58" t="n">
        <f aca="false">AVERAGE(Greens!B151,Greens!C151,Greens!D151,Greens!G151,Greens!K151,Greens!M151,Greens!N151,Greens!AA151,Greens!AE151,Greens!AF151,Greens!AH151,Greens!AI151,Greens!AJ151,Greens!AK151,Greens!AL151,Greens!AM151,Greens!AR151,Greens!AS151)</f>
        <v>-0.406666666666667</v>
      </c>
      <c r="D140" s="58" t="n">
        <f aca="false">AVERAGE(Greens!AN151,Greens!AO151,Greens!AP151,Greens!AQ151)</f>
        <v>-0.02</v>
      </c>
      <c r="E140" s="6" t="e">
        <f aca="false">AVERAGE(Greens!E151,Greens!F151,Greens!Q151,greens!#ref!)</f>
        <v>#NAME?</v>
      </c>
      <c r="F140" s="6" t="n">
        <f aca="false">Greens!O151</f>
        <v>0</v>
      </c>
    </row>
    <row r="141" customFormat="false" ht="15" hidden="false" customHeight="true" outlineLevel="0" collapsed="false">
      <c r="A141" s="83" t="s">
        <v>693</v>
      </c>
      <c r="B141" s="9" t="n">
        <f aca="false">AVERAGE(Greens!H213,Greens!I213,Greens!J213,Greens!L213,Greens!P213,Greens!R213,Greens!S213,Greens!T213,Greens!U213,Greens!V213,Greens!W213,Greens!X213,Greens!Y213,Greens!AB213,Greens!AC213,Greens!AD213,Greens!AG213)</f>
        <v>1.38</v>
      </c>
      <c r="C141" s="58" t="n">
        <f aca="false">AVERAGE(Greens!B213,Greens!C213,Greens!D213,Greens!G213,Greens!K213,Greens!M213,Greens!N213,Greens!AA213,Greens!AE213,Greens!AF213,Greens!AH213,Greens!AI213,Greens!AJ213,Greens!AK213,Greens!AL213,Greens!AM213,Greens!AR213,Greens!AS213)</f>
        <v>-0.542222222222222</v>
      </c>
      <c r="D141" s="58" t="n">
        <f aca="false">AVERAGE(Greens!AN213,Greens!AO213,Greens!AP213,Greens!AQ213)</f>
        <v>-1.13</v>
      </c>
      <c r="E141" s="6" t="e">
        <f aca="false">AVERAGE(Greens!E213,Greens!F213,Greens!Q213,greens!#ref!)</f>
        <v>#NAME?</v>
      </c>
      <c r="F141" s="6" t="n">
        <f aca="false">Greens!O213</f>
        <v>0</v>
      </c>
    </row>
    <row r="142" customFormat="false" ht="15" hidden="false" customHeight="true" outlineLevel="0" collapsed="false">
      <c r="A142" s="83" t="s">
        <v>694</v>
      </c>
      <c r="B142" s="9" t="n">
        <f aca="false">AVERAGE(Greens!H16,Greens!I16,Greens!J16,Greens!L16,Greens!P16,Greens!R16,Greens!S16,Greens!T16,Greens!U16,Greens!V16,Greens!W16,Greens!X16,Greens!Y16,Greens!AB16,Greens!AC16,Greens!AD16,Greens!AG16)</f>
        <v>1.355</v>
      </c>
      <c r="C142" s="58" t="n">
        <f aca="false">AVERAGE(Greens!B16,Greens!C16,Greens!D16,Greens!G16,Greens!K16,Greens!M16,Greens!N16,Greens!AA16,Greens!AE16,Greens!AF16,Greens!AH16,Greens!AI16,Greens!AJ16,Greens!AK16,Greens!AL16,Greens!AM16,Greens!AR16,Greens!AS16)</f>
        <v>0.631666666666667</v>
      </c>
      <c r="D142" s="58" t="n">
        <f aca="false">AVERAGE(Greens!AN16,Greens!AO16,Greens!AP16,Greens!AQ16)</f>
        <v>0.25</v>
      </c>
      <c r="E142" s="6" t="e">
        <f aca="false">AVERAGE(Greens!E16,Greens!F16,Greens!Q16,greens!#ref!)</f>
        <v>#NAME?</v>
      </c>
      <c r="F142" s="6" t="n">
        <f aca="false">Greens!O16</f>
        <v>0</v>
      </c>
    </row>
    <row r="143" customFormat="false" ht="15" hidden="false" customHeight="true" outlineLevel="0" collapsed="false">
      <c r="A143" s="83" t="s">
        <v>695</v>
      </c>
      <c r="B143" s="9" t="n">
        <f aca="false">AVERAGE(Greens!H101,Greens!I101,Greens!J101,Greens!L101,Greens!P101,Greens!R101,Greens!S101,Greens!T101,Greens!U101,Greens!V101,Greens!W101,Greens!X101,Greens!Y101,Greens!AB101,Greens!AC101,Greens!AD101,Greens!AG101)</f>
        <v>1.35</v>
      </c>
      <c r="C143" s="58" t="n">
        <f aca="false">AVERAGE(Greens!B101,Greens!C101,Greens!D101,Greens!G101,Greens!K101,Greens!M101,Greens!N101,Greens!AA101,Greens!AE101,Greens!AF101,Greens!AH101,Greens!AI101,Greens!AJ101,Greens!AK101,Greens!AL101,Greens!AM101,Greens!AR101,Greens!AS101)</f>
        <v>0.195</v>
      </c>
      <c r="D143" s="58" t="n">
        <f aca="false">AVERAGE(Greens!AN101,Greens!AO101,Greens!AP101,Greens!AQ101)</f>
        <v>0.51</v>
      </c>
      <c r="E143" s="6" t="e">
        <f aca="false">AVERAGE(Greens!E101,Greens!F101,Greens!Q101,greens!#ref!)</f>
        <v>#NAME?</v>
      </c>
      <c r="F143" s="6" t="n">
        <f aca="false">Greens!O101</f>
        <v>0</v>
      </c>
    </row>
    <row r="144" customFormat="false" ht="15" hidden="false" customHeight="true" outlineLevel="0" collapsed="false">
      <c r="A144" s="83" t="s">
        <v>696</v>
      </c>
      <c r="B144" s="9" t="n">
        <f aca="false">AVERAGE(Greens!H31,Greens!I31,Greens!J31,Greens!L31,Greens!P31,Greens!R31,Greens!S31,Greens!T31,Greens!U31,Greens!V31,Greens!W31,Greens!X31,Greens!Y31,Greens!AB31,Greens!AC31,Greens!AD31,Greens!AG31)</f>
        <v>1.32</v>
      </c>
      <c r="C144" s="58" t="n">
        <f aca="false">AVERAGE(Greens!B31,Greens!C31,Greens!D31,Greens!G31,Greens!K31,Greens!M31,Greens!N31,Greens!AA31,Greens!AE31,Greens!AF31,Greens!AH31,Greens!AI31,Greens!AJ31,Greens!AK31,Greens!AL31,Greens!AM31,Greens!AR31,Greens!AS31)</f>
        <v>-0.30375</v>
      </c>
      <c r="D144" s="58" t="n">
        <f aca="false">AVERAGE(Greens!AN31,Greens!AO31,Greens!AP31,Greens!AQ31)</f>
        <v>0.22</v>
      </c>
      <c r="E144" s="6" t="e">
        <f aca="false">AVERAGE(Greens!E31,Greens!F31,Greens!Q31,greens!#ref!)</f>
        <v>#NAME?</v>
      </c>
      <c r="F144" s="6" t="n">
        <f aca="false">Greens!O31</f>
        <v>0</v>
      </c>
    </row>
    <row r="145" customFormat="false" ht="15" hidden="false" customHeight="true" outlineLevel="0" collapsed="false">
      <c r="A145" s="83" t="s">
        <v>697</v>
      </c>
      <c r="B145" s="9" t="n">
        <f aca="false">AVERAGE(Greens!H140,Greens!I140,Greens!J140,Greens!L140,Greens!P140,Greens!R140,Greens!S140,Greens!T140,Greens!U140,Greens!V140,Greens!W140,Greens!X140,Greens!Y140,Greens!AB140,Greens!AC140,Greens!AD140,Greens!AG140)</f>
        <v>1.26</v>
      </c>
      <c r="C145" s="58" t="n">
        <f aca="false">AVERAGE(Greens!B140,Greens!C140,Greens!D140,Greens!G140,Greens!K140,Greens!M140,Greens!N140,Greens!AA140,Greens!AE140,Greens!AF140,Greens!AH140,Greens!AI140,Greens!AJ140,Greens!AK140,Greens!AL140,Greens!AM140,Greens!AR140,Greens!AS140)</f>
        <v>0.427777777777778</v>
      </c>
      <c r="D145" s="58" t="n">
        <f aca="false">AVERAGE(Greens!AN140,Greens!AO140,Greens!AP140,Greens!AQ140)</f>
        <v>0.256666666666667</v>
      </c>
      <c r="E145" s="6" t="e">
        <f aca="false">AVERAGE(Greens!E140,Greens!F140,Greens!Q140,greens!#ref!)</f>
        <v>#NAME?</v>
      </c>
      <c r="F145" s="6" t="n">
        <f aca="false">Greens!O140</f>
        <v>0</v>
      </c>
    </row>
    <row r="146" customFormat="false" ht="15" hidden="false" customHeight="true" outlineLevel="0" collapsed="false">
      <c r="A146" s="83" t="s">
        <v>698</v>
      </c>
      <c r="B146" s="9" t="n">
        <f aca="false">AVERAGE(Greens!H70,Greens!I70,Greens!J70,Greens!L70,Greens!P70,Greens!R70,Greens!S70,Greens!T70,Greens!U70,Greens!V70,Greens!W70,Greens!X70,Greens!Y70,Greens!AB70,Greens!AC70,Greens!AD70,Greens!AG70)</f>
        <v>1.13</v>
      </c>
      <c r="C146" s="58" t="n">
        <f aca="false">AVERAGE(Greens!B70,Greens!C70,Greens!D70,Greens!G70,Greens!K70,Greens!M70,Greens!N70,Greens!AA70,Greens!AE70,Greens!AF70,Greens!AH70,Greens!AI70,Greens!AJ70,Greens!AK70,Greens!AL70,Greens!AM70,Greens!AR70,Greens!AS70)</f>
        <v>0.398571428571429</v>
      </c>
      <c r="D146" s="58" t="n">
        <f aca="false">AVERAGE(Greens!AN70,Greens!AO70,Greens!AP70,Greens!AQ70)</f>
        <v>0.335</v>
      </c>
      <c r="E146" s="6" t="e">
        <f aca="false">AVERAGE(Greens!E70,Greens!F70,Greens!Q70,greens!#ref!)</f>
        <v>#NAME?</v>
      </c>
      <c r="F146" s="6" t="n">
        <f aca="false">Greens!O70</f>
        <v>0</v>
      </c>
    </row>
    <row r="147" customFormat="false" ht="15" hidden="false" customHeight="true" outlineLevel="0" collapsed="false">
      <c r="A147" s="83" t="s">
        <v>699</v>
      </c>
      <c r="B147" s="9" t="n">
        <f aca="false">AVERAGE(Greens!H48,Greens!I48,Greens!J48,Greens!L48,Greens!P48,Greens!R48,Greens!S48,Greens!T48,Greens!U48,Greens!V48,Greens!W48,Greens!X48,Greens!Y48,Greens!AB48,Greens!AC48,Greens!AD48,Greens!AG48)</f>
        <v>1.075</v>
      </c>
      <c r="C147" s="58" t="n">
        <f aca="false">AVERAGE(Greens!B48,Greens!C48,Greens!D48,Greens!G48,Greens!K48,Greens!M48,Greens!N48,Greens!AA48,Greens!AE48,Greens!AF48,Greens!AH48,Greens!AI48,Greens!AJ48,Greens!AK48,Greens!AL48,Greens!AM48,Greens!AR48,Greens!AS48)</f>
        <v>0.716666666666667</v>
      </c>
      <c r="D147" s="58" t="n">
        <f aca="false">AVERAGE(Greens!AN48,Greens!AO48,Greens!AP48,Greens!AQ48)</f>
        <v>0.56</v>
      </c>
      <c r="E147" s="6" t="e">
        <f aca="false">AVERAGE(Greens!E48,Greens!F48,Greens!Q48,greens!#ref!)</f>
        <v>#NAME?</v>
      </c>
      <c r="F147" s="6" t="n">
        <f aca="false">Greens!O48</f>
        <v>0</v>
      </c>
    </row>
    <row r="148" customFormat="false" ht="15" hidden="false" customHeight="true" outlineLevel="0" collapsed="false">
      <c r="A148" s="83" t="s">
        <v>700</v>
      </c>
      <c r="B148" s="9" t="n">
        <f aca="false">AVERAGE(Greens!H144,Greens!I144,Greens!J144,Greens!L144,Greens!P144,Greens!R144,Greens!S144,Greens!T144,Greens!U144,Greens!V144,Greens!W144,Greens!X144,Greens!Y144,Greens!AB144,Greens!AC144,Greens!AD144,Greens!AG144)</f>
        <v>1.05</v>
      </c>
      <c r="C148" s="58" t="n">
        <f aca="false">AVERAGE(Greens!B144,Greens!C144,Greens!D144,Greens!G144,Greens!K144,Greens!M144,Greens!N144,Greens!AA144,Greens!AE144,Greens!AF144,Greens!AH144,Greens!AI144,Greens!AJ144,Greens!AK144,Greens!AL144,Greens!AM144,Greens!AR144,Greens!AS144)</f>
        <v>0.025</v>
      </c>
      <c r="D148" s="58" t="n">
        <f aca="false">AVERAGE(Greens!AN144,Greens!AO144,Greens!AP144,Greens!AQ144)</f>
        <v>0.315</v>
      </c>
      <c r="E148" s="6" t="e">
        <f aca="false">AVERAGE(Greens!E144,Greens!F144,Greens!Q144,greens!#ref!)</f>
        <v>#NAME?</v>
      </c>
      <c r="F148" s="6" t="n">
        <f aca="false">Greens!O144</f>
        <v>0</v>
      </c>
    </row>
    <row r="149" customFormat="false" ht="15" hidden="false" customHeight="true" outlineLevel="0" collapsed="false">
      <c r="A149" s="83" t="s">
        <v>701</v>
      </c>
      <c r="B149" s="9" t="n">
        <f aca="false">AVERAGE(Greens!H17,Greens!I17,Greens!J17,Greens!L17,Greens!P17,Greens!R17,Greens!S17,Greens!T17,Greens!U17,Greens!V17,Greens!W17,Greens!X17,Greens!Y17,Greens!AB17,Greens!AC17,Greens!AD17,Greens!AG17)</f>
        <v>0.99</v>
      </c>
      <c r="C149" s="58" t="n">
        <f aca="false">AVERAGE(Greens!B17,Greens!C17,Greens!D17,Greens!G17,Greens!K17,Greens!M17,Greens!N17,Greens!AA17,Greens!AE17,Greens!AF17,Greens!AH17,Greens!AI17,Greens!AJ17,Greens!AK17,Greens!AL17,Greens!AM17,Greens!AR17,Greens!AS17)</f>
        <v>-0.2725</v>
      </c>
      <c r="D149" s="58" t="n">
        <f aca="false">AVERAGE(Greens!AN17,Greens!AO17,Greens!AP17,Greens!AQ17)</f>
        <v>0.426666666666667</v>
      </c>
      <c r="E149" s="6" t="e">
        <f aca="false">AVERAGE(Greens!E17,Greens!F17,Greens!Q17,greens!#ref!)</f>
        <v>#NAME?</v>
      </c>
      <c r="F149" s="6" t="n">
        <f aca="false">Greens!O17</f>
        <v>0</v>
      </c>
    </row>
    <row r="150" customFormat="false" ht="15" hidden="false" customHeight="true" outlineLevel="0" collapsed="false">
      <c r="A150" s="83" t="s">
        <v>702</v>
      </c>
      <c r="B150" s="9" t="n">
        <f aca="false">AVERAGE(Greens!H198,Greens!I198,Greens!J198,Greens!L198,Greens!P198,Greens!R198,Greens!S198,Greens!T198,Greens!U198,Greens!V198,Greens!W198,Greens!X198,Greens!Y198,Greens!AB198,Greens!AC198,Greens!AD198,Greens!AG198)</f>
        <v>0.98</v>
      </c>
      <c r="C150" s="9" t="n">
        <f aca="false">AVERAGE(Greens!B198,Greens!C198,Greens!D198,Greens!G198,Greens!K198,Greens!M198,Greens!N198,Greens!AA198,Greens!AE198,Greens!AF198,Greens!AH198,Greens!AI198,Greens!AJ198,Greens!AK198,Greens!AL198,Greens!AM198,Greens!AR198,Greens!AS198)</f>
        <v>0.39</v>
      </c>
      <c r="D150" s="58" t="n">
        <f aca="false">AVERAGE(Greens!AN198,Greens!AO198,Greens!AP198,Greens!AQ198)</f>
        <v>0.4025</v>
      </c>
      <c r="E150" s="6" t="e">
        <f aca="false">AVERAGE(Greens!E198,Greens!F198,Greens!Q198,greens!#ref!)</f>
        <v>#NAME?</v>
      </c>
      <c r="F150" s="6" t="n">
        <f aca="false">Greens!O198</f>
        <v>0</v>
      </c>
    </row>
    <row r="151" customFormat="false" ht="15" hidden="false" customHeight="true" outlineLevel="0" collapsed="false">
      <c r="A151" s="83" t="s">
        <v>703</v>
      </c>
      <c r="B151" s="9" t="n">
        <f aca="false">AVERAGE(Greens!H90,Greens!I90,Greens!J90,Greens!L90,Greens!P90,Greens!R90,Greens!S90,Greens!T90,Greens!U90,Greens!V90,Greens!W90,Greens!X90,Greens!Y90,Greens!AB90,Greens!AC90,Greens!AD90,Greens!AG90)</f>
        <v>0.97</v>
      </c>
      <c r="C151" s="58" t="n">
        <f aca="false">AVERAGE(Greens!B90,Greens!C90,Greens!D90,Greens!G90,Greens!K90,Greens!M90,Greens!N90,Greens!AA90,Greens!AE90,Greens!AF90,Greens!AH90,Greens!AI90,Greens!AJ90,Greens!AK90,Greens!AL90,Greens!AM90,Greens!AR90,Greens!AS90)</f>
        <v>-0.34375</v>
      </c>
      <c r="D151" s="58" t="n">
        <f aca="false">AVERAGE(Greens!AN90,Greens!AO90,Greens!AP90,Greens!AQ90)</f>
        <v>0.35</v>
      </c>
      <c r="E151" s="6" t="e">
        <f aca="false">AVERAGE(Greens!E90,Greens!F90,Greens!Q90,greens!#ref!)</f>
        <v>#NAME?</v>
      </c>
      <c r="F151" s="6" t="n">
        <f aca="false">Greens!O90</f>
        <v>0</v>
      </c>
    </row>
    <row r="152" customFormat="false" ht="15" hidden="false" customHeight="true" outlineLevel="0" collapsed="false">
      <c r="A152" s="83" t="s">
        <v>704</v>
      </c>
      <c r="B152" s="9" t="n">
        <f aca="false">AVERAGE(Greens!H22,Greens!I22,Greens!J22,Greens!L22,Greens!P22,Greens!R22,Greens!S22,Greens!T22,Greens!U22,Greens!V22,Greens!W22,Greens!X22,Greens!Y22,Greens!AB22,Greens!AC22,Greens!AD22,Greens!AG22)</f>
        <v>0.96</v>
      </c>
      <c r="C152" s="58" t="n">
        <f aca="false">AVERAGE(Greens!B22,Greens!C22,Greens!D22,Greens!G22,Greens!K22,Greens!M22,Greens!N22,Greens!AA22,Greens!AE22,Greens!AF22,Greens!AH22,Greens!AI22,Greens!AJ22,Greens!AK22,Greens!AL22,Greens!AM22,Greens!AR22,Greens!AS22)</f>
        <v>-0.4525</v>
      </c>
      <c r="D152" s="58" t="n">
        <f aca="false">AVERAGE(Greens!AN22,Greens!AO22,Greens!AP22,Greens!AQ22)</f>
        <v>-0.643333333333333</v>
      </c>
      <c r="E152" s="6" t="e">
        <f aca="false">AVERAGE(Greens!E22,Greens!F22,Greens!Q22,greens!#ref!)</f>
        <v>#NAME?</v>
      </c>
      <c r="F152" s="6" t="n">
        <f aca="false">Greens!O22</f>
        <v>0</v>
      </c>
    </row>
    <row r="153" customFormat="false" ht="15" hidden="false" customHeight="true" outlineLevel="0" collapsed="false">
      <c r="A153" s="83" t="s">
        <v>705</v>
      </c>
      <c r="B153" s="9" t="n">
        <f aca="false">AVERAGE(Greens!H241,Greens!I241,Greens!J241,Greens!L241,Greens!P241,Greens!R241,Greens!S241,Greens!T241,Greens!U241,Greens!V241,Greens!W241,Greens!X241,Greens!Y241,Greens!AB241,Greens!AC241,Greens!AD241,Greens!AG241)</f>
        <v>0.96</v>
      </c>
      <c r="C153" s="58" t="n">
        <f aca="false">AVERAGE(Greens!B241,Greens!C241,Greens!D241,Greens!G241,Greens!K241,Greens!M241,Greens!N241,Greens!AA241,Greens!AE241,Greens!AF241,Greens!AH241,Greens!AI241,Greens!AJ241,Greens!AK241,Greens!AL241,Greens!AM241,Greens!AR241,Greens!AS241)</f>
        <v>0.141428571428571</v>
      </c>
      <c r="D153" s="58" t="n">
        <f aca="false">AVERAGE(Greens!AN241,Greens!AO241,Greens!AP241,Greens!AQ241)</f>
        <v>0.07</v>
      </c>
      <c r="E153" s="6" t="e">
        <f aca="false">AVERAGE(Greens!E241,Greens!F241,Greens!Q241,greens!#ref!)</f>
        <v>#NAME?</v>
      </c>
      <c r="F153" s="6" t="n">
        <f aca="false">Greens!O241</f>
        <v>0</v>
      </c>
    </row>
    <row r="154" customFormat="false" ht="15" hidden="false" customHeight="true" outlineLevel="0" collapsed="false">
      <c r="A154" s="83" t="s">
        <v>706</v>
      </c>
      <c r="B154" s="9" t="n">
        <f aca="false">AVERAGE(Greens!H114,Greens!I114,Greens!J114,Greens!L114,Greens!P114,Greens!R114,Greens!S114,Greens!T114,Greens!U114,Greens!V114,Greens!W114,Greens!X114,Greens!Y114,Greens!AB114,Greens!AC114,Greens!AD114,Greens!AG114)</f>
        <v>0.94</v>
      </c>
      <c r="C154" s="58" t="n">
        <f aca="false">AVERAGE(Greens!B114,Greens!C114,Greens!D114,Greens!G114,Greens!K114,Greens!M114,Greens!N114,Greens!AA114,Greens!AE114,Greens!AF114,Greens!AH114,Greens!AI114,Greens!AJ114,Greens!AK114,Greens!AL114,Greens!AM114,Greens!AR114,Greens!AS114)</f>
        <v>-0.548571428571429</v>
      </c>
      <c r="D154" s="58" t="n">
        <f aca="false">AVERAGE(Greens!AN114,Greens!AO114,Greens!AP114,Greens!AQ114)</f>
        <v>0.436666666666667</v>
      </c>
      <c r="E154" s="6" t="e">
        <f aca="false">AVERAGE(Greens!E114,Greens!F114,Greens!Q114,greens!#ref!)</f>
        <v>#NAME?</v>
      </c>
      <c r="F154" s="6" t="n">
        <f aca="false">Greens!O114</f>
        <v>0</v>
      </c>
    </row>
    <row r="155" customFormat="false" ht="15" hidden="false" customHeight="true" outlineLevel="0" collapsed="false">
      <c r="A155" s="83" t="s">
        <v>707</v>
      </c>
      <c r="B155" s="9" t="n">
        <f aca="false">AVERAGE(Greens!H6,Greens!I6,Greens!J6,Greens!L6,Greens!P6,Greens!R6,Greens!S6,Greens!T6,Greens!U6,Greens!V6,Greens!W6,Greens!X6,Greens!Y6,Greens!AB6,Greens!AC6,Greens!AD6,Greens!AG6)</f>
        <v>0.935</v>
      </c>
      <c r="C155" s="58" t="n">
        <f aca="false">AVERAGE(Greens!B6,Greens!C6,Greens!D6,Greens!G6,Greens!K6,Greens!M6,Greens!N6,Greens!AA6,Greens!AE6,Greens!AF6,Greens!AH6,Greens!AI6,Greens!AJ6,Greens!AK6,Greens!AL6,Greens!AM6,Greens!AR6,Greens!AS6)</f>
        <v>1.016</v>
      </c>
      <c r="D155" s="58" t="n">
        <f aca="false">AVERAGE(Greens!AN6,Greens!AO6,Greens!AP6,Greens!AQ6)</f>
        <v>-0.29</v>
      </c>
      <c r="E155" s="6" t="e">
        <f aca="false">AVERAGE(Greens!E6,Greens!F6,Greens!Q6,greens!#ref!)</f>
        <v>#NAME?</v>
      </c>
      <c r="F155" s="6" t="n">
        <f aca="false">Greens!O6</f>
        <v>0</v>
      </c>
    </row>
    <row r="156" customFormat="false" ht="15" hidden="false" customHeight="true" outlineLevel="0" collapsed="false">
      <c r="A156" s="83" t="s">
        <v>708</v>
      </c>
      <c r="B156" s="9" t="n">
        <f aca="false">AVERAGE(Greens!H158,Greens!I158,Greens!J158,Greens!L158,Greens!P158,Greens!R158,Greens!S158,Greens!T158,Greens!U158,Greens!V158,Greens!W158,Greens!X158,Greens!Y158,Greens!AB158,Greens!AC158,Greens!AD158,Greens!AG158)</f>
        <v>0.9</v>
      </c>
      <c r="C156" s="58" t="n">
        <f aca="false">AVERAGE(Greens!B158,Greens!C158,Greens!D158,Greens!G158,Greens!K158,Greens!M158,Greens!N158,Greens!AA158,Greens!AE158,Greens!AF158,Greens!AH158,Greens!AI158,Greens!AJ158,Greens!AK158,Greens!AL158,Greens!AM158,Greens!AR158,Greens!AS158)</f>
        <v>0.796666666666667</v>
      </c>
      <c r="D156" s="58" t="n">
        <f aca="false">AVERAGE(Greens!AN158,Greens!AO158,Greens!AP158,Greens!AQ158)</f>
        <v>-0.353333333333333</v>
      </c>
      <c r="E156" s="6" t="e">
        <f aca="false">AVERAGE(Greens!E158,Greens!F158,Greens!Q158,greens!#ref!)</f>
        <v>#NAME?</v>
      </c>
      <c r="F156" s="6" t="n">
        <f aca="false">Greens!O158</f>
        <v>0</v>
      </c>
    </row>
    <row r="157" customFormat="false" ht="15" hidden="false" customHeight="true" outlineLevel="0" collapsed="false">
      <c r="A157" s="83" t="s">
        <v>709</v>
      </c>
      <c r="B157" s="9" t="n">
        <f aca="false">AVERAGE(Greens!H170,Greens!I170,Greens!J170,Greens!L170,Greens!P170,Greens!R170,Greens!S170,Greens!T170,Greens!U170,Greens!V170,Greens!W170,Greens!X170,Greens!Y170,Greens!AB170,Greens!AC170,Greens!AD170,Greens!AG170)</f>
        <v>0.87</v>
      </c>
      <c r="C157" s="58" t="n">
        <f aca="false">AVERAGE(Greens!B170,Greens!C170,Greens!D170,Greens!G170,Greens!K170,Greens!M170,Greens!N170,Greens!AA170,Greens!AE170,Greens!AF170,Greens!AH170,Greens!AI170,Greens!AJ170,Greens!AK170,Greens!AL170,Greens!AM170,Greens!AR170,Greens!AS170)</f>
        <v>-1.0975</v>
      </c>
      <c r="D157" s="58" t="n">
        <f aca="false">AVERAGE(Greens!AN170,Greens!AO170,Greens!AP170,Greens!AQ170)</f>
        <v>0.913333333333333</v>
      </c>
      <c r="E157" s="6" t="e">
        <f aca="false">AVERAGE(Greens!E170,Greens!F170,Greens!Q170,greens!#ref!)</f>
        <v>#NAME?</v>
      </c>
      <c r="F157" s="6" t="n">
        <f aca="false">Greens!O170</f>
        <v>0</v>
      </c>
    </row>
    <row r="158" customFormat="false" ht="15" hidden="false" customHeight="true" outlineLevel="0" collapsed="false">
      <c r="A158" s="83" t="s">
        <v>710</v>
      </c>
      <c r="B158" s="9" t="n">
        <f aca="false">AVERAGE(Greens!H78,Greens!I78,Greens!J78,Greens!L78,Greens!P78,Greens!R78,Greens!S78,Greens!T78,Greens!U78,Greens!V78,Greens!W78,Greens!X78,Greens!Y78,Greens!AB78,Greens!AC78,Greens!AD78,Greens!AG78)</f>
        <v>0.845</v>
      </c>
      <c r="C158" s="58" t="n">
        <f aca="false">AVERAGE(Greens!B78,Greens!C78,Greens!D78,Greens!G78,Greens!K78,Greens!M78,Greens!N78,Greens!AA78,Greens!AE78,Greens!AF78,Greens!AH78,Greens!AI78,Greens!AJ78,Greens!AK78,Greens!AL78,Greens!AM78,Greens!AR78,Greens!AS78)</f>
        <v>-0.0614285714285714</v>
      </c>
      <c r="D158" s="58" t="n">
        <f aca="false">AVERAGE(Greens!AN78,Greens!AO78,Greens!AP78,Greens!AQ78)</f>
        <v>-0.666666666666667</v>
      </c>
      <c r="E158" s="6" t="e">
        <f aca="false">AVERAGE(Greens!E78,Greens!F78,Greens!Q78,greens!#ref!)</f>
        <v>#NAME?</v>
      </c>
      <c r="F158" s="6" t="n">
        <f aca="false">Greens!O78</f>
        <v>0</v>
      </c>
    </row>
    <row r="159" customFormat="false" ht="15" hidden="false" customHeight="true" outlineLevel="0" collapsed="false">
      <c r="A159" s="83" t="s">
        <v>711</v>
      </c>
      <c r="B159" s="9" t="n">
        <f aca="false">AVERAGE(Greens!H226,Greens!I226,Greens!J226,Greens!L226,Greens!P226,Greens!R226,Greens!S226,Greens!T226,Greens!U226,Greens!V226,Greens!W226,Greens!X226,Greens!Y226,Greens!AB226,Greens!AC226,Greens!AD226,Greens!AG226)</f>
        <v>0.835</v>
      </c>
      <c r="C159" s="9" t="n">
        <f aca="false">AVERAGE(Greens!B226,Greens!C226,Greens!D226,Greens!G226,Greens!K226,Greens!M226,Greens!N226,Greens!AA226,Greens!AE226,Greens!AF226,Greens!AH226,Greens!AI226,Greens!AJ226,Greens!AK226,Greens!AL226,Greens!AM226,Greens!AR226,Greens!AS226)</f>
        <v>-0.746</v>
      </c>
      <c r="D159" s="9" t="e">
        <f aca="false">AVERAGE(Greens!AN226,Greens!AO226,Greens!AP226,Greens!AQ226)</f>
        <v>#DIV/0!</v>
      </c>
      <c r="E159" s="6" t="e">
        <f aca="false">AVERAGE(Greens!E226,Greens!F226,Greens!Q226,greens!#ref!)</f>
        <v>#NAME?</v>
      </c>
      <c r="F159" s="6" t="n">
        <f aca="false">Greens!O226</f>
        <v>0</v>
      </c>
    </row>
    <row r="160" customFormat="false" ht="15" hidden="false" customHeight="true" outlineLevel="0" collapsed="false">
      <c r="A160" s="83" t="s">
        <v>712</v>
      </c>
      <c r="B160" s="9" t="n">
        <f aca="false">AVERAGE(Greens!H52,Greens!I52,Greens!J52,Greens!L52,Greens!P52,Greens!R52,Greens!S52,Greens!T52,Greens!U52,Greens!V52,Greens!W52,Greens!X52,Greens!Y52,Greens!AB52,Greens!AC52,Greens!AD52,Greens!AG52)</f>
        <v>0.79</v>
      </c>
      <c r="C160" s="58" t="n">
        <f aca="false">AVERAGE(Greens!B52,Greens!C52,Greens!D52,Greens!G52,Greens!K52,Greens!M52,Greens!N52,Greens!AA52,Greens!AE52,Greens!AF52,Greens!AH52,Greens!AI52,Greens!AJ52,Greens!AK52,Greens!AL52,Greens!AM52,Greens!AR52,Greens!AS52)</f>
        <v>0.15875</v>
      </c>
      <c r="D160" s="58" t="n">
        <f aca="false">AVERAGE(Greens!AN52,Greens!AO52,Greens!AP52,Greens!AQ52)</f>
        <v>0.115</v>
      </c>
      <c r="E160" s="6" t="e">
        <f aca="false">AVERAGE(Greens!E52,Greens!F52,Greens!Q52,greens!#ref!)</f>
        <v>#NAME?</v>
      </c>
      <c r="F160" s="6" t="n">
        <f aca="false">Greens!O52</f>
        <v>0</v>
      </c>
    </row>
    <row r="161" customFormat="false" ht="15" hidden="false" customHeight="true" outlineLevel="0" collapsed="false">
      <c r="A161" s="83" t="s">
        <v>713</v>
      </c>
      <c r="B161" s="9" t="n">
        <f aca="false">AVERAGE(Greens!H224,Greens!I224,Greens!J224,Greens!L224,Greens!P224,Greens!R224,Greens!S224,Greens!T224,Greens!U224,Greens!V224,Greens!W224,Greens!X224,Greens!Y224,Greens!AB224,Greens!AC224,Greens!AD224,Greens!AG224)</f>
        <v>0.745</v>
      </c>
      <c r="C161" s="58" t="n">
        <f aca="false">AVERAGE(Greens!B224,Greens!C224,Greens!D224,Greens!G224,Greens!K224,Greens!M224,Greens!N224,Greens!AA224,Greens!AE224,Greens!AF224,Greens!AH224,Greens!AI224,Greens!AJ224,Greens!AK224,Greens!AL224,Greens!AM224,Greens!AR224,Greens!AS224)</f>
        <v>-0.285</v>
      </c>
      <c r="D161" s="58" t="n">
        <f aca="false">AVERAGE(Greens!AN224,Greens!AO224,Greens!AP224,Greens!AQ224)</f>
        <v>0.243333333333333</v>
      </c>
      <c r="E161" s="6" t="e">
        <f aca="false">AVERAGE(Greens!E224,Greens!F224,Greens!Q224,greens!#ref!)</f>
        <v>#NAME?</v>
      </c>
      <c r="F161" s="6" t="n">
        <f aca="false">Greens!O224</f>
        <v>0</v>
      </c>
    </row>
    <row r="162" customFormat="false" ht="15" hidden="false" customHeight="true" outlineLevel="0" collapsed="false">
      <c r="A162" s="83" t="s">
        <v>714</v>
      </c>
      <c r="B162" s="9" t="n">
        <f aca="false">AVERAGE(Greens!H139,Greens!I139,Greens!J139,Greens!L139,Greens!P139,Greens!R139,Greens!S139,Greens!T139,Greens!U139,Greens!V139,Greens!W139,Greens!X139,Greens!Y139,Greens!AB139,Greens!AC139,Greens!AD139,Greens!AG139)</f>
        <v>0.735</v>
      </c>
      <c r="C162" s="58" t="n">
        <f aca="false">AVERAGE(Greens!B139,Greens!C139,Greens!D139,Greens!G139,Greens!K139,Greens!M139,Greens!N139,Greens!AA139,Greens!AE139,Greens!AF139,Greens!AH139,Greens!AI139,Greens!AJ139,Greens!AK139,Greens!AL139,Greens!AM139,Greens!AR139,Greens!AS139)</f>
        <v>-0.1</v>
      </c>
      <c r="D162" s="58" t="n">
        <f aca="false">AVERAGE(Greens!AN139,Greens!AO139,Greens!AP139,Greens!AQ139)</f>
        <v>0.6675</v>
      </c>
      <c r="E162" s="6" t="e">
        <f aca="false">AVERAGE(Greens!E139,Greens!F139,Greens!Q139,greens!#ref!)</f>
        <v>#NAME?</v>
      </c>
      <c r="F162" s="6" t="n">
        <f aca="false">Greens!O139</f>
        <v>0</v>
      </c>
    </row>
    <row r="163" customFormat="false" ht="15" hidden="false" customHeight="true" outlineLevel="0" collapsed="false">
      <c r="A163" s="83" t="s">
        <v>715</v>
      </c>
      <c r="B163" s="9" t="n">
        <f aca="false">AVERAGE(Greens!H116,Greens!I116,Greens!J116,Greens!L116,Greens!P116,Greens!R116,Greens!S116,Greens!T116,Greens!U116,Greens!V116,Greens!W116,Greens!X116,Greens!Y116,Greens!AB116,Greens!AC116,Greens!AD116,Greens!AG116)</f>
        <v>0.68</v>
      </c>
      <c r="C163" s="58" t="n">
        <f aca="false">AVERAGE(Greens!B116,Greens!C116,Greens!D116,Greens!G116,Greens!K116,Greens!M116,Greens!N116,Greens!AA116,Greens!AE116,Greens!AF116,Greens!AH116,Greens!AI116,Greens!AJ116,Greens!AK116,Greens!AL116,Greens!AM116,Greens!AR116,Greens!AS116)</f>
        <v>0.7975</v>
      </c>
      <c r="D163" s="58" t="n">
        <f aca="false">AVERAGE(Greens!AN116,Greens!AO116,Greens!AP116,Greens!AQ116)</f>
        <v>1.245</v>
      </c>
      <c r="E163" s="6" t="e">
        <f aca="false">AVERAGE(Greens!E116,Greens!F116,Greens!Q116,greens!#ref!)</f>
        <v>#NAME?</v>
      </c>
      <c r="F163" s="6" t="n">
        <f aca="false">Greens!O116</f>
        <v>0</v>
      </c>
    </row>
    <row r="164" customFormat="false" ht="15" hidden="false" customHeight="true" outlineLevel="0" collapsed="false">
      <c r="A164" s="83" t="s">
        <v>716</v>
      </c>
      <c r="B164" s="9" t="n">
        <f aca="false">AVERAGE(Greens!H145,Greens!I145,Greens!J145,Greens!L145,Greens!P145,Greens!R145,Greens!S145,Greens!T145,Greens!U145,Greens!V145,Greens!W145,Greens!X145,Greens!Y145,Greens!AB145,Greens!AC145,Greens!AD145,Greens!AG145)</f>
        <v>0.655</v>
      </c>
      <c r="C164" s="58" t="n">
        <f aca="false">AVERAGE(Greens!B145,Greens!C145,Greens!D145,Greens!G145,Greens!K145,Greens!M145,Greens!N145,Greens!AA145,Greens!AE145,Greens!AF145,Greens!AH145,Greens!AI145,Greens!AJ145,Greens!AK145,Greens!AL145,Greens!AM145,Greens!AR145,Greens!AS145)</f>
        <v>0.966666666666667</v>
      </c>
      <c r="D164" s="58" t="n">
        <f aca="false">AVERAGE(Greens!AN145,Greens!AO145,Greens!AP145,Greens!AQ145)</f>
        <v>-0.19</v>
      </c>
      <c r="E164" s="6" t="e">
        <f aca="false">AVERAGE(Greens!E145,Greens!F145,Greens!Q145,greens!#ref!)</f>
        <v>#NAME?</v>
      </c>
      <c r="F164" s="6" t="n">
        <f aca="false">Greens!O145</f>
        <v>0</v>
      </c>
    </row>
    <row r="165" customFormat="false" ht="15" hidden="false" customHeight="true" outlineLevel="0" collapsed="false">
      <c r="A165" s="83" t="s">
        <v>717</v>
      </c>
      <c r="B165" s="9" t="n">
        <f aca="false">AVERAGE(Greens!H109,Greens!I109,Greens!J109,Greens!L109,Greens!P109,Greens!R109,Greens!S109,Greens!T109,Greens!U109,Greens!V109,Greens!W109,Greens!X109,Greens!Y109,Greens!AB109,Greens!AC109,Greens!AD109,Greens!AG109)</f>
        <v>0.615</v>
      </c>
      <c r="C165" s="58" t="n">
        <f aca="false">AVERAGE(Greens!B109,Greens!C109,Greens!D109,Greens!G109,Greens!K109,Greens!M109,Greens!N109,Greens!AA109,Greens!AE109,Greens!AF109,Greens!AH109,Greens!AI109,Greens!AJ109,Greens!AK109,Greens!AL109,Greens!AM109,Greens!AR109,Greens!AS109)</f>
        <v>0.7375</v>
      </c>
      <c r="D165" s="58" t="n">
        <f aca="false">AVERAGE(Greens!AN109,Greens!AO109,Greens!AP109,Greens!AQ109)</f>
        <v>-0.22</v>
      </c>
      <c r="E165" s="6" t="e">
        <f aca="false">AVERAGE(Greens!E109,Greens!F109,Greens!Q109,greens!#ref!)</f>
        <v>#NAME?</v>
      </c>
      <c r="F165" s="6" t="n">
        <f aca="false">Greens!O109</f>
        <v>0</v>
      </c>
    </row>
    <row r="166" customFormat="false" ht="15" hidden="false" customHeight="true" outlineLevel="0" collapsed="false">
      <c r="A166" s="83" t="s">
        <v>718</v>
      </c>
      <c r="B166" s="9" t="n">
        <f aca="false">AVERAGE(Greens!H211,Greens!I211,Greens!J211,Greens!L211,Greens!P211,Greens!R211,Greens!S211,Greens!T211,Greens!U211,Greens!V211,Greens!W211,Greens!X211,Greens!Y211,Greens!AB211,Greens!AC211,Greens!AD211,Greens!AG211)</f>
        <v>0.615</v>
      </c>
      <c r="C166" s="58" t="e">
        <f aca="false">AVERAGE(Greens!B211,Greens!C211,Greens!D211,Greens!G211,Greens!K211,Greens!M211,Greens!N211,Greens!AA211,Greens!AE211,Greens!AF211,Greens!AH211,Greens!AI211,Greens!AJ211,Greens!AK211,Greens!AL211,Greens!AM211,Greens!AR211,Greens!AS211)</f>
        <v>#DIV/0!</v>
      </c>
      <c r="D166" s="58" t="e">
        <f aca="false">AVERAGE(Greens!AN211,Greens!AO211,Greens!AP211,Greens!AQ211)</f>
        <v>#DIV/0!</v>
      </c>
      <c r="E166" s="6" t="e">
        <f aca="false">AVERAGE(Greens!E211,Greens!F211,Greens!Q211,greens!#ref!)</f>
        <v>#NAME?</v>
      </c>
      <c r="F166" s="6" t="n">
        <f aca="false">Greens!O211</f>
        <v>0</v>
      </c>
    </row>
    <row r="167" customFormat="false" ht="15" hidden="false" customHeight="true" outlineLevel="0" collapsed="false">
      <c r="A167" s="83" t="s">
        <v>719</v>
      </c>
      <c r="B167" s="9" t="n">
        <f aca="false">AVERAGE(Greens!H103,Greens!I103,Greens!J103,Greens!L103,Greens!P103,Greens!R103,Greens!S103,Greens!T103,Greens!U103,Greens!V103,Greens!W103,Greens!X103,Greens!Y103,Greens!AB103,Greens!AC103,Greens!AD103,Greens!AG103)</f>
        <v>0.575</v>
      </c>
      <c r="C167" s="58" t="e">
        <f aca="false">AVERAGE(Greens!B103,Greens!C103,Greens!D103,Greens!G103,Greens!K103,Greens!M103,Greens!N103,Greens!AA103,Greens!AE103,Greens!AF103,Greens!AH103,Greens!AI103,Greens!AJ103,Greens!AK103,Greens!AL103,Greens!AM103,Greens!AR103,Greens!AS103)</f>
        <v>#DIV/0!</v>
      </c>
      <c r="D167" s="58" t="e">
        <f aca="false">AVERAGE(Greens!AN103,Greens!AO103,Greens!AP103,Greens!AQ103)</f>
        <v>#DIV/0!</v>
      </c>
      <c r="E167" s="6" t="e">
        <f aca="false">AVERAGE(Greens!E103,Greens!F103,Greens!Q103,greens!#ref!)</f>
        <v>#NAME?</v>
      </c>
      <c r="F167" s="6" t="n">
        <f aca="false">Greens!O103</f>
        <v>0</v>
      </c>
    </row>
    <row r="168" customFormat="false" ht="15" hidden="false" customHeight="true" outlineLevel="0" collapsed="false">
      <c r="A168" s="83" t="s">
        <v>720</v>
      </c>
      <c r="B168" s="9" t="n">
        <f aca="false">AVERAGE(Greens!H36,Greens!I36,Greens!J36,Greens!L36,Greens!P36,Greens!R36,Greens!S36,Greens!T36,Greens!U36,Greens!V36,Greens!W36,Greens!X36,Greens!Y36,Greens!AB36,Greens!AC36,Greens!AD36,Greens!AG36)</f>
        <v>0.54</v>
      </c>
      <c r="C168" s="58" t="n">
        <f aca="false">AVERAGE(Greens!B36,Greens!C36,Greens!D36,Greens!G36,Greens!K36,Greens!M36,Greens!N36,Greens!AA36,Greens!AE36,Greens!AF36,Greens!AH36,Greens!AI36,Greens!AJ36,Greens!AK36,Greens!AL36,Greens!AM36,Greens!AR36,Greens!AS36)</f>
        <v>0.785</v>
      </c>
      <c r="D168" s="58" t="n">
        <f aca="false">AVERAGE(Greens!AN36,Greens!AO36,Greens!AP36,Greens!AQ36)</f>
        <v>0.223333333333333</v>
      </c>
      <c r="E168" s="6" t="e">
        <f aca="false">AVERAGE(Greens!E36,Greens!F36,Greens!Q36,greens!#ref!)</f>
        <v>#NAME?</v>
      </c>
      <c r="F168" s="6" t="n">
        <f aca="false">Greens!O36</f>
        <v>0</v>
      </c>
    </row>
    <row r="169" customFormat="false" ht="15" hidden="false" customHeight="true" outlineLevel="0" collapsed="false">
      <c r="A169" s="83" t="s">
        <v>721</v>
      </c>
      <c r="B169" s="9" t="n">
        <f aca="false">AVERAGE(Greens!H130,Greens!I130,Greens!J130,Greens!L130,Greens!P130,Greens!R130,Greens!S130,Greens!T130,Greens!U130,Greens!V130,Greens!W130,Greens!X130,Greens!Y130,Greens!AB130,Greens!AC130,Greens!AD130,Greens!AG130)</f>
        <v>0.54</v>
      </c>
      <c r="C169" s="58" t="n">
        <f aca="false">AVERAGE(Greens!B130,Greens!C130,Greens!D130,Greens!G130,Greens!K130,Greens!M130,Greens!N130,Greens!AA130,Greens!AE130,Greens!AF130,Greens!AH130,Greens!AI130,Greens!AJ130,Greens!AK130,Greens!AL130,Greens!AM130,Greens!AR130,Greens!AS130)</f>
        <v>-0.141428571428571</v>
      </c>
      <c r="D169" s="58" t="n">
        <f aca="false">AVERAGE(Greens!AN130,Greens!AO130,Greens!AP130,Greens!AQ130)</f>
        <v>-0.54</v>
      </c>
      <c r="E169" s="6" t="e">
        <f aca="false">AVERAGE(Greens!E130,Greens!F130,Greens!Q130,greens!#ref!)</f>
        <v>#NAME?</v>
      </c>
      <c r="F169" s="6" t="n">
        <f aca="false">Greens!O130</f>
        <v>0</v>
      </c>
    </row>
    <row r="170" customFormat="false" ht="15" hidden="false" customHeight="true" outlineLevel="0" collapsed="false">
      <c r="A170" s="83" t="s">
        <v>722</v>
      </c>
      <c r="B170" s="9" t="n">
        <f aca="false">AVERAGE(Greens!H254,Greens!I254,Greens!J254,Greens!L254,Greens!P254,Greens!R254,Greens!S254,Greens!T254,Greens!U254,Greens!V254,Greens!W254,Greens!X254,Greens!Y254,Greens!AB254,Greens!AC254,Greens!AD254,Greens!AG254)</f>
        <v>0.535</v>
      </c>
      <c r="C170" s="58" t="n">
        <f aca="false">AVERAGE(Greens!B254,Greens!C254,Greens!D254,Greens!G254,Greens!K254,Greens!M254,Greens!N254,Greens!AA254,Greens!AE254,Greens!AF254,Greens!AH254,Greens!AI254,Greens!AJ254,Greens!AK254,Greens!AL254,Greens!AM254,Greens!AR254,Greens!AS254)</f>
        <v>0.75</v>
      </c>
      <c r="D170" s="58" t="n">
        <f aca="false">AVERAGE(Greens!AN254,Greens!AO254,Greens!AP254,Greens!AQ254)</f>
        <v>0.0175</v>
      </c>
      <c r="E170" s="6" t="e">
        <f aca="false">AVERAGE(Greens!E254,Greens!F254,Greens!Q254,greens!#ref!)</f>
        <v>#NAME?</v>
      </c>
      <c r="F170" s="6" t="n">
        <f aca="false">Greens!O254</f>
        <v>0</v>
      </c>
    </row>
    <row r="171" customFormat="false" ht="15" hidden="false" customHeight="true" outlineLevel="0" collapsed="false">
      <c r="A171" s="83" t="s">
        <v>723</v>
      </c>
      <c r="B171" s="9" t="n">
        <f aca="false">AVERAGE(Greens!H82,Greens!I82,Greens!J82,Greens!L82,Greens!P82,Greens!R82,Greens!S82,Greens!T82,Greens!U82,Greens!V82,Greens!W82,Greens!X82,Greens!Y82,Greens!AB82,Greens!AC82,Greens!AD82,Greens!AG82)</f>
        <v>0.51</v>
      </c>
      <c r="C171" s="58" t="n">
        <f aca="false">AVERAGE(Greens!B82,Greens!C82,Greens!D82,Greens!G82,Greens!K82,Greens!M82,Greens!N82,Greens!AA82,Greens!AE82,Greens!AF82,Greens!AH82,Greens!AI82,Greens!AJ82,Greens!AK82,Greens!AL82,Greens!AM82,Greens!AR82,Greens!AS82)</f>
        <v>-0.358333333333333</v>
      </c>
      <c r="D171" s="58" t="n">
        <f aca="false">AVERAGE(Greens!AN82,Greens!AO82,Greens!AP82,Greens!AQ82)</f>
        <v>-1.2825</v>
      </c>
      <c r="E171" s="6" t="e">
        <f aca="false">AVERAGE(Greens!E82,Greens!F82,Greens!Q82,greens!#ref!)</f>
        <v>#NAME?</v>
      </c>
      <c r="F171" s="6" t="n">
        <f aca="false">Greens!O82</f>
        <v>0</v>
      </c>
    </row>
    <row r="172" customFormat="false" ht="15" hidden="false" customHeight="true" outlineLevel="0" collapsed="false">
      <c r="A172" s="83" t="s">
        <v>724</v>
      </c>
      <c r="B172" s="9" t="n">
        <f aca="false">AVERAGE(Greens!H189,Greens!I189,Greens!J189,Greens!L189,Greens!P189,Greens!R189,Greens!S189,Greens!T189,Greens!U189,Greens!V189,Greens!W189,Greens!X189,Greens!Y189,Greens!AB189,Greens!AC189,Greens!AD189,Greens!AG189)</f>
        <v>0.5</v>
      </c>
      <c r="C172" s="58" t="n">
        <f aca="false">AVERAGE(Greens!B189,Greens!C189,Greens!D189,Greens!G189,Greens!K189,Greens!M189,Greens!N189,Greens!AA189,Greens!AE189,Greens!AF189,Greens!AH189,Greens!AI189,Greens!AJ189,Greens!AK189,Greens!AL189,Greens!AM189,Greens!AR189,Greens!AS189)</f>
        <v>-0.3975</v>
      </c>
      <c r="D172" s="58" t="n">
        <f aca="false">AVERAGE(Greens!AN189,Greens!AO189,Greens!AP189,Greens!AQ189)</f>
        <v>0.253333333333333</v>
      </c>
      <c r="E172" s="6" t="e">
        <f aca="false">AVERAGE(Greens!E189,Greens!F189,Greens!Q189,greens!#ref!)</f>
        <v>#NAME?</v>
      </c>
      <c r="F172" s="6" t="n">
        <f aca="false">Greens!O189</f>
        <v>0</v>
      </c>
    </row>
    <row r="173" customFormat="false" ht="15" hidden="false" customHeight="true" outlineLevel="0" collapsed="false">
      <c r="A173" s="83" t="s">
        <v>725</v>
      </c>
      <c r="B173" s="9" t="n">
        <f aca="false">AVERAGE(Greens!H8,Greens!I8,Greens!J8,Greens!L8,Greens!P8,Greens!R8,Greens!S8,Greens!T8,Greens!U8,Greens!V8,Greens!W8,Greens!X8,Greens!Y8,Greens!AB8,Greens!AC8,Greens!AD8,Greens!AG8)</f>
        <v>0.47</v>
      </c>
      <c r="C173" s="58" t="n">
        <f aca="false">AVERAGE(Greens!B8,Greens!C8,Greens!D8,Greens!G8,Greens!K8,Greens!M8,Greens!N8,Greens!AA8,Greens!AE8,Greens!AF8,Greens!AH8,Greens!AI8,Greens!AJ8,Greens!AK8,Greens!AL8,Greens!AM8,Greens!AR8,Greens!AS8)</f>
        <v>-0.95125</v>
      </c>
      <c r="D173" s="58" t="n">
        <f aca="false">AVERAGE(Greens!AN8,Greens!AO8,Greens!AP8,Greens!AQ8)</f>
        <v>-1.02</v>
      </c>
      <c r="E173" s="6" t="e">
        <f aca="false">AVERAGE(Greens!E8,Greens!F8,Greens!Q8,greens!#ref!)</f>
        <v>#NAME?</v>
      </c>
      <c r="F173" s="6" t="n">
        <f aca="false">Greens!O8</f>
        <v>0</v>
      </c>
    </row>
    <row r="174" customFormat="false" ht="15" hidden="false" customHeight="true" outlineLevel="0" collapsed="false">
      <c r="A174" s="83" t="s">
        <v>726</v>
      </c>
      <c r="B174" s="9" t="n">
        <f aca="false">AVERAGE(Greens!H147,Greens!I147,Greens!J147,Greens!L147,Greens!P147,Greens!R147,Greens!S147,Greens!T147,Greens!U147,Greens!V147,Greens!W147,Greens!X147,Greens!Y147,Greens!AB147,Greens!AC147,Greens!AD147,Greens!AG147)</f>
        <v>0.43</v>
      </c>
      <c r="C174" s="58" t="n">
        <f aca="false">AVERAGE(Greens!B147,Greens!C147,Greens!D147,Greens!G147,Greens!K147,Greens!M147,Greens!N147,Greens!AA147,Greens!AE147,Greens!AF147,Greens!AH147,Greens!AI147,Greens!AJ147,Greens!AK147,Greens!AL147,Greens!AM147,Greens!AR147,Greens!AS147)</f>
        <v>-0.2475</v>
      </c>
      <c r="D174" s="58" t="n">
        <f aca="false">AVERAGE(Greens!AN147,Greens!AO147,Greens!AP147,Greens!AQ147)</f>
        <v>-0.523333333333333</v>
      </c>
      <c r="E174" s="6" t="e">
        <f aca="false">AVERAGE(Greens!E147,Greens!F147,Greens!Q147,greens!#ref!)</f>
        <v>#NAME?</v>
      </c>
      <c r="F174" s="6" t="n">
        <f aca="false">Greens!O147</f>
        <v>0</v>
      </c>
    </row>
    <row r="175" customFormat="false" ht="15" hidden="false" customHeight="true" outlineLevel="0" collapsed="false">
      <c r="A175" s="83" t="s">
        <v>727</v>
      </c>
      <c r="B175" s="9" t="n">
        <f aca="false">AVERAGE(Greens!H179,Greens!I179,Greens!J179,Greens!L179,Greens!P179,Greens!R179,Greens!S179,Greens!T179,Greens!U179,Greens!V179,Greens!W179,Greens!X179,Greens!Y179,Greens!AB179,Greens!AC179,Greens!AD179,Greens!AG179)</f>
        <v>0.43</v>
      </c>
      <c r="C175" s="58" t="n">
        <f aca="false">AVERAGE(Greens!B179,Greens!C179,Greens!D179,Greens!G179,Greens!K179,Greens!M179,Greens!N179,Greens!AA179,Greens!AE179,Greens!AF179,Greens!AH179,Greens!AI179,Greens!AJ179,Greens!AK179,Greens!AL179,Greens!AM179,Greens!AR179,Greens!AS179)</f>
        <v>0.12</v>
      </c>
      <c r="D175" s="58" t="n">
        <f aca="false">AVERAGE(Greens!AN179,Greens!AO179,Greens!AP179,Greens!AQ179)</f>
        <v>-2.98</v>
      </c>
      <c r="E175" s="6" t="e">
        <f aca="false">AVERAGE(Greens!E179,Greens!F179,Greens!Q179,greens!#ref!)</f>
        <v>#NAME?</v>
      </c>
      <c r="F175" s="6" t="n">
        <f aca="false">Greens!O179</f>
        <v>0</v>
      </c>
    </row>
    <row r="176" customFormat="false" ht="15" hidden="false" customHeight="true" outlineLevel="0" collapsed="false">
      <c r="A176" s="83" t="s">
        <v>728</v>
      </c>
      <c r="B176" s="9" t="n">
        <f aca="false">AVERAGE(Greens!H37,Greens!I37,Greens!J37,Greens!L37,Greens!P37,Greens!R37,Greens!S37,Greens!T37,Greens!U37,Greens!V37,Greens!W37,Greens!X37,Greens!Y37,Greens!AB37,Greens!AC37,Greens!AD37,Greens!AG37)</f>
        <v>0.42</v>
      </c>
      <c r="C176" s="58" t="e">
        <f aca="false">AVERAGE(Greens!B37,Greens!C37,Greens!D37,Greens!G37,Greens!K37,Greens!M37,Greens!N37,Greens!AA37,Greens!AE37,Greens!AF37,Greens!AH37,Greens!AI37,Greens!AJ37,Greens!AK37,Greens!AL37,Greens!AM37,Greens!AR37,Greens!AS37)</f>
        <v>#DIV/0!</v>
      </c>
      <c r="D176" s="58" t="e">
        <f aca="false">AVERAGE(Greens!AN37,Greens!AO37,Greens!AP37,Greens!AQ37)</f>
        <v>#DIV/0!</v>
      </c>
      <c r="E176" s="6" t="e">
        <f aca="false">AVERAGE(Greens!E37,Greens!F37,Greens!Q37,greens!#ref!)</f>
        <v>#NAME?</v>
      </c>
      <c r="F176" s="6" t="n">
        <f aca="false">Greens!O37</f>
        <v>0</v>
      </c>
    </row>
    <row r="177" customFormat="false" ht="15" hidden="false" customHeight="true" outlineLevel="0" collapsed="false">
      <c r="A177" s="83" t="s">
        <v>729</v>
      </c>
      <c r="B177" s="9" t="n">
        <f aca="false">AVERAGE(Greens!H55,Greens!I55,Greens!J55,Greens!L55,Greens!P55,Greens!R55,Greens!S55,Greens!T55,Greens!U55,Greens!V55,Greens!W55,Greens!X55,Greens!Y55,Greens!AB55,Greens!AC55,Greens!AD55,Greens!AG55)</f>
        <v>0.4</v>
      </c>
      <c r="C177" s="58" t="n">
        <f aca="false">AVERAGE(Greens!B55,Greens!C55,Greens!D55,Greens!G55,Greens!K55,Greens!M55,Greens!N55,Greens!AA55,Greens!AE55,Greens!AF55,Greens!AH55,Greens!AI55,Greens!AJ55,Greens!AK55,Greens!AL55,Greens!AM55,Greens!AR55,Greens!AS55)</f>
        <v>-0.22</v>
      </c>
      <c r="D177" s="58" t="n">
        <f aca="false">AVERAGE(Greens!AN55,Greens!AO55,Greens!AP55,Greens!AQ55)</f>
        <v>0.565</v>
      </c>
      <c r="E177" s="6" t="e">
        <f aca="false">AVERAGE(Greens!E55,Greens!F55,Greens!Q55,greens!#ref!)</f>
        <v>#NAME?</v>
      </c>
      <c r="F177" s="6" t="n">
        <f aca="false">Greens!O55</f>
        <v>0</v>
      </c>
    </row>
    <row r="178" customFormat="false" ht="15" hidden="false" customHeight="true" outlineLevel="0" collapsed="false">
      <c r="A178" s="83" t="s">
        <v>730</v>
      </c>
      <c r="B178" s="9" t="n">
        <f aca="false">AVERAGE(Greens!H68,Greens!I68,Greens!J68,Greens!L68,Greens!P68,Greens!R68,Greens!S68,Greens!T68,Greens!U68,Greens!V68,Greens!W68,Greens!X68,Greens!Y68,Greens!AB68,Greens!AC68,Greens!AD68,Greens!AG68)</f>
        <v>0.385</v>
      </c>
      <c r="C178" s="58" t="n">
        <f aca="false">AVERAGE(Greens!B68,Greens!C68,Greens!D68,Greens!G68,Greens!K68,Greens!M68,Greens!N68,Greens!AA68,Greens!AE68,Greens!AF68,Greens!AH68,Greens!AI68,Greens!AJ68,Greens!AK68,Greens!AL68,Greens!AM68,Greens!AR68,Greens!AS68)</f>
        <v>0.678333333333333</v>
      </c>
      <c r="D178" s="58" t="n">
        <f aca="false">AVERAGE(Greens!AN68,Greens!AO68,Greens!AP68,Greens!AQ68)</f>
        <v>-0.6175</v>
      </c>
      <c r="E178" s="6" t="e">
        <f aca="false">AVERAGE(Greens!E68,Greens!F68,Greens!Q68,greens!#ref!)</f>
        <v>#NAME?</v>
      </c>
      <c r="F178" s="6" t="n">
        <f aca="false">Greens!O68</f>
        <v>0</v>
      </c>
    </row>
    <row r="179" customFormat="false" ht="15" hidden="false" customHeight="true" outlineLevel="0" collapsed="false">
      <c r="A179" s="83" t="s">
        <v>731</v>
      </c>
      <c r="B179" s="9" t="n">
        <f aca="false">AVERAGE(Greens!H62,Greens!I62,Greens!J62,Greens!L62,Greens!P62,Greens!R62,Greens!S62,Greens!T62,Greens!U62,Greens!V62,Greens!W62,Greens!X62,Greens!Y62,Greens!AB62,Greens!AC62,Greens!AD62,Greens!AG62)</f>
        <v>0.37</v>
      </c>
      <c r="C179" s="58" t="n">
        <f aca="false">AVERAGE(Greens!B62,Greens!C62,Greens!D62,Greens!G62,Greens!K62,Greens!M62,Greens!N62,Greens!AA62,Greens!AE62,Greens!AF62,Greens!AH62,Greens!AI62,Greens!AJ62,Greens!AK62,Greens!AL62,Greens!AM62,Greens!AR62,Greens!AS62)</f>
        <v>0.2825</v>
      </c>
      <c r="D179" s="58" t="n">
        <f aca="false">AVERAGE(Greens!AN62,Greens!AO62,Greens!AP62,Greens!AQ62)</f>
        <v>0.356666666666667</v>
      </c>
      <c r="E179" s="6" t="e">
        <f aca="false">AVERAGE(Greens!E62,Greens!F62,Greens!Q62,greens!#ref!)</f>
        <v>#NAME?</v>
      </c>
      <c r="F179" s="6" t="n">
        <f aca="false">Greens!O62</f>
        <v>0</v>
      </c>
    </row>
    <row r="180" customFormat="false" ht="15" hidden="false" customHeight="true" outlineLevel="0" collapsed="false">
      <c r="A180" s="83" t="s">
        <v>732</v>
      </c>
      <c r="B180" s="9" t="n">
        <f aca="false">AVERAGE(Greens!H202,Greens!I202,Greens!J202,Greens!L202,Greens!P202,Greens!R202,Greens!S202,Greens!T202,Greens!U202,Greens!V202,Greens!W202,Greens!X202,Greens!Y202,Greens!AB202,Greens!AC202,Greens!AD202,Greens!AG202)</f>
        <v>0.35</v>
      </c>
      <c r="C180" s="58" t="e">
        <f aca="false">AVERAGE(Greens!B202,Greens!C202,Greens!D202,Greens!G202,Greens!K202,Greens!M202,Greens!N202,Greens!AA202,Greens!AE202,Greens!AF202,Greens!AH202,Greens!AI202,Greens!AJ202,Greens!AK202,Greens!AL202,Greens!AM202,Greens!AR202,Greens!AS202)</f>
        <v>#DIV/0!</v>
      </c>
      <c r="D180" s="58" t="e">
        <f aca="false">AVERAGE(Greens!AN202,Greens!AO202,Greens!AP202,Greens!AQ202)</f>
        <v>#DIV/0!</v>
      </c>
      <c r="E180" s="6" t="e">
        <f aca="false">AVERAGE(Greens!E202,Greens!F202,Greens!Q202,greens!#ref!)</f>
        <v>#NAME?</v>
      </c>
      <c r="F180" s="6" t="n">
        <f aca="false">Greens!O202</f>
        <v>0</v>
      </c>
    </row>
    <row r="181" customFormat="false" ht="15" hidden="false" customHeight="true" outlineLevel="0" collapsed="false">
      <c r="A181" s="83" t="s">
        <v>733</v>
      </c>
      <c r="B181" s="9" t="n">
        <f aca="false">AVERAGE(Greens!H214,Greens!I214,Greens!J214,Greens!L214,Greens!P214,Greens!R214,Greens!S214,Greens!T214,Greens!U214,Greens!V214,Greens!W214,Greens!X214,Greens!Y214,Greens!AB214,Greens!AC214,Greens!AD214,Greens!AG214)</f>
        <v>0.33</v>
      </c>
      <c r="C181" s="58" t="n">
        <f aca="false">AVERAGE(Greens!B214,Greens!C214,Greens!D214,Greens!G214,Greens!K214,Greens!M214,Greens!N214,Greens!AA214,Greens!AE214,Greens!AF214,Greens!AH214,Greens!AI214,Greens!AJ214,Greens!AK214,Greens!AL214,Greens!AM214,Greens!AR214,Greens!AS214)</f>
        <v>-0.0125</v>
      </c>
      <c r="D181" s="58" t="n">
        <f aca="false">AVERAGE(Greens!AN214,Greens!AO214,Greens!AP214,Greens!AQ214)</f>
        <v>-1.18</v>
      </c>
      <c r="E181" s="6" t="e">
        <f aca="false">AVERAGE(Greens!E214,Greens!F214,Greens!Q214,greens!#ref!)</f>
        <v>#NAME?</v>
      </c>
      <c r="F181" s="6" t="n">
        <f aca="false">Greens!O214</f>
        <v>0</v>
      </c>
    </row>
    <row r="182" customFormat="false" ht="15" hidden="false" customHeight="true" outlineLevel="0" collapsed="false">
      <c r="A182" s="83" t="s">
        <v>734</v>
      </c>
      <c r="B182" s="9" t="n">
        <f aca="false">AVERAGE(Greens!H200,Greens!I200,Greens!J200,Greens!L200,Greens!P200,Greens!R200,Greens!S200,Greens!T200,Greens!U200,Greens!V200,Greens!W200,Greens!X200,Greens!Y200,Greens!AB200,Greens!AC200,Greens!AD200,Greens!AG200)</f>
        <v>0.31</v>
      </c>
      <c r="C182" s="58" t="n">
        <f aca="false">AVERAGE(Greens!B200,Greens!C200,Greens!D200,Greens!G200,Greens!K200,Greens!M200,Greens!N200,Greens!AA200,Greens!AE200,Greens!AF200,Greens!AH200,Greens!AI200,Greens!AJ200,Greens!AK200,Greens!AL200,Greens!AM200,Greens!AR200,Greens!AS200)</f>
        <v>-0.70125</v>
      </c>
      <c r="D182" s="58" t="n">
        <f aca="false">AVERAGE(Greens!AN200,Greens!AO200,Greens!AP200,Greens!AQ200)</f>
        <v>-0.786666666666667</v>
      </c>
      <c r="E182" s="6" t="e">
        <f aca="false">AVERAGE(Greens!E200,Greens!F200,Greens!Q200,greens!#ref!)</f>
        <v>#NAME?</v>
      </c>
      <c r="F182" s="6" t="n">
        <f aca="false">Greens!O200</f>
        <v>0</v>
      </c>
    </row>
    <row r="183" customFormat="false" ht="15" hidden="false" customHeight="true" outlineLevel="0" collapsed="false">
      <c r="A183" s="83" t="s">
        <v>735</v>
      </c>
      <c r="B183" s="9" t="n">
        <f aca="false">AVERAGE(Greens!H184,Greens!I184,Greens!J184,Greens!L184,Greens!P184,Greens!R184,Greens!S184,Greens!T184,Greens!U184,Greens!V184,Greens!W184,Greens!X184,Greens!Y184,Greens!AB184,Greens!AC184,Greens!AD184,Greens!AG184)</f>
        <v>0.305</v>
      </c>
      <c r="C183" s="9" t="e">
        <f aca="false">AVERAGE(Greens!B184,Greens!C184,Greens!D184,Greens!G184,Greens!K184,Greens!M184,Greens!N184,Greens!AA184,Greens!AE184,Greens!AF184,Greens!AH184,Greens!AI184,Greens!AJ184,Greens!AK184,Greens!AL184,Greens!AM184,Greens!AR184,Greens!AS184)</f>
        <v>#DIV/0!</v>
      </c>
      <c r="D183" s="9" t="e">
        <f aca="false">AVERAGE(Greens!AN184,Greens!AO184,Greens!AP184,Greens!AQ184)</f>
        <v>#DIV/0!</v>
      </c>
      <c r="E183" s="6" t="e">
        <f aca="false">AVERAGE(Greens!E184,Greens!F184,Greens!Q184,greens!#ref!)</f>
        <v>#NAME?</v>
      </c>
      <c r="F183" s="6" t="n">
        <f aca="false">Greens!O184</f>
        <v>0</v>
      </c>
    </row>
    <row r="184" customFormat="false" ht="15" hidden="false" customHeight="true" outlineLevel="0" collapsed="false">
      <c r="A184" s="83" t="s">
        <v>736</v>
      </c>
      <c r="B184" s="9" t="n">
        <f aca="false">AVERAGE(Greens!H152,Greens!I152,Greens!J152,Greens!L152,Greens!P152,Greens!R152,Greens!S152,Greens!T152,Greens!U152,Greens!V152,Greens!W152,Greens!X152,Greens!Y152,Greens!AB152,Greens!AC152,Greens!AD152,Greens!AG152)</f>
        <v>0.27</v>
      </c>
      <c r="C184" s="58" t="n">
        <f aca="false">AVERAGE(Greens!B152,Greens!C152,Greens!D152,Greens!G152,Greens!K152,Greens!M152,Greens!N152,Greens!AA152,Greens!AE152,Greens!AF152,Greens!AH152,Greens!AI152,Greens!AJ152,Greens!AK152,Greens!AL152,Greens!AM152,Greens!AR152,Greens!AS152)</f>
        <v>-0.0357142857142857</v>
      </c>
      <c r="D184" s="58" t="n">
        <f aca="false">AVERAGE(Greens!AN152,Greens!AO152,Greens!AP152,Greens!AQ152)</f>
        <v>-0.84</v>
      </c>
      <c r="E184" s="6" t="e">
        <f aca="false">AVERAGE(Greens!E152,Greens!F152,Greens!Q152,greens!#ref!)</f>
        <v>#NAME?</v>
      </c>
      <c r="F184" s="6" t="n">
        <f aca="false">Greens!O152</f>
        <v>0</v>
      </c>
    </row>
    <row r="185" customFormat="false" ht="15" hidden="false" customHeight="true" outlineLevel="0" collapsed="false">
      <c r="A185" s="83" t="s">
        <v>737</v>
      </c>
      <c r="B185" s="9" t="n">
        <f aca="false">AVERAGE(Greens!H180,Greens!I180,Greens!J180,Greens!L180,Greens!P180,Greens!R180,Greens!S180,Greens!T180,Greens!U180,Greens!V180,Greens!W180,Greens!X180,Greens!Y180,Greens!AB180,Greens!AC180,Greens!AD180,Greens!AG180)</f>
        <v>0.23</v>
      </c>
      <c r="C185" s="58" t="e">
        <f aca="false">AVERAGE(Greens!B180,Greens!C180,Greens!D180,Greens!G180,Greens!K180,Greens!M180,Greens!N180,Greens!AA180,Greens!AE180,Greens!AF180,Greens!AH180,Greens!AI180,Greens!AJ180,Greens!AK180,Greens!AL180,Greens!AM180,Greens!AR180,Greens!AS180)</f>
        <v>#DIV/0!</v>
      </c>
      <c r="D185" s="58" t="e">
        <f aca="false">AVERAGE(Greens!AN180,Greens!AO180,Greens!AP180,Greens!AQ180)</f>
        <v>#DIV/0!</v>
      </c>
      <c r="E185" s="6" t="e">
        <f aca="false">AVERAGE(Greens!E180,Greens!F180,Greens!Q180,greens!#ref!)</f>
        <v>#NAME?</v>
      </c>
      <c r="F185" s="6" t="n">
        <f aca="false">Greens!O180</f>
        <v>0</v>
      </c>
    </row>
    <row r="186" customFormat="false" ht="15" hidden="false" customHeight="true" outlineLevel="0" collapsed="false">
      <c r="A186" s="83" t="s">
        <v>738</v>
      </c>
      <c r="B186" s="9" t="n">
        <f aca="false">AVERAGE(Greens!H9,Greens!I9,Greens!J9,Greens!L9,Greens!P9,Greens!R9,Greens!S9,Greens!T9,Greens!U9,Greens!V9,Greens!W9,Greens!X9,Greens!Y9,Greens!AB9,Greens!AC9,Greens!AD9,Greens!AG9)</f>
        <v>0.19</v>
      </c>
      <c r="C186" s="58" t="n">
        <f aca="false">AVERAGE(Greens!B9,Greens!C9,Greens!D9,Greens!G9,Greens!K9,Greens!M9,Greens!N9,Greens!AA9,Greens!AE9,Greens!AF9,Greens!AH9,Greens!AI9,Greens!AJ9,Greens!AK9,Greens!AL9,Greens!AM9,Greens!AR9,Greens!AS9)</f>
        <v>-0.0533333333333333</v>
      </c>
      <c r="D186" s="58" t="n">
        <f aca="false">AVERAGE(Greens!AN9,Greens!AO9,Greens!AP9,Greens!AQ9)</f>
        <v>-0.81</v>
      </c>
      <c r="E186" s="6" t="e">
        <f aca="false">AVERAGE(Greens!E9,Greens!F9,Greens!Q9,greens!#ref!)</f>
        <v>#NAME?</v>
      </c>
      <c r="F186" s="6" t="n">
        <f aca="false">Greens!O9</f>
        <v>0</v>
      </c>
    </row>
    <row r="187" customFormat="false" ht="15" hidden="false" customHeight="true" outlineLevel="0" collapsed="false">
      <c r="A187" s="83" t="s">
        <v>739</v>
      </c>
      <c r="B187" s="9" t="n">
        <f aca="false">AVERAGE(Greens!H27,Greens!I27,Greens!J27,Greens!L27,Greens!P27,Greens!R27,Greens!S27,Greens!T27,Greens!U27,Greens!V27,Greens!W27,Greens!X27,Greens!Y27,Greens!AB27,Greens!AC27,Greens!AD27,Greens!AG27)</f>
        <v>0.185</v>
      </c>
      <c r="C187" s="58" t="n">
        <f aca="false">AVERAGE(Greens!B27,Greens!C27,Greens!D27,Greens!G27,Greens!K27,Greens!M27,Greens!N27,Greens!AA27,Greens!AE27,Greens!AF27,Greens!AH27,Greens!AI27,Greens!AJ27,Greens!AK27,Greens!AL27,Greens!AM27,Greens!AR27,Greens!AS27)</f>
        <v>-0.018</v>
      </c>
      <c r="D187" s="58" t="n">
        <f aca="false">AVERAGE(Greens!AN27,Greens!AO27,Greens!AP27,Greens!AQ27)</f>
        <v>-0.7775</v>
      </c>
      <c r="E187" s="6" t="e">
        <f aca="false">AVERAGE(Greens!E27,Greens!F27,Greens!Q27,greens!#ref!)</f>
        <v>#NAME?</v>
      </c>
      <c r="F187" s="6" t="n">
        <f aca="false">Greens!O27</f>
        <v>0</v>
      </c>
    </row>
    <row r="188" customFormat="false" ht="15" hidden="false" customHeight="true" outlineLevel="0" collapsed="false">
      <c r="A188" s="83" t="s">
        <v>740</v>
      </c>
      <c r="B188" s="9" t="n">
        <f aca="false">AVERAGE(Greens!H225,Greens!I225,Greens!J225,Greens!L225,Greens!P225,Greens!R225,Greens!S225,Greens!T225,Greens!U225,Greens!V225,Greens!W225,Greens!X225,Greens!Y225,Greens!AB225,Greens!AC225,Greens!AD225,Greens!AG225)</f>
        <v>0.17</v>
      </c>
      <c r="C188" s="58" t="n">
        <f aca="false">AVERAGE(Greens!B225,Greens!C225,Greens!D225,Greens!G225,Greens!K225,Greens!M225,Greens!N225,Greens!AA225,Greens!AE225,Greens!AF225,Greens!AH225,Greens!AI225,Greens!AJ225,Greens!AK225,Greens!AL225,Greens!AM225,Greens!AR225,Greens!AS225)</f>
        <v>0.33375</v>
      </c>
      <c r="D188" s="58" t="n">
        <f aca="false">AVERAGE(Greens!AN225,Greens!AO225,Greens!AP225,Greens!AQ225)</f>
        <v>0.555</v>
      </c>
      <c r="E188" s="6" t="e">
        <f aca="false">AVERAGE(Greens!E225,Greens!F225,Greens!Q225,greens!#ref!)</f>
        <v>#NAME?</v>
      </c>
      <c r="F188" s="6" t="n">
        <f aca="false">Greens!O225</f>
        <v>0</v>
      </c>
    </row>
    <row r="189" customFormat="false" ht="15" hidden="false" customHeight="true" outlineLevel="0" collapsed="false">
      <c r="A189" s="83" t="s">
        <v>741</v>
      </c>
      <c r="B189" s="9" t="n">
        <f aca="false">AVERAGE(Greens!H86,Greens!I86,Greens!J86,Greens!L86,Greens!P86,Greens!R86,Greens!S86,Greens!T86,Greens!U86,Greens!V86,Greens!W86,Greens!X86,Greens!Y86,Greens!AB86,Greens!AC86,Greens!AD86,Greens!AG86)</f>
        <v>0.1</v>
      </c>
      <c r="C189" s="58" t="n">
        <f aca="false">AVERAGE(Greens!B86,Greens!C86,Greens!D86,Greens!G86,Greens!K86,Greens!M86,Greens!N86,Greens!AA86,Greens!AE86,Greens!AF86,Greens!AH86,Greens!AI86,Greens!AJ86,Greens!AK86,Greens!AL86,Greens!AM86,Greens!AR86,Greens!AS86)</f>
        <v>-0.31625</v>
      </c>
      <c r="D189" s="58" t="n">
        <f aca="false">AVERAGE(Greens!AN86,Greens!AO86,Greens!AP86,Greens!AQ86)</f>
        <v>0.4625</v>
      </c>
      <c r="E189" s="6" t="e">
        <f aca="false">AVERAGE(Greens!E86,Greens!F86,Greens!Q86,greens!#ref!)</f>
        <v>#NAME?</v>
      </c>
      <c r="F189" s="6" t="n">
        <f aca="false">Greens!O86</f>
        <v>0</v>
      </c>
    </row>
    <row r="190" customFormat="false" ht="15" hidden="false" customHeight="true" outlineLevel="0" collapsed="false">
      <c r="A190" s="83" t="s">
        <v>742</v>
      </c>
      <c r="B190" s="9" t="n">
        <f aca="false">AVERAGE(Greens!H181,Greens!I181,Greens!J181,Greens!L181,Greens!P181,Greens!R181,Greens!S181,Greens!T181,Greens!U181,Greens!V181,Greens!W181,Greens!X181,Greens!Y181,Greens!AB181,Greens!AC181,Greens!AD181,Greens!AG181)</f>
        <v>0.1</v>
      </c>
      <c r="C190" s="58" t="n">
        <f aca="false">AVERAGE(Greens!B181,Greens!C181,Greens!D181,Greens!G181,Greens!K181,Greens!M181,Greens!N181,Greens!AA181,Greens!AE181,Greens!AF181,Greens!AH181,Greens!AI181,Greens!AJ181,Greens!AK181,Greens!AL181,Greens!AM181,Greens!AR181,Greens!AS181)</f>
        <v>-0.31</v>
      </c>
      <c r="D190" s="58" t="n">
        <f aca="false">AVERAGE(Greens!AN181,Greens!AO181,Greens!AP181,Greens!AQ181)</f>
        <v>-0.53</v>
      </c>
      <c r="E190" s="6" t="e">
        <f aca="false">AVERAGE(Greens!E181,Greens!F181,Greens!Q181,greens!#ref!)</f>
        <v>#NAME?</v>
      </c>
      <c r="F190" s="6" t="n">
        <f aca="false">Greens!O181</f>
        <v>0</v>
      </c>
    </row>
    <row r="191" customFormat="false" ht="15" hidden="false" customHeight="true" outlineLevel="0" collapsed="false">
      <c r="A191" s="83" t="s">
        <v>743</v>
      </c>
      <c r="B191" s="9" t="n">
        <f aca="false">AVERAGE(Greens!H111,Greens!I111,Greens!J111,Greens!L111,Greens!P111,Greens!R111,Greens!S111,Greens!T111,Greens!U111,Greens!V111,Greens!W111,Greens!X111,Greens!Y111,Greens!AB111,Greens!AC111,Greens!AD111,Greens!AG111)</f>
        <v>0.095</v>
      </c>
      <c r="C191" s="58" t="n">
        <f aca="false">AVERAGE(Greens!B111,Greens!C111,Greens!D111,Greens!G111,Greens!K111,Greens!M111,Greens!N111,Greens!AA111,Greens!AE111,Greens!AF111,Greens!AH111,Greens!AI111,Greens!AJ111,Greens!AK111,Greens!AL111,Greens!AM111,Greens!AR111,Greens!AS111)</f>
        <v>-0.0828571428571429</v>
      </c>
      <c r="D191" s="58" t="n">
        <f aca="false">AVERAGE(Greens!AN111,Greens!AO111,Greens!AP111,Greens!AQ111)</f>
        <v>-0.4075</v>
      </c>
      <c r="E191" s="6" t="e">
        <f aca="false">AVERAGE(Greens!E111,Greens!F111,Greens!Q111,greens!#ref!)</f>
        <v>#NAME?</v>
      </c>
      <c r="F191" s="6" t="n">
        <f aca="false">Greens!O111</f>
        <v>0</v>
      </c>
    </row>
    <row r="192" customFormat="false" ht="15" hidden="false" customHeight="true" outlineLevel="0" collapsed="false">
      <c r="A192" s="83" t="s">
        <v>744</v>
      </c>
      <c r="B192" s="9" t="n">
        <f aca="false">AVERAGE(Greens!H13,Greens!I13,Greens!J13,Greens!L13,Greens!P13,Greens!R13,Greens!S13,Greens!T13,Greens!U13,Greens!V13,Greens!W13,Greens!X13,Greens!Y13,Greens!AB13,Greens!AC13,Greens!AD13,Greens!AG13)</f>
        <v>0.09</v>
      </c>
      <c r="C192" s="58" t="n">
        <f aca="false">AVERAGE(Greens!B13,Greens!C13,Greens!D13,Greens!G13,Greens!K13,Greens!M13,Greens!N13,Greens!AA13,Greens!AE13,Greens!AF13,Greens!AH13,Greens!AI13,Greens!AJ13,Greens!AK13,Greens!AL13,Greens!AM13,Greens!AR13,Greens!AS13)</f>
        <v>-0.206666666666667</v>
      </c>
      <c r="D192" s="58" t="n">
        <f aca="false">AVERAGE(Greens!AN13,Greens!AO13,Greens!AP13,Greens!AQ13)</f>
        <v>0.905</v>
      </c>
      <c r="E192" s="6" t="e">
        <f aca="false">AVERAGE(Greens!E13,Greens!F13,Greens!Q13,greens!#ref!)</f>
        <v>#NAME?</v>
      </c>
      <c r="F192" s="6" t="n">
        <f aca="false">Greens!O13</f>
        <v>0</v>
      </c>
    </row>
    <row r="193" customFormat="false" ht="15" hidden="false" customHeight="true" outlineLevel="0" collapsed="false">
      <c r="A193" s="83" t="s">
        <v>745</v>
      </c>
      <c r="B193" s="9" t="n">
        <f aca="false">AVERAGE(Greens!H100,Greens!I100,Greens!J100,Greens!L100,Greens!P100,Greens!R100,Greens!S100,Greens!T100,Greens!U100,Greens!V100,Greens!W100,Greens!X100,Greens!Y100,Greens!AB100,Greens!AC100,Greens!AD100,Greens!AG100)</f>
        <v>0.085</v>
      </c>
      <c r="C193" s="58" t="n">
        <f aca="false">AVERAGE(Greens!B100,Greens!C100,Greens!D100,Greens!G100,Greens!K100,Greens!M100,Greens!N100,Greens!AA100,Greens!AE100,Greens!AF100,Greens!AH100,Greens!AI100,Greens!AJ100,Greens!AK100,Greens!AL100,Greens!AM100,Greens!AR100,Greens!AS100)</f>
        <v>0.106666666666667</v>
      </c>
      <c r="D193" s="9" t="e">
        <f aca="false">AVERAGE(Greens!AN100,Greens!AO100,Greens!AP100,Greens!AQ100)</f>
        <v>#DIV/0!</v>
      </c>
      <c r="E193" s="6" t="e">
        <f aca="false">AVERAGE(Greens!E100,Greens!F100,Greens!Q100,greens!#ref!)</f>
        <v>#NAME?</v>
      </c>
      <c r="F193" s="6" t="n">
        <f aca="false">Greens!O100</f>
        <v>0</v>
      </c>
    </row>
    <row r="194" customFormat="false" ht="15" hidden="false" customHeight="true" outlineLevel="0" collapsed="false">
      <c r="A194" s="83" t="s">
        <v>746</v>
      </c>
      <c r="B194" s="9" t="n">
        <f aca="false">AVERAGE(Greens!H42,Greens!I42,Greens!J42,Greens!L42,Greens!P42,Greens!R42,Greens!S42,Greens!T42,Greens!U42,Greens!V42,Greens!W42,Greens!X42,Greens!Y42,Greens!AB42,Greens!AC42,Greens!AD42,Greens!AG42)</f>
        <v>0.08</v>
      </c>
      <c r="C194" s="58" t="n">
        <f aca="false">AVERAGE(Greens!B42,Greens!C42,Greens!D42,Greens!G42,Greens!K42,Greens!M42,Greens!N42,Greens!AA42,Greens!AE42,Greens!AF42,Greens!AH42,Greens!AI42,Greens!AJ42,Greens!AK42,Greens!AL42,Greens!AM42,Greens!AR42,Greens!AS42)</f>
        <v>0.29</v>
      </c>
      <c r="D194" s="9" t="e">
        <f aca="false">AVERAGE(Greens!AN42,Greens!AO42,Greens!AP42,Greens!AQ42)</f>
        <v>#DIV/0!</v>
      </c>
      <c r="E194" s="6" t="e">
        <f aca="false">AVERAGE(Greens!E42,Greens!F42,Greens!Q42,greens!#ref!)</f>
        <v>#NAME?</v>
      </c>
      <c r="F194" s="6" t="n">
        <f aca="false">Greens!O42</f>
        <v>0</v>
      </c>
    </row>
    <row r="195" customFormat="false" ht="15" hidden="false" customHeight="true" outlineLevel="0" collapsed="false">
      <c r="A195" s="83" t="s">
        <v>747</v>
      </c>
      <c r="B195" s="9" t="n">
        <f aca="false">AVERAGE(Greens!H134,Greens!I134,Greens!J134,Greens!L134,Greens!P134,Greens!R134,Greens!S134,Greens!T134,Greens!U134,Greens!V134,Greens!W134,Greens!X134,Greens!Y134,Greens!AB134,Greens!AC134,Greens!AD134,Greens!AG134)</f>
        <v>0.08</v>
      </c>
      <c r="C195" s="58" t="n">
        <f aca="false">AVERAGE(Greens!B134,Greens!C134,Greens!D134,Greens!G134,Greens!K134,Greens!M134,Greens!N134,Greens!AA134,Greens!AE134,Greens!AF134,Greens!AH134,Greens!AI134,Greens!AJ134,Greens!AK134,Greens!AL134,Greens!AM134,Greens!AR134,Greens!AS134)</f>
        <v>0.336666666666667</v>
      </c>
      <c r="D195" s="58" t="n">
        <f aca="false">AVERAGE(Greens!AN134,Greens!AO134,Greens!AP134,Greens!AQ134)</f>
        <v>0.64</v>
      </c>
      <c r="E195" s="6" t="e">
        <f aca="false">AVERAGE(Greens!E134,Greens!F134,Greens!Q134,greens!#ref!)</f>
        <v>#NAME?</v>
      </c>
      <c r="F195" s="6" t="n">
        <f aca="false">Greens!O134</f>
        <v>0</v>
      </c>
    </row>
    <row r="196" customFormat="false" ht="15" hidden="false" customHeight="true" outlineLevel="0" collapsed="false">
      <c r="A196" s="83" t="s">
        <v>748</v>
      </c>
      <c r="B196" s="9" t="n">
        <f aca="false">AVERAGE(Greens!H93,Greens!I93,Greens!J93,Greens!L93,Greens!P93,Greens!R93,Greens!S93,Greens!T93,Greens!U93,Greens!V93,Greens!W93,Greens!X93,Greens!Y93,Greens!AB93,Greens!AC93,Greens!AD93,Greens!AG93)</f>
        <v>0.05</v>
      </c>
      <c r="C196" s="58" t="n">
        <f aca="false">AVERAGE(Greens!B93,Greens!C93,Greens!D93,Greens!G93,Greens!K93,Greens!M93,Greens!N93,Greens!AA93,Greens!AE93,Greens!AF93,Greens!AH93,Greens!AI93,Greens!AJ93,Greens!AK93,Greens!AL93,Greens!AM93,Greens!AR93,Greens!AS93)</f>
        <v>0.0428571428571428</v>
      </c>
      <c r="D196" s="58" t="n">
        <f aca="false">AVERAGE(Greens!AN93,Greens!AO93,Greens!AP93,Greens!AQ93)</f>
        <v>-0.71</v>
      </c>
      <c r="E196" s="6" t="e">
        <f aca="false">AVERAGE(Greens!E93,Greens!F93,Greens!Q93,greens!#ref!)</f>
        <v>#NAME?</v>
      </c>
      <c r="F196" s="6" t="n">
        <f aca="false">Greens!O93</f>
        <v>0</v>
      </c>
    </row>
    <row r="197" customFormat="false" ht="15" hidden="false" customHeight="true" outlineLevel="0" collapsed="false">
      <c r="A197" s="83" t="s">
        <v>749</v>
      </c>
      <c r="B197" s="9" t="n">
        <f aca="false">AVERAGE(Greens!H135,Greens!I135,Greens!J135,Greens!L135,Greens!P135,Greens!R135,Greens!S135,Greens!T135,Greens!U135,Greens!V135,Greens!W135,Greens!X135,Greens!Y135,Greens!AB135,Greens!AC135,Greens!AD135,Greens!AG135)</f>
        <v>0.03</v>
      </c>
      <c r="C197" s="58" t="n">
        <f aca="false">AVERAGE(Greens!B135,Greens!C135,Greens!D135,Greens!G135,Greens!K135,Greens!M135,Greens!N135,Greens!AA135,Greens!AE135,Greens!AF135,Greens!AH135,Greens!AI135,Greens!AJ135,Greens!AK135,Greens!AL135,Greens!AM135,Greens!AR135,Greens!AS135)</f>
        <v>0.843333333333333</v>
      </c>
      <c r="D197" s="58" t="n">
        <f aca="false">AVERAGE(Greens!AN135,Greens!AO135,Greens!AP135,Greens!AQ135)</f>
        <v>1.335</v>
      </c>
      <c r="E197" s="6" t="e">
        <f aca="false">AVERAGE(Greens!E135,Greens!F135,Greens!Q135,greens!#ref!)</f>
        <v>#NAME?</v>
      </c>
      <c r="F197" s="6" t="n">
        <f aca="false">Greens!O135</f>
        <v>0</v>
      </c>
    </row>
    <row r="198" customFormat="false" ht="15" hidden="false" customHeight="true" outlineLevel="0" collapsed="false">
      <c r="A198" s="83" t="s">
        <v>750</v>
      </c>
      <c r="B198" s="9" t="n">
        <f aca="false">AVERAGE(Greens!H185,Greens!I185,Greens!J185,Greens!L185,Greens!P185,Greens!R185,Greens!S185,Greens!T185,Greens!U185,Greens!V185,Greens!W185,Greens!X185,Greens!Y185,Greens!AB185,Greens!AC185,Greens!AD185,Greens!AG185)</f>
        <v>0.02</v>
      </c>
      <c r="C198" s="58" t="n">
        <f aca="false">AVERAGE(Greens!B185,Greens!C185,Greens!D185,Greens!G185,Greens!K185,Greens!M185,Greens!N185,Greens!AA185,Greens!AE185,Greens!AF185,Greens!AH185,Greens!AI185,Greens!AJ185,Greens!AK185,Greens!AL185,Greens!AM185,Greens!AR185,Greens!AS185)</f>
        <v>-0.594285714285714</v>
      </c>
      <c r="D198" s="58" t="n">
        <f aca="false">AVERAGE(Greens!AN185,Greens!AO185,Greens!AP185,Greens!AQ185)</f>
        <v>0.345</v>
      </c>
      <c r="E198" s="6" t="e">
        <f aca="false">AVERAGE(Greens!E185,Greens!F185,Greens!Q185,greens!#ref!)</f>
        <v>#NAME?</v>
      </c>
      <c r="F198" s="6" t="n">
        <f aca="false">Greens!O185</f>
        <v>0</v>
      </c>
    </row>
    <row r="199" customFormat="false" ht="15" hidden="false" customHeight="true" outlineLevel="0" collapsed="false">
      <c r="A199" s="83" t="s">
        <v>751</v>
      </c>
      <c r="B199" s="9" t="n">
        <f aca="false">AVERAGE(Greens!H118,Greens!I118,Greens!J118,Greens!L118,Greens!P118,Greens!R118,Greens!S118,Greens!T118,Greens!U118,Greens!V118,Greens!W118,Greens!X118,Greens!Y118,Greens!AB118,Greens!AC118,Greens!AD118,Greens!AG118)</f>
        <v>0.02</v>
      </c>
      <c r="C199" s="58" t="n">
        <f aca="false">AVERAGE(Greens!B118,Greens!C118,Greens!D118,Greens!G118,Greens!K118,Greens!M118,Greens!N118,Greens!AA118,Greens!AE118,Greens!AF118,Greens!AH118,Greens!AI118,Greens!AJ118,Greens!AK118,Greens!AL118,Greens!AM118,Greens!AR118,Greens!AS118)</f>
        <v>-0.1375</v>
      </c>
      <c r="D199" s="58" t="n">
        <f aca="false">AVERAGE(Greens!AN118,Greens!AO118,Greens!AP118,Greens!AQ118)</f>
        <v>-2.025</v>
      </c>
      <c r="E199" s="6" t="e">
        <f aca="false">AVERAGE(Greens!E118,Greens!F118,Greens!Q118,greens!#ref!)</f>
        <v>#NAME?</v>
      </c>
      <c r="F199" s="6" t="n">
        <f aca="false">Greens!O118</f>
        <v>0</v>
      </c>
    </row>
    <row r="200" customFormat="false" ht="15" hidden="false" customHeight="true" outlineLevel="0" collapsed="false">
      <c r="A200" s="83" t="s">
        <v>752</v>
      </c>
      <c r="B200" s="9" t="n">
        <f aca="false">AVERAGE(Greens!H21,Greens!I21,Greens!J21,Greens!L21,Greens!P21,Greens!R21,Greens!S21,Greens!T21,Greens!U21,Greens!V21,Greens!W21,Greens!X21,Greens!Y21,Greens!AB21,Greens!AC21,Greens!AD21,Greens!AG21)</f>
        <v>0.02</v>
      </c>
      <c r="C200" s="58" t="n">
        <f aca="false">AVERAGE(Greens!B21,Greens!C21,Greens!D21,Greens!G21,Greens!K21,Greens!M21,Greens!N21,Greens!AA21,Greens!AE21,Greens!AF21,Greens!AH21,Greens!AI21,Greens!AJ21,Greens!AK21,Greens!AL21,Greens!AM21,Greens!AR21,Greens!AS21)</f>
        <v>0.00125000000000001</v>
      </c>
      <c r="D200" s="58" t="n">
        <f aca="false">AVERAGE(Greens!AN21,Greens!AO21,Greens!AP21,Greens!AQ21)</f>
        <v>0.36</v>
      </c>
      <c r="E200" s="6" t="e">
        <f aca="false">AVERAGE(Greens!E21,Greens!F21,Greens!Q21,greens!#ref!)</f>
        <v>#NAME?</v>
      </c>
      <c r="F200" s="6" t="n">
        <f aca="false">Greens!O21</f>
        <v>0</v>
      </c>
    </row>
    <row r="201" customFormat="false" ht="15" hidden="false" customHeight="true" outlineLevel="0" collapsed="false">
      <c r="A201" s="83" t="s">
        <v>753</v>
      </c>
      <c r="B201" s="9" t="n">
        <f aca="false">AVERAGE(Greens!H54,Greens!I54,Greens!J54,Greens!L54,Greens!P54,Greens!R54,Greens!S54,Greens!T54,Greens!U54,Greens!V54,Greens!W54,Greens!X54,Greens!Y54,Greens!AB54,Greens!AC54,Greens!AD54,Greens!AG54)</f>
        <v>0.005</v>
      </c>
      <c r="C201" s="58" t="n">
        <f aca="false">AVERAGE(Greens!B54,Greens!C54,Greens!D54,Greens!G54,Greens!K54,Greens!M54,Greens!N54,Greens!AA54,Greens!AE54,Greens!AF54,Greens!AH54,Greens!AI54,Greens!AJ54,Greens!AK54,Greens!AL54,Greens!AM54,Greens!AR54,Greens!AS54)</f>
        <v>0.424</v>
      </c>
      <c r="D201" s="58" t="n">
        <f aca="false">AVERAGE(Greens!AN54,Greens!AO54,Greens!AP54,Greens!AQ54)</f>
        <v>-0.36</v>
      </c>
      <c r="E201" s="6" t="e">
        <f aca="false">AVERAGE(Greens!E54,Greens!F54,Greens!Q54,greens!#ref!)</f>
        <v>#NAME?</v>
      </c>
      <c r="F201" s="6" t="n">
        <f aca="false">Greens!O54</f>
        <v>0</v>
      </c>
    </row>
    <row r="202" customFormat="false" ht="15" hidden="false" customHeight="true" outlineLevel="0" collapsed="false">
      <c r="A202" s="83" t="s">
        <v>754</v>
      </c>
      <c r="B202" s="9" t="n">
        <f aca="false">AVERAGE(Greens!H92,Greens!I92,Greens!J92,Greens!L92,Greens!P92,Greens!R92,Greens!S92,Greens!T92,Greens!U92,Greens!V92,Greens!W92,Greens!X92,Greens!Y92,Greens!AB92,Greens!AC92,Greens!AD92,Greens!AG92)</f>
        <v>-0.015</v>
      </c>
      <c r="C202" s="58" t="n">
        <f aca="false">AVERAGE(Greens!B92,Greens!C92,Greens!D92,Greens!G92,Greens!K92,Greens!M92,Greens!N92,Greens!AA92,Greens!AE92,Greens!AF92,Greens!AH92,Greens!AI92,Greens!AJ92,Greens!AK92,Greens!AL92,Greens!AM92,Greens!AR92,Greens!AS92)</f>
        <v>0.468</v>
      </c>
      <c r="D202" s="58" t="n">
        <f aca="false">AVERAGE(Greens!AN92,Greens!AO92,Greens!AP92,Greens!AQ92)</f>
        <v>0.635</v>
      </c>
      <c r="E202" s="6" t="e">
        <f aca="false">AVERAGE(Greens!E92,Greens!F92,Greens!Q92,greens!#ref!)</f>
        <v>#NAME?</v>
      </c>
      <c r="F202" s="6" t="n">
        <f aca="false">Greens!O92</f>
        <v>0</v>
      </c>
    </row>
    <row r="203" customFormat="false" ht="15" hidden="false" customHeight="true" outlineLevel="0" collapsed="false">
      <c r="A203" s="83" t="s">
        <v>755</v>
      </c>
      <c r="B203" s="9" t="n">
        <f aca="false">AVERAGE(Greens!H53,Greens!I53,Greens!J53,Greens!L53,Greens!P53,Greens!R53,Greens!S53,Greens!T53,Greens!U53,Greens!V53,Greens!W53,Greens!X53,Greens!Y53,Greens!AB53,Greens!AC53,Greens!AD53,Greens!AG53)</f>
        <v>-0.02</v>
      </c>
      <c r="C203" s="58" t="n">
        <f aca="false">AVERAGE(Greens!B53,Greens!C53,Greens!D53,Greens!G53,Greens!K53,Greens!M53,Greens!N53,Greens!AA53,Greens!AE53,Greens!AF53,Greens!AH53,Greens!AI53,Greens!AJ53,Greens!AK53,Greens!AL53,Greens!AM53,Greens!AR53,Greens!AS53)</f>
        <v>-0.73</v>
      </c>
      <c r="D203" s="58" t="e">
        <f aca="false">AVERAGE(Greens!AN53,Greens!AO53,Greens!AP53,Greens!AQ53)</f>
        <v>#DIV/0!</v>
      </c>
      <c r="E203" s="6" t="e">
        <f aca="false">AVERAGE(Greens!E53,Greens!F53,Greens!Q53,greens!#ref!)</f>
        <v>#NAME?</v>
      </c>
      <c r="F203" s="6" t="n">
        <f aca="false">Greens!O53</f>
        <v>0</v>
      </c>
    </row>
    <row r="204" customFormat="false" ht="15" hidden="false" customHeight="true" outlineLevel="0" collapsed="false">
      <c r="A204" s="83" t="s">
        <v>756</v>
      </c>
      <c r="B204" s="9" t="n">
        <f aca="false">AVERAGE(Greens!H199,Greens!I199,Greens!J199,Greens!L199,Greens!P199,Greens!R199,Greens!S199,Greens!T199,Greens!U199,Greens!V199,Greens!W199,Greens!X199,Greens!Y199,Greens!AB199,Greens!AC199,Greens!AD199,Greens!AG199)</f>
        <v>-0.045</v>
      </c>
      <c r="C204" s="58" t="n">
        <f aca="false">AVERAGE(Greens!B199,Greens!C199,Greens!D199,Greens!G199,Greens!K199,Greens!M199,Greens!N199,Greens!AA199,Greens!AE199,Greens!AF199,Greens!AH199,Greens!AI199,Greens!AJ199,Greens!AK199,Greens!AL199,Greens!AM199,Greens!AR199,Greens!AS199)</f>
        <v>0.584</v>
      </c>
      <c r="D204" s="58" t="n">
        <f aca="false">AVERAGE(Greens!AN199,Greens!AO199,Greens!AP199,Greens!AQ199)</f>
        <v>0.83</v>
      </c>
      <c r="E204" s="6" t="e">
        <f aca="false">AVERAGE(Greens!E199,Greens!F199,Greens!Q199,greens!#ref!)</f>
        <v>#NAME?</v>
      </c>
      <c r="F204" s="6" t="n">
        <f aca="false">Greens!O199</f>
        <v>0</v>
      </c>
    </row>
    <row r="205" customFormat="false" ht="15" hidden="false" customHeight="true" outlineLevel="0" collapsed="false">
      <c r="A205" s="83" t="s">
        <v>757</v>
      </c>
      <c r="B205" s="9" t="n">
        <f aca="false">AVERAGE(Greens!H218,Greens!I218,Greens!J218,Greens!L218,Greens!P218,Greens!R218,Greens!S218,Greens!T218,Greens!U218,Greens!V218,Greens!W218,Greens!X218,Greens!Y218,Greens!AB218,Greens!AC218,Greens!AD218,Greens!AG218)</f>
        <v>-0.07</v>
      </c>
      <c r="C205" s="58" t="n">
        <f aca="false">AVERAGE(Greens!B218,Greens!C218,Greens!D218,Greens!G218,Greens!K218,Greens!M218,Greens!N218,Greens!AA218,Greens!AE218,Greens!AF218,Greens!AH218,Greens!AI218,Greens!AJ218,Greens!AK218,Greens!AL218,Greens!AM218,Greens!AR218,Greens!AS218)</f>
        <v>0.05</v>
      </c>
      <c r="D205" s="58" t="n">
        <f aca="false">AVERAGE(Greens!AN218,Greens!AO218,Greens!AP218,Greens!AQ218)</f>
        <v>-0.1675</v>
      </c>
      <c r="E205" s="6" t="e">
        <f aca="false">AVERAGE(Greens!E218,Greens!F218,Greens!Q218,greens!#ref!)</f>
        <v>#NAME?</v>
      </c>
      <c r="F205" s="6" t="n">
        <f aca="false">Greens!O218</f>
        <v>0</v>
      </c>
    </row>
    <row r="206" customFormat="false" ht="15" hidden="false" customHeight="true" outlineLevel="0" collapsed="false">
      <c r="A206" s="83" t="s">
        <v>758</v>
      </c>
      <c r="B206" s="9" t="n">
        <f aca="false">AVERAGE(Greens!H249,Greens!I249,Greens!J249,Greens!L249,Greens!P249,Greens!R249,Greens!S249,Greens!T249,Greens!U249,Greens!V249,Greens!W249,Greens!X249,Greens!Y249,Greens!AB249,Greens!AC249,Greens!AD249,Greens!AG249)</f>
        <v>-0.165</v>
      </c>
      <c r="C206" s="58" t="n">
        <f aca="false">AVERAGE(Greens!B249,Greens!C249,Greens!D249,Greens!G249,Greens!K249,Greens!M249,Greens!N249,Greens!AA249,Greens!AE249,Greens!AF249,Greens!AH249,Greens!AI249,Greens!AJ249,Greens!AK249,Greens!AL249,Greens!AM249,Greens!AR249,Greens!AS249)</f>
        <v>0.29375</v>
      </c>
      <c r="D206" s="58" t="n">
        <f aca="false">AVERAGE(Greens!AN249,Greens!AO249,Greens!AP249,Greens!AQ249)</f>
        <v>0.645</v>
      </c>
      <c r="E206" s="6" t="e">
        <f aca="false">AVERAGE(Greens!E249,Greens!F249,Greens!Q249,greens!#ref!)</f>
        <v>#NAME?</v>
      </c>
      <c r="F206" s="6" t="n">
        <f aca="false">Greens!O249</f>
        <v>0</v>
      </c>
    </row>
    <row r="207" customFormat="false" ht="15" hidden="false" customHeight="true" outlineLevel="0" collapsed="false">
      <c r="A207" s="83" t="s">
        <v>759</v>
      </c>
      <c r="B207" s="9" t="n">
        <f aca="false">AVERAGE(Greens!H2,Greens!I2,Greens!J2,Greens!L2,Greens!P2,Greens!R2,Greens!S2,Greens!T2,Greens!U2,Greens!V2,Greens!W2,Greens!X2,Greens!Y2,Greens!AB2,Greens!AC2,Greens!AD2,Greens!AG2)</f>
        <v>-0.215</v>
      </c>
      <c r="C207" s="58" t="n">
        <f aca="false">AVERAGE(Greens!B2,Greens!C2,Greens!D2,Greens!G2,Greens!K2,Greens!M2,Greens!N2,Greens!AA2,Greens!AE2,Greens!AF2,Greens!AH2,Greens!AI2,Greens!AJ2,Greens!AK2,Greens!AL2,Greens!AM2,Greens!AR2,Greens!AS2)</f>
        <v>0.7</v>
      </c>
      <c r="D207" s="58" t="n">
        <f aca="false">AVERAGE(Greens!AN2,Greens!AO2,Greens!AP2,Greens!AQ2)</f>
        <v>-0.606666666666667</v>
      </c>
      <c r="E207" s="6" t="e">
        <f aca="false">AVERAGE(Greens!E2,Greens!F2,Greens!Q2,greens!#ref!)</f>
        <v>#NAME?</v>
      </c>
      <c r="F207" s="6" t="n">
        <f aca="false">Greens!O2</f>
        <v>0</v>
      </c>
    </row>
    <row r="208" customFormat="false" ht="15" hidden="false" customHeight="true" outlineLevel="0" collapsed="false">
      <c r="A208" s="83" t="s">
        <v>760</v>
      </c>
      <c r="B208" s="9" t="n">
        <f aca="false">AVERAGE(Greens!H19,Greens!I19,Greens!J19,Greens!L19,Greens!P19,Greens!R19,Greens!S19,Greens!T19,Greens!U19,Greens!V19,Greens!W19,Greens!X19,Greens!Y19,Greens!AB19,Greens!AC19,Greens!AD19,Greens!AG19)</f>
        <v>-0.235</v>
      </c>
      <c r="C208" s="58" t="n">
        <f aca="false">AVERAGE(Greens!B19,Greens!C19,Greens!D19,Greens!G19,Greens!K19,Greens!M19,Greens!N19,Greens!AA19,Greens!AE19,Greens!AF19,Greens!AH19,Greens!AI19,Greens!AJ19,Greens!AK19,Greens!AL19,Greens!AM19,Greens!AR19,Greens!AS19)</f>
        <v>-0.24</v>
      </c>
      <c r="D208" s="58" t="n">
        <f aca="false">AVERAGE(Greens!AN19,Greens!AO19,Greens!AP19,Greens!AQ19)</f>
        <v>-0.336666666666667</v>
      </c>
      <c r="E208" s="6" t="e">
        <f aca="false">AVERAGE(Greens!E19,Greens!F19,Greens!Q19,greens!#ref!)</f>
        <v>#NAME?</v>
      </c>
      <c r="F208" s="6" t="n">
        <f aca="false">Greens!O19</f>
        <v>0</v>
      </c>
    </row>
    <row r="209" customFormat="false" ht="15" hidden="false" customHeight="true" outlineLevel="0" collapsed="false">
      <c r="A209" s="83" t="s">
        <v>761</v>
      </c>
      <c r="B209" s="9" t="n">
        <f aca="false">AVERAGE(Greens!H161,Greens!I161,Greens!J161,Greens!L161,Greens!P161,Greens!R161,Greens!S161,Greens!T161,Greens!U161,Greens!V161,Greens!W161,Greens!X161,Greens!Y161,Greens!AB161,Greens!AC161,Greens!AD161,Greens!AG161)</f>
        <v>-0.315</v>
      </c>
      <c r="C209" s="58" t="n">
        <f aca="false">AVERAGE(Greens!B161,Greens!C161,Greens!D161,Greens!G161,Greens!K161,Greens!M161,Greens!N161,Greens!AA161,Greens!AE161,Greens!AF161,Greens!AH161,Greens!AI161,Greens!AJ161,Greens!AK161,Greens!AL161,Greens!AM161,Greens!AR161,Greens!AS161)</f>
        <v>-0.601428571428571</v>
      </c>
      <c r="D209" s="58" t="n">
        <f aca="false">AVERAGE(Greens!AN161,Greens!AO161,Greens!AP161,Greens!AQ161)</f>
        <v>0.0475</v>
      </c>
      <c r="E209" s="6" t="e">
        <f aca="false">AVERAGE(Greens!E161,Greens!F161,Greens!Q161,greens!#ref!)</f>
        <v>#NAME?</v>
      </c>
      <c r="F209" s="6" t="n">
        <f aca="false">Greens!O161</f>
        <v>0</v>
      </c>
    </row>
    <row r="210" customFormat="false" ht="15" hidden="false" customHeight="true" outlineLevel="0" collapsed="false">
      <c r="A210" s="83" t="s">
        <v>762</v>
      </c>
      <c r="B210" s="9" t="n">
        <f aca="false">AVERAGE(Greens!H128,Greens!I128,Greens!J128,Greens!L128,Greens!P128,Greens!R128,Greens!S128,Greens!T128,Greens!U128,Greens!V128,Greens!W128,Greens!X128,Greens!Y128,Greens!AB128,Greens!AC128,Greens!AD128,Greens!AG128)</f>
        <v>-0.335</v>
      </c>
      <c r="C210" s="58" t="n">
        <f aca="false">AVERAGE(Greens!B128,Greens!C128,Greens!D128,Greens!G128,Greens!K128,Greens!M128,Greens!N128,Greens!AA128,Greens!AE128,Greens!AF128,Greens!AH128,Greens!AI128,Greens!AJ128,Greens!AK128,Greens!AL128,Greens!AM128,Greens!AR128,Greens!AS128)</f>
        <v>0.0883333333333333</v>
      </c>
      <c r="D210" s="58" t="n">
        <f aca="false">AVERAGE(Greens!AN128,Greens!AO128,Greens!AP128,Greens!AQ128)</f>
        <v>0.866666666666667</v>
      </c>
      <c r="E210" s="6" t="e">
        <f aca="false">AVERAGE(Greens!E128,Greens!F128,Greens!Q128,greens!#ref!)</f>
        <v>#NAME?</v>
      </c>
      <c r="F210" s="6" t="n">
        <f aca="false">Greens!O128</f>
        <v>0</v>
      </c>
    </row>
    <row r="211" customFormat="false" ht="15" hidden="false" customHeight="true" outlineLevel="0" collapsed="false">
      <c r="A211" s="83" t="s">
        <v>763</v>
      </c>
      <c r="B211" s="9" t="n">
        <f aca="false">AVERAGE(Greens!H141,Greens!I141,Greens!J141,Greens!L141,Greens!P141,Greens!R141,Greens!S141,Greens!T141,Greens!U141,Greens!V141,Greens!W141,Greens!X141,Greens!Y141,Greens!AB141,Greens!AC141,Greens!AD141,Greens!AG141)</f>
        <v>-0.365</v>
      </c>
      <c r="C211" s="58" t="n">
        <f aca="false">AVERAGE(Greens!B141,Greens!C141,Greens!D141,Greens!G141,Greens!K141,Greens!M141,Greens!N141,Greens!AA141,Greens!AE141,Greens!AF141,Greens!AH141,Greens!AI141,Greens!AJ141,Greens!AK141,Greens!AL141,Greens!AM141,Greens!AR141,Greens!AS141)</f>
        <v>-0.05125</v>
      </c>
      <c r="D211" s="58" t="n">
        <f aca="false">AVERAGE(Greens!AN141,Greens!AO141,Greens!AP141,Greens!AQ141)</f>
        <v>0.855</v>
      </c>
      <c r="E211" s="6" t="e">
        <f aca="false">AVERAGE(Greens!E141,Greens!F141,Greens!Q141,greens!#ref!)</f>
        <v>#NAME?</v>
      </c>
      <c r="F211" s="6" t="n">
        <f aca="false">Greens!O141</f>
        <v>0</v>
      </c>
    </row>
    <row r="212" customFormat="false" ht="15" hidden="false" customHeight="true" outlineLevel="0" collapsed="false">
      <c r="A212" s="83" t="s">
        <v>764</v>
      </c>
      <c r="B212" s="9" t="n">
        <f aca="false">AVERAGE(Greens!H76,Greens!I76,Greens!J76,Greens!L76,Greens!P76,Greens!R76,Greens!S76,Greens!T76,Greens!U76,Greens!V76,Greens!W76,Greens!X76,Greens!Y76,Greens!AB76,Greens!AC76,Greens!AD76,Greens!AG76)</f>
        <v>-0.41</v>
      </c>
      <c r="C212" s="58" t="n">
        <f aca="false">AVERAGE(Greens!B76,Greens!C76,Greens!D76,Greens!G76,Greens!K76,Greens!M76,Greens!N76,Greens!AA76,Greens!AE76,Greens!AF76,Greens!AH76,Greens!AI76,Greens!AJ76,Greens!AK76,Greens!AL76,Greens!AM76,Greens!AR76,Greens!AS76)</f>
        <v>0.701428571428571</v>
      </c>
      <c r="D212" s="58" t="n">
        <f aca="false">AVERAGE(Greens!AN76,Greens!AO76,Greens!AP76,Greens!AQ76)</f>
        <v>-0.19</v>
      </c>
      <c r="E212" s="6" t="e">
        <f aca="false">AVERAGE(Greens!E76,Greens!F76,Greens!Q76,greens!#ref!)</f>
        <v>#NAME?</v>
      </c>
      <c r="F212" s="6" t="n">
        <f aca="false">Greens!O76</f>
        <v>0</v>
      </c>
    </row>
    <row r="213" customFormat="false" ht="15" hidden="false" customHeight="true" outlineLevel="0" collapsed="false">
      <c r="A213" s="83" t="s">
        <v>765</v>
      </c>
      <c r="B213" s="9" t="n">
        <f aca="false">AVERAGE(Greens!H30,Greens!I30,Greens!J30,Greens!L30,Greens!P30,Greens!R30,Greens!S30,Greens!T30,Greens!U30,Greens!V30,Greens!W30,Greens!X30,Greens!Y30,Greens!AB30,Greens!AC30,Greens!AD30,Greens!AG30)</f>
        <v>-0.455</v>
      </c>
      <c r="C213" s="58" t="n">
        <f aca="false">AVERAGE(Greens!B30,Greens!C30,Greens!D30,Greens!G30,Greens!K30,Greens!M30,Greens!N30,Greens!AA30,Greens!AE30,Greens!AF30,Greens!AH30,Greens!AI30,Greens!AJ30,Greens!AK30,Greens!AL30,Greens!AM30,Greens!AR30,Greens!AS30)</f>
        <v>-0.0366666666666667</v>
      </c>
      <c r="D213" s="58" t="n">
        <f aca="false">AVERAGE(Greens!AN30,Greens!AO30,Greens!AP30,Greens!AQ30)</f>
        <v>-0.366666666666667</v>
      </c>
      <c r="E213" s="6" t="e">
        <f aca="false">AVERAGE(Greens!E30,Greens!F30,Greens!Q30,greens!#ref!)</f>
        <v>#NAME?</v>
      </c>
      <c r="F213" s="6" t="n">
        <f aca="false">Greens!O30</f>
        <v>0</v>
      </c>
    </row>
    <row r="214" customFormat="false" ht="15" hidden="false" customHeight="true" outlineLevel="0" collapsed="false">
      <c r="A214" s="83" t="s">
        <v>766</v>
      </c>
      <c r="B214" s="9" t="n">
        <f aca="false">AVERAGE(Greens!H94,Greens!I94,Greens!J94,Greens!L94,Greens!P94,Greens!R94,Greens!S94,Greens!T94,Greens!U94,Greens!V94,Greens!W94,Greens!X94,Greens!Y94,Greens!AB94,Greens!AC94,Greens!AD94,Greens!AG94)</f>
        <v>-0.46</v>
      </c>
      <c r="C214" s="58" t="n">
        <f aca="false">AVERAGE(Greens!B94,Greens!C94,Greens!D94,Greens!G94,Greens!K94,Greens!M94,Greens!N94,Greens!AA94,Greens!AE94,Greens!AF94,Greens!AH94,Greens!AI94,Greens!AJ94,Greens!AK94,Greens!AL94,Greens!AM94,Greens!AR94,Greens!AS94)</f>
        <v>0.13</v>
      </c>
      <c r="D214" s="58" t="n">
        <f aca="false">AVERAGE(Greens!AN94,Greens!AO94,Greens!AP94,Greens!AQ94)</f>
        <v>-0.886666666666667</v>
      </c>
      <c r="E214" s="6" t="e">
        <f aca="false">AVERAGE(Greens!E94,Greens!F94,Greens!Q94,greens!#ref!)</f>
        <v>#NAME?</v>
      </c>
      <c r="F214" s="6" t="n">
        <f aca="false">Greens!O94</f>
        <v>0</v>
      </c>
    </row>
    <row r="215" customFormat="false" ht="15" hidden="false" customHeight="true" outlineLevel="0" collapsed="false">
      <c r="A215" s="83" t="s">
        <v>767</v>
      </c>
      <c r="B215" s="9" t="n">
        <f aca="false">AVERAGE(Greens!H113,Greens!I113,Greens!J113,Greens!L113,Greens!P113,Greens!R113,Greens!S113,Greens!T113,Greens!U113,Greens!V113,Greens!W113,Greens!X113,Greens!Y113,Greens!AB113,Greens!AC113,Greens!AD113,Greens!AG113)</f>
        <v>-0.46</v>
      </c>
      <c r="C215" s="58" t="n">
        <f aca="false">AVERAGE(Greens!B113,Greens!C113,Greens!D113,Greens!G113,Greens!K113,Greens!M113,Greens!N113,Greens!AA113,Greens!AE113,Greens!AF113,Greens!AH113,Greens!AI113,Greens!AJ113,Greens!AK113,Greens!AL113,Greens!AM113,Greens!AR113,Greens!AS113)</f>
        <v>-0.24</v>
      </c>
      <c r="D215" s="58" t="n">
        <f aca="false">AVERAGE(Greens!AN113,Greens!AO113,Greens!AP113,Greens!AQ113)</f>
        <v>-0.535</v>
      </c>
      <c r="E215" s="6" t="e">
        <f aca="false">AVERAGE(Greens!E113,Greens!F113,Greens!Q113,greens!#ref!)</f>
        <v>#NAME?</v>
      </c>
      <c r="F215" s="6" t="n">
        <f aca="false">Greens!O113</f>
        <v>0</v>
      </c>
    </row>
    <row r="216" customFormat="false" ht="15" hidden="false" customHeight="true" outlineLevel="0" collapsed="false">
      <c r="A216" s="83" t="s">
        <v>768</v>
      </c>
      <c r="B216" s="9" t="n">
        <f aca="false">AVERAGE(Greens!H57,Greens!I57,Greens!J57,Greens!L57,Greens!P57,Greens!R57,Greens!S57,Greens!T57,Greens!U57,Greens!V57,Greens!W57,Greens!X57,Greens!Y57,Greens!AB57,Greens!AC57,Greens!AD57,Greens!AG57)</f>
        <v>-0.48</v>
      </c>
      <c r="C216" s="58" t="n">
        <f aca="false">AVERAGE(Greens!B57,Greens!C57,Greens!D57,Greens!G57,Greens!K57,Greens!M57,Greens!N57,Greens!AA57,Greens!AE57,Greens!AF57,Greens!AH57,Greens!AI57,Greens!AJ57,Greens!AK57,Greens!AL57,Greens!AM57,Greens!AR57,Greens!AS57)</f>
        <v>0.232857142857143</v>
      </c>
      <c r="D216" s="58" t="n">
        <f aca="false">AVERAGE(Greens!AN57,Greens!AO57,Greens!AP57,Greens!AQ57)</f>
        <v>0.983333333333333</v>
      </c>
      <c r="E216" s="6" t="e">
        <f aca="false">AVERAGE(Greens!E57,Greens!F57,Greens!Q57,greens!#ref!)</f>
        <v>#NAME?</v>
      </c>
      <c r="F216" s="6" t="n">
        <f aca="false">Greens!O57</f>
        <v>0</v>
      </c>
    </row>
    <row r="217" customFormat="false" ht="15" hidden="false" customHeight="true" outlineLevel="0" collapsed="false">
      <c r="A217" s="83" t="s">
        <v>769</v>
      </c>
      <c r="B217" s="9" t="n">
        <f aca="false">AVERAGE(Greens!H58,Greens!I58,Greens!J58,Greens!L58,Greens!P58,Greens!R58,Greens!S58,Greens!T58,Greens!U58,Greens!V58,Greens!W58,Greens!X58,Greens!Y58,Greens!AB58,Greens!AC58,Greens!AD58,Greens!AG58)</f>
        <v>-0.5</v>
      </c>
      <c r="C217" s="9" t="n">
        <f aca="false">AVERAGE(Greens!B58,Greens!C58,Greens!D58,Greens!G58,Greens!K58,Greens!M58,Greens!N58,Greens!AA58,Greens!AE58,Greens!AF58,Greens!AH58,Greens!AI58,Greens!AJ58,Greens!AK58,Greens!AL58,Greens!AM58,Greens!AR58,Greens!AS58)</f>
        <v>-0.2725</v>
      </c>
      <c r="D217" s="58" t="n">
        <f aca="false">AVERAGE(Greens!AN58,Greens!AO58,Greens!AP58,Greens!AQ58)</f>
        <v>0.693333333333333</v>
      </c>
      <c r="E217" s="6" t="e">
        <f aca="false">AVERAGE(Greens!E58,Greens!F58,Greens!Q58,greens!#ref!)</f>
        <v>#NAME?</v>
      </c>
      <c r="F217" s="6" t="n">
        <f aca="false">Greens!O58</f>
        <v>0</v>
      </c>
    </row>
    <row r="218" customFormat="false" ht="15" hidden="false" customHeight="true" outlineLevel="0" collapsed="false">
      <c r="A218" s="83" t="s">
        <v>770</v>
      </c>
      <c r="B218" s="9" t="n">
        <f aca="false">AVERAGE(Greens!H81,Greens!I81,Greens!J81,Greens!L81,Greens!P81,Greens!R81,Greens!S81,Greens!T81,Greens!U81,Greens!V81,Greens!W81,Greens!X81,Greens!Y81,Greens!AB81,Greens!AC81,Greens!AD81,Greens!AG81)</f>
        <v>-0.51</v>
      </c>
      <c r="C218" s="58" t="n">
        <f aca="false">AVERAGE(Greens!B81,Greens!C81,Greens!D81,Greens!G81,Greens!K81,Greens!M81,Greens!N81,Greens!AA81,Greens!AE81,Greens!AF81,Greens!AH81,Greens!AI81,Greens!AJ81,Greens!AK81,Greens!AL81,Greens!AM81,Greens!AR81,Greens!AS81)</f>
        <v>0.258571428571429</v>
      </c>
      <c r="D218" s="58" t="n">
        <f aca="false">AVERAGE(Greens!AN81,Greens!AO81,Greens!AP81,Greens!AQ81)</f>
        <v>0.8</v>
      </c>
      <c r="E218" s="6" t="e">
        <f aca="false">AVERAGE(Greens!E81,Greens!F81,Greens!Q81,greens!#ref!)</f>
        <v>#NAME?</v>
      </c>
      <c r="F218" s="6" t="n">
        <f aca="false">Greens!O81</f>
        <v>0</v>
      </c>
    </row>
    <row r="219" customFormat="false" ht="15" hidden="false" customHeight="true" outlineLevel="0" collapsed="false">
      <c r="A219" s="83" t="s">
        <v>771</v>
      </c>
      <c r="B219" s="9" t="n">
        <f aca="false">AVERAGE(Greens!H5,Greens!I5,Greens!J5,Greens!L5,Greens!P5,Greens!R5,Greens!S5,Greens!T5,Greens!U5,Greens!V5,Greens!W5,Greens!X5,Greens!Y5,Greens!AB5,Greens!AC5,Greens!AD5,Greens!AG5)</f>
        <v>-0.515</v>
      </c>
      <c r="C219" s="58" t="n">
        <f aca="false">AVERAGE(Greens!B5,Greens!C5,Greens!D5,Greens!G5,Greens!K5,Greens!M5,Greens!N5,Greens!AA5,Greens!AE5,Greens!AF5,Greens!AH5,Greens!AI5,Greens!AJ5,Greens!AK5,Greens!AL5,Greens!AM5,Greens!AR5,Greens!AS5)</f>
        <v>0.262857142857143</v>
      </c>
      <c r="D219" s="58" t="n">
        <f aca="false">AVERAGE(Greens!AN5,Greens!AO5,Greens!AP5,Greens!AQ5)</f>
        <v>-0.776666666666667</v>
      </c>
      <c r="E219" s="6" t="e">
        <f aca="false">AVERAGE(Greens!E5,Greens!F5,Greens!Q5,greens!#ref!)</f>
        <v>#NAME?</v>
      </c>
      <c r="F219" s="6" t="n">
        <f aca="false">Greens!O4</f>
        <v>0</v>
      </c>
    </row>
    <row r="220" customFormat="false" ht="15" hidden="false" customHeight="true" outlineLevel="0" collapsed="false">
      <c r="A220" s="83" t="s">
        <v>772</v>
      </c>
      <c r="B220" s="9" t="n">
        <f aca="false">AVERAGE(Greens!H102,Greens!I102,Greens!J102,Greens!L102,Greens!P102,Greens!R102,Greens!S102,Greens!T102,Greens!U102,Greens!V102,Greens!W102,Greens!X102,Greens!Y102,Greens!AB102,Greens!AC102,Greens!AD102,Greens!AG102)</f>
        <v>-0.535</v>
      </c>
      <c r="C220" s="58" t="e">
        <f aca="false">AVERAGE(Greens!B102,Greens!C102,Greens!D102,Greens!G102,Greens!K102,Greens!M102,Greens!N102,Greens!AA102,Greens!AE102,Greens!AF102,Greens!AH102,Greens!AI102,Greens!AJ102,Greens!AK102,Greens!AL102,Greens!AM102,Greens!AR102,Greens!AS102)</f>
        <v>#DIV/0!</v>
      </c>
      <c r="D220" s="58" t="e">
        <f aca="false">AVERAGE(Greens!AN102,Greens!AO102,Greens!AP102,Greens!AQ102)</f>
        <v>#DIV/0!</v>
      </c>
      <c r="E220" s="6" t="e">
        <f aca="false">AVERAGE(Greens!E102,Greens!F102,Greens!Q102,greens!#ref!)</f>
        <v>#NAME?</v>
      </c>
      <c r="F220" s="6" t="n">
        <f aca="false">Greens!O102</f>
        <v>0</v>
      </c>
    </row>
    <row r="221" customFormat="false" ht="15" hidden="false" customHeight="true" outlineLevel="0" collapsed="false">
      <c r="A221" s="83" t="s">
        <v>773</v>
      </c>
      <c r="B221" s="9" t="n">
        <f aca="false">AVERAGE(Greens!H216,Greens!I216,Greens!J216,Greens!L216,Greens!P216,Greens!R216,Greens!S216,Greens!T216,Greens!U216,Greens!V216,Greens!W216,Greens!X216,Greens!Y216,Greens!AB216,Greens!AC216,Greens!AD216,Greens!AG216)</f>
        <v>-0.56</v>
      </c>
      <c r="C221" s="58" t="n">
        <f aca="false">AVERAGE(Greens!B216,Greens!C216,Greens!D216,Greens!G216,Greens!K216,Greens!M216,Greens!N216,Greens!AA216,Greens!AE216,Greens!AF216,Greens!AH216,Greens!AI216,Greens!AJ216,Greens!AK216,Greens!AL216,Greens!AM216,Greens!AR216,Greens!AS216)</f>
        <v>0.26</v>
      </c>
      <c r="D221" s="58" t="n">
        <f aca="false">AVERAGE(Greens!AN216,Greens!AO216,Greens!AP216,Greens!AQ216)</f>
        <v>0.91</v>
      </c>
      <c r="E221" s="6" t="e">
        <f aca="false">AVERAGE(Greens!E216,Greens!F216,Greens!Q216,greens!#ref!)</f>
        <v>#NAME?</v>
      </c>
      <c r="F221" s="6" t="n">
        <f aca="false">Greens!O216</f>
        <v>0</v>
      </c>
    </row>
    <row r="222" customFormat="false" ht="15" hidden="false" customHeight="true" outlineLevel="0" collapsed="false">
      <c r="A222" s="83" t="s">
        <v>774</v>
      </c>
      <c r="B222" s="9" t="n">
        <f aca="false">AVERAGE(Greens!H167,Greens!I167,Greens!J167,Greens!L167,Greens!P167,Greens!R167,Greens!S167,Greens!T167,Greens!U167,Greens!V167,Greens!W167,Greens!X167,Greens!Y167,Greens!AB167,Greens!AC167,Greens!AD167,Greens!AG167)</f>
        <v>-0.57</v>
      </c>
      <c r="C222" s="58" t="n">
        <f aca="false">AVERAGE(Greens!B167,Greens!C167,Greens!D167,Greens!G167,Greens!K167,Greens!M167,Greens!N167,Greens!AA167,Greens!AE167,Greens!AF167,Greens!AH167,Greens!AI167,Greens!AJ167,Greens!AK167,Greens!AL167,Greens!AM167,Greens!AR167,Greens!AS167)</f>
        <v>0.0533333333333334</v>
      </c>
      <c r="D222" s="58" t="n">
        <f aca="false">AVERAGE(Greens!AN167,Greens!AO167,Greens!AP167,Greens!AQ167)</f>
        <v>0.18</v>
      </c>
      <c r="E222" s="6" t="e">
        <f aca="false">AVERAGE(Greens!E167,Greens!F167,Greens!Q167,greens!#ref!)</f>
        <v>#NAME?</v>
      </c>
      <c r="F222" s="6" t="n">
        <f aca="false">Greens!O167</f>
        <v>0</v>
      </c>
    </row>
    <row r="223" customFormat="false" ht="15" hidden="false" customHeight="true" outlineLevel="0" collapsed="false">
      <c r="A223" s="83" t="s">
        <v>775</v>
      </c>
      <c r="B223" s="9" t="n">
        <f aca="false">AVERAGE(Greens!H80,Greens!I80,Greens!J80,Greens!L80,Greens!P80,Greens!R80,Greens!S80,Greens!T80,Greens!U80,Greens!V80,Greens!W80,Greens!X80,Greens!Y80,Greens!AB80,Greens!AC80,Greens!AD80,Greens!AG80)</f>
        <v>-0.57</v>
      </c>
      <c r="C223" s="9" t="e">
        <f aca="false">AVERAGE(Greens!B80,Greens!C80,Greens!D80,Greens!G80,Greens!K80,Greens!M80,Greens!N80,Greens!AA80,Greens!AE80,Greens!AF80,Greens!AH80,Greens!AI80,Greens!AJ80,Greens!AK80,Greens!AL80,Greens!AM80,Greens!AR80,Greens!AS80)</f>
        <v>#DIV/0!</v>
      </c>
      <c r="D223" s="58" t="e">
        <f aca="false">AVERAGE(Greens!AN80,Greens!AO80,Greens!AP80,Greens!AQ80)</f>
        <v>#DIV/0!</v>
      </c>
      <c r="E223" s="6" t="e">
        <f aca="false">AVERAGE(Greens!E80,Greens!F80,Greens!Q80,greens!#ref!)</f>
        <v>#NAME?</v>
      </c>
      <c r="F223" s="6" t="n">
        <f aca="false">Greens!O80</f>
        <v>0</v>
      </c>
    </row>
    <row r="224" customFormat="false" ht="15" hidden="false" customHeight="true" outlineLevel="0" collapsed="false">
      <c r="A224" s="83" t="s">
        <v>776</v>
      </c>
      <c r="B224" s="9" t="n">
        <f aca="false">AVERAGE(Greens!H91,Greens!I91,Greens!J91,Greens!L91,Greens!P91,Greens!R91,Greens!S91,Greens!T91,Greens!U91,Greens!V91,Greens!W91,Greens!X91,Greens!Y91,Greens!AB91,Greens!AC91,Greens!AD91,Greens!AG91)</f>
        <v>-0.58</v>
      </c>
      <c r="C224" s="58" t="n">
        <f aca="false">AVERAGE(Greens!B91,Greens!C91,Greens!D91,Greens!G91,Greens!K91,Greens!M91,Greens!N91,Greens!AA91,Greens!AE91,Greens!AF91,Greens!AH91,Greens!AI91,Greens!AJ91,Greens!AK91,Greens!AL91,Greens!AM91,Greens!AR91,Greens!AS91)</f>
        <v>0.225714285714286</v>
      </c>
      <c r="D224" s="58" t="n">
        <f aca="false">AVERAGE(Greens!AN91,Greens!AO91,Greens!AP91,Greens!AQ91)</f>
        <v>0.605</v>
      </c>
      <c r="E224" s="6" t="e">
        <f aca="false">AVERAGE(Greens!E91,Greens!F91,Greens!Q91,greens!#ref!)</f>
        <v>#NAME?</v>
      </c>
      <c r="F224" s="6" t="n">
        <f aca="false">Greens!O91</f>
        <v>0</v>
      </c>
    </row>
    <row r="225" customFormat="false" ht="15" hidden="false" customHeight="true" outlineLevel="0" collapsed="false">
      <c r="A225" s="83" t="s">
        <v>777</v>
      </c>
      <c r="B225" s="9" t="n">
        <f aca="false">AVERAGE(Greens!H232,Greens!I232,Greens!J232,Greens!L232,Greens!P232,Greens!R232,Greens!S232,Greens!T232,Greens!U232,Greens!V232,Greens!W232,Greens!X232,Greens!Y232,Greens!AB232,Greens!AC232,Greens!AD232,Greens!AG232)</f>
        <v>-0.615</v>
      </c>
      <c r="C225" s="58" t="n">
        <f aca="false">AVERAGE(Greens!B232,Greens!C232,Greens!D232,Greens!G232,Greens!K232,Greens!M232,Greens!N232,Greens!AA232,Greens!AE232,Greens!AF232,Greens!AH232,Greens!AI232,Greens!AJ232,Greens!AK232,Greens!AL232,Greens!AM232,Greens!AR232,Greens!AS232)</f>
        <v>0.574</v>
      </c>
      <c r="D225" s="58" t="n">
        <f aca="false">AVERAGE(Greens!AN232,Greens!AO232,Greens!AP232,Greens!AQ232)</f>
        <v>-0.19</v>
      </c>
      <c r="E225" s="6" t="e">
        <f aca="false">AVERAGE(Greens!E232,Greens!F232,Greens!Q232,greens!#ref!)</f>
        <v>#NAME?</v>
      </c>
      <c r="F225" s="6" t="n">
        <f aca="false">Greens!O232</f>
        <v>0</v>
      </c>
    </row>
    <row r="226" customFormat="false" ht="15" hidden="false" customHeight="true" outlineLevel="0" collapsed="false">
      <c r="A226" s="83" t="s">
        <v>778</v>
      </c>
      <c r="B226" s="9" t="n">
        <f aca="false">AVERAGE(Greens!H171,Greens!I171,Greens!J171,Greens!L171,Greens!P171,Greens!R171,Greens!S171,Greens!T171,Greens!U171,Greens!V171,Greens!W171,Greens!X171,Greens!Y171,Greens!AB171,Greens!AC171,Greens!AD171,Greens!AG171)</f>
        <v>-0.635</v>
      </c>
      <c r="C226" s="9" t="n">
        <f aca="false">AVERAGE(Greens!B171,Greens!C171,Greens!D171,Greens!G171,Greens!K171,Greens!M171,Greens!N171,Greens!AA171,Greens!AE171,Greens!AF171,Greens!AH171,Greens!AI171,Greens!AJ171,Greens!AK171,Greens!AL171,Greens!AM171,Greens!AR171,Greens!AS171)</f>
        <v>0.094</v>
      </c>
      <c r="D226" s="58" t="n">
        <f aca="false">AVERAGE(Greens!AN171,Greens!AO171,Greens!AP171,Greens!AQ171)</f>
        <v>-0.8375</v>
      </c>
      <c r="E226" s="6" t="e">
        <f aca="false">AVERAGE(Greens!E171,Greens!F171,Greens!Q171,greens!#ref!)</f>
        <v>#NAME?</v>
      </c>
      <c r="F226" s="6" t="n">
        <f aca="false">Greens!O171</f>
        <v>0</v>
      </c>
    </row>
    <row r="227" customFormat="false" ht="15" hidden="false" customHeight="true" outlineLevel="0" collapsed="false">
      <c r="A227" s="83" t="s">
        <v>779</v>
      </c>
      <c r="B227" s="9" t="n">
        <f aca="false">AVERAGE(Greens!H84,Greens!I84,Greens!J84,Greens!L84,Greens!P84,Greens!R84,Greens!S84,Greens!T84,Greens!U84,Greens!V84,Greens!W84,Greens!X84,Greens!Y84,Greens!AB84,Greens!AC84,Greens!AD84,Greens!AG84)</f>
        <v>-0.66</v>
      </c>
      <c r="C227" s="58" t="n">
        <f aca="false">AVERAGE(Greens!B84,Greens!C84,Greens!D84,Greens!G84,Greens!K84,Greens!M84,Greens!N84,Greens!AA84,Greens!AE84,Greens!AF84,Greens!AH84,Greens!AI84,Greens!AJ84,Greens!AK84,Greens!AL84,Greens!AM84,Greens!AR84,Greens!AS84)</f>
        <v>-0.4775</v>
      </c>
      <c r="D227" s="58" t="n">
        <f aca="false">AVERAGE(Greens!AN84,Greens!AO84,Greens!AP84,Greens!AQ84)</f>
        <v>-0.59</v>
      </c>
      <c r="E227" s="6" t="e">
        <f aca="false">AVERAGE(Greens!E84,Greens!F84,Greens!Q84,greens!#ref!)</f>
        <v>#NAME?</v>
      </c>
      <c r="F227" s="6" t="n">
        <f aca="false">Greens!O84</f>
        <v>0</v>
      </c>
    </row>
    <row r="228" customFormat="false" ht="15" hidden="false" customHeight="true" outlineLevel="0" collapsed="false">
      <c r="A228" s="83" t="s">
        <v>780</v>
      </c>
      <c r="B228" s="9" t="n">
        <f aca="false">AVERAGE(Greens!H188,Greens!I188,Greens!J188,Greens!L188,Greens!P188,Greens!R188,Greens!S188,Greens!T188,Greens!U188,Greens!V188,Greens!W188,Greens!X188,Greens!Y188,Greens!AB188,Greens!AC188,Greens!AD188,Greens!AG188)</f>
        <v>-0.67</v>
      </c>
      <c r="C228" s="58" t="n">
        <f aca="false">AVERAGE(Greens!B188,Greens!C188,Greens!D188,Greens!G188,Greens!K188,Greens!M188,Greens!N188,Greens!AA188,Greens!AE188,Greens!AF188,Greens!AH188,Greens!AI188,Greens!AJ188,Greens!AK188,Greens!AL188,Greens!AM188,Greens!AR188,Greens!AS188)</f>
        <v>0.0277777777777778</v>
      </c>
      <c r="D228" s="58" t="n">
        <f aca="false">AVERAGE(Greens!AN188,Greens!AO188,Greens!AP188,Greens!AQ188)</f>
        <v>0.265</v>
      </c>
      <c r="E228" s="6" t="e">
        <f aca="false">AVERAGE(Greens!E188,Greens!F188,Greens!Q188,greens!#ref!)</f>
        <v>#NAME?</v>
      </c>
      <c r="F228" s="6" t="n">
        <f aca="false">Greens!O188</f>
        <v>0</v>
      </c>
    </row>
    <row r="229" customFormat="false" ht="15" hidden="false" customHeight="true" outlineLevel="0" collapsed="false">
      <c r="A229" s="83" t="s">
        <v>781</v>
      </c>
      <c r="B229" s="9" t="n">
        <f aca="false">AVERAGE(Greens!H69,Greens!I69,Greens!J69,Greens!L69,Greens!P69,Greens!R69,Greens!S69,Greens!T69,Greens!U69,Greens!V69,Greens!W69,Greens!X69,Greens!Y69,Greens!AB69,Greens!AC69,Greens!AD69,Greens!AG69)</f>
        <v>-0.68</v>
      </c>
      <c r="C229" s="58" t="n">
        <f aca="false">AVERAGE(Greens!B69,Greens!C69,Greens!D69,Greens!G69,Greens!K69,Greens!M69,Greens!N69,Greens!AA69,Greens!AE69,Greens!AF69,Greens!AH69,Greens!AI69,Greens!AJ69,Greens!AK69,Greens!AL69,Greens!AM69,Greens!AR69,Greens!AS69)</f>
        <v>0.14</v>
      </c>
      <c r="D229" s="58" t="n">
        <f aca="false">AVERAGE(Greens!AN69,Greens!AO69,Greens!AP69,Greens!AQ69)</f>
        <v>-0.29</v>
      </c>
      <c r="E229" s="6" t="e">
        <f aca="false">AVERAGE(Greens!E69,Greens!F69,Greens!Q69,greens!#ref!)</f>
        <v>#NAME?</v>
      </c>
      <c r="F229" s="6" t="n">
        <f aca="false">Greens!O69</f>
        <v>0</v>
      </c>
    </row>
    <row r="230" customFormat="false" ht="15" hidden="false" customHeight="true" outlineLevel="0" collapsed="false">
      <c r="A230" s="83" t="s">
        <v>782</v>
      </c>
      <c r="B230" s="9" t="n">
        <f aca="false">AVERAGE(Greens!H104,Greens!I104,Greens!J104,Greens!L104,Greens!P104,Greens!R104,Greens!S104,Greens!T104,Greens!U104,Greens!V104,Greens!W104,Greens!X104,Greens!Y104,Greens!AB104,Greens!AC104,Greens!AD104,Greens!AG104)</f>
        <v>-0.71</v>
      </c>
      <c r="C230" s="58" t="n">
        <f aca="false">AVERAGE(Greens!B104,Greens!C104,Greens!D104,Greens!G104,Greens!K104,Greens!M104,Greens!N104,Greens!AA104,Greens!AE104,Greens!AF104,Greens!AH104,Greens!AI104,Greens!AJ104,Greens!AK104,Greens!AL104,Greens!AM104,Greens!AR104,Greens!AS104)</f>
        <v>1.655</v>
      </c>
      <c r="D230" s="9" t="e">
        <f aca="false">AVERAGE(Greens!AN104,Greens!AO104,Greens!AP104,Greens!AQ104)</f>
        <v>#DIV/0!</v>
      </c>
      <c r="E230" s="6" t="e">
        <f aca="false">AVERAGE(Greens!E104,Greens!F104,Greens!Q104,greens!#ref!)</f>
        <v>#NAME?</v>
      </c>
      <c r="F230" s="6" t="n">
        <f aca="false">Greens!O104</f>
        <v>0</v>
      </c>
    </row>
    <row r="231" customFormat="false" ht="15" hidden="false" customHeight="true" outlineLevel="0" collapsed="false">
      <c r="A231" s="83" t="s">
        <v>783</v>
      </c>
      <c r="B231" s="9" t="n">
        <f aca="false">AVERAGE(Greens!H64,Greens!I64,Greens!J64,Greens!L64,Greens!P64,Greens!R64,Greens!S64,Greens!T64,Greens!U64,Greens!V64,Greens!W64,Greens!X64,Greens!Y64,Greens!AB64,Greens!AC64,Greens!AD64,Greens!AG64)</f>
        <v>-0.73</v>
      </c>
      <c r="C231" s="58" t="n">
        <f aca="false">AVERAGE(Greens!B64,Greens!C64,Greens!D64,Greens!G64,Greens!K64,Greens!M64,Greens!N64,Greens!AA64,Greens!AE64,Greens!AF64,Greens!AH64,Greens!AI64,Greens!AJ64,Greens!AK64,Greens!AL64,Greens!AM64,Greens!AR64,Greens!AS64)</f>
        <v>-0.547142857142857</v>
      </c>
      <c r="D231" s="58" t="n">
        <f aca="false">AVERAGE(Greens!AN64,Greens!AO64,Greens!AP64,Greens!AQ64)</f>
        <v>-0.29</v>
      </c>
      <c r="E231" s="6" t="e">
        <f aca="false">AVERAGE(Greens!E64,Greens!F64,Greens!Q64,greens!#ref!)</f>
        <v>#NAME?</v>
      </c>
      <c r="F231" s="6" t="n">
        <f aca="false">Greens!O64</f>
        <v>0</v>
      </c>
    </row>
    <row r="232" customFormat="false" ht="15" hidden="false" customHeight="true" outlineLevel="0" collapsed="false">
      <c r="A232" s="83" t="s">
        <v>784</v>
      </c>
      <c r="B232" s="9" t="n">
        <f aca="false">AVERAGE(Greens!H60,Greens!I60,Greens!J60,Greens!L60,Greens!P60,Greens!R60,Greens!S60,Greens!T60,Greens!U60,Greens!V60,Greens!W60,Greens!X60,Greens!Y60,Greens!AB60,Greens!AC60,Greens!AD60,Greens!AG60)</f>
        <v>-0.75</v>
      </c>
      <c r="C232" s="9" t="e">
        <f aca="false">AVERAGE(Greens!B60,Greens!C60,Greens!D60,Greens!G60,Greens!K60,Greens!M60,Greens!N60,Greens!AA60,Greens!AE60,Greens!AF60,Greens!AH60,Greens!AI60,Greens!AJ60,Greens!AK60,Greens!AL60,Greens!AM60,Greens!AR60,Greens!AS60)</f>
        <v>#DIV/0!</v>
      </c>
      <c r="D232" s="9" t="e">
        <f aca="false">AVERAGE(Greens!AN60,Greens!AO60,Greens!AP60,Greens!AQ60)</f>
        <v>#DIV/0!</v>
      </c>
      <c r="E232" s="6" t="e">
        <f aca="false">AVERAGE(Greens!E60,Greens!F60,Greens!Q60,greens!#ref!)</f>
        <v>#NAME?</v>
      </c>
      <c r="F232" s="6" t="n">
        <f aca="false">Greens!O60</f>
        <v>0</v>
      </c>
    </row>
    <row r="233" customFormat="false" ht="15" hidden="false" customHeight="true" outlineLevel="0" collapsed="false">
      <c r="A233" s="83" t="s">
        <v>785</v>
      </c>
      <c r="B233" s="9" t="n">
        <f aca="false">AVERAGE(Greens!H177,Greens!I177,Greens!J177,Greens!L177,Greens!P177,Greens!R177,Greens!S177,Greens!T177,Greens!U177,Greens!V177,Greens!W177,Greens!X177,Greens!Y177,Greens!AB177,Greens!AC177,Greens!AD177,Greens!AG177)</f>
        <v>-0.77</v>
      </c>
      <c r="C233" s="58" t="n">
        <f aca="false">AVERAGE(Greens!B177,Greens!C177,Greens!D177,Greens!G177,Greens!K177,Greens!M177,Greens!N177,Greens!AA177,Greens!AE177,Greens!AF177,Greens!AH177,Greens!AI177,Greens!AJ177,Greens!AK177,Greens!AL177,Greens!AM177,Greens!AR177,Greens!AS177)</f>
        <v>-1.125</v>
      </c>
      <c r="D233" s="58" t="n">
        <f aca="false">AVERAGE(Greens!AN177,Greens!AO177,Greens!AP177,Greens!AQ177)</f>
        <v>0.1725</v>
      </c>
      <c r="E233" s="6" t="e">
        <f aca="false">AVERAGE(Greens!E177,Greens!F177,Greens!Q177,greens!#ref!)</f>
        <v>#NAME?</v>
      </c>
      <c r="F233" s="6" t="n">
        <f aca="false">Greens!O177</f>
        <v>0</v>
      </c>
    </row>
    <row r="234" customFormat="false" ht="15" hidden="false" customHeight="true" outlineLevel="0" collapsed="false">
      <c r="A234" s="83" t="s">
        <v>786</v>
      </c>
      <c r="B234" s="9" t="n">
        <f aca="false">AVERAGE(Greens!H10,Greens!I10,Greens!J10,Greens!L10,Greens!P10,Greens!R10,Greens!S10,Greens!T10,Greens!U10,Greens!V10,Greens!W10,Greens!X10,Greens!Y10,Greens!AB10,Greens!AC10,Greens!AD10,Greens!AG10)</f>
        <v>-0.77</v>
      </c>
      <c r="C234" s="58" t="n">
        <f aca="false">AVERAGE(Greens!B10,Greens!C10,Greens!D10,Greens!G10,Greens!K10,Greens!M10,Greens!N10,Greens!AA10,Greens!AE10,Greens!AF10,Greens!AH10,Greens!AI10,Greens!AJ10,Greens!AK10,Greens!AL10,Greens!AM10,Greens!AR10,Greens!AS10)</f>
        <v>-0.471428571428571</v>
      </c>
      <c r="D234" s="58" t="n">
        <f aca="false">AVERAGE(Greens!AN10,Greens!AO10,Greens!AP10,Greens!AQ10)</f>
        <v>-0.5</v>
      </c>
      <c r="E234" s="6" t="e">
        <f aca="false">AVERAGE(Greens!E10,Greens!F10,Greens!Q10,greens!#ref!)</f>
        <v>#NAME?</v>
      </c>
      <c r="F234" s="6" t="n">
        <f aca="false">Greens!O10</f>
        <v>0</v>
      </c>
    </row>
    <row r="235" customFormat="false" ht="15" hidden="false" customHeight="true" outlineLevel="0" collapsed="false">
      <c r="A235" s="83" t="s">
        <v>787</v>
      </c>
      <c r="B235" s="9" t="n">
        <f aca="false">AVERAGE(Greens!H46,Greens!I46,Greens!J46,Greens!L46,Greens!P46,Greens!R46,Greens!S46,Greens!T46,Greens!U46,Greens!V46,Greens!W46,Greens!X46,Greens!Y46,Greens!AB46,Greens!AC46,Greens!AD46,Greens!AG46)</f>
        <v>-0.785</v>
      </c>
      <c r="C235" s="58" t="n">
        <f aca="false">AVERAGE(Greens!B46,Greens!C46,Greens!D46,Greens!G46,Greens!K46,Greens!M46,Greens!N46,Greens!AA46,Greens!AE46,Greens!AF46,Greens!AH46,Greens!AI46,Greens!AJ46,Greens!AK46,Greens!AL46,Greens!AM46,Greens!AR46,Greens!AS46)</f>
        <v>-0.03125</v>
      </c>
      <c r="D235" s="58" t="n">
        <f aca="false">AVERAGE(Greens!AN46,Greens!AO46,Greens!AP46,Greens!AQ46)</f>
        <v>-0.483333333333333</v>
      </c>
      <c r="E235" s="6" t="e">
        <f aca="false">AVERAGE(Greens!E46,Greens!F46,Greens!Q46,greens!#ref!)</f>
        <v>#NAME?</v>
      </c>
      <c r="F235" s="6" t="n">
        <f aca="false">Greens!O46</f>
        <v>0</v>
      </c>
    </row>
    <row r="236" customFormat="false" ht="15" hidden="false" customHeight="true" outlineLevel="0" collapsed="false">
      <c r="A236" s="83" t="s">
        <v>788</v>
      </c>
      <c r="B236" s="9" t="n">
        <f aca="false">AVERAGE(Greens!H219,Greens!I219,Greens!J219,Greens!L219,Greens!P219,Greens!R219,Greens!S219,Greens!T219,Greens!U219,Greens!V219,Greens!W219,Greens!X219,Greens!Y219,Greens!AB219,Greens!AC219,Greens!AD219,Greens!AG219)</f>
        <v>-0.85</v>
      </c>
      <c r="C236" s="58" t="n">
        <f aca="false">AVERAGE(Greens!B219,Greens!C219,Greens!D219,Greens!G219,Greens!K219,Greens!M219,Greens!N219,Greens!AA219,Greens!AE219,Greens!AF219,Greens!AH219,Greens!AI219,Greens!AJ219,Greens!AK219,Greens!AL219,Greens!AM219,Greens!AR219,Greens!AS219)</f>
        <v>0.531666666666667</v>
      </c>
      <c r="D236" s="58" t="n">
        <f aca="false">AVERAGE(Greens!AN219,Greens!AO219,Greens!AP219,Greens!AQ219)</f>
        <v>-0.22</v>
      </c>
      <c r="E236" s="6" t="e">
        <f aca="false">AVERAGE(Greens!E219,Greens!F219,Greens!Q219,greens!#ref!)</f>
        <v>#NAME?</v>
      </c>
      <c r="F236" s="6" t="n">
        <f aca="false">Greens!O219</f>
        <v>0</v>
      </c>
    </row>
    <row r="237" customFormat="false" ht="15" hidden="false" customHeight="true" outlineLevel="0" collapsed="false">
      <c r="A237" s="83" t="s">
        <v>789</v>
      </c>
      <c r="B237" s="9" t="n">
        <f aca="false">AVERAGE(Greens!H165,Greens!I165,Greens!J165,Greens!L165,Greens!P165,Greens!R165,Greens!S165,Greens!T165,Greens!U165,Greens!V165,Greens!W165,Greens!X165,Greens!Y165,Greens!AB165,Greens!AC165,Greens!AD165,Greens!AG165)</f>
        <v>-0.86</v>
      </c>
      <c r="C237" s="9" t="e">
        <f aca="false">AVERAGE(Greens!B165,Greens!C165,Greens!D165,Greens!G165,Greens!K165,Greens!M165,Greens!N165,Greens!AA165,Greens!AE165,Greens!AF165,Greens!AH165,Greens!AI165,Greens!AJ165,Greens!AK165,Greens!AL165,Greens!AM165,Greens!AR165,Greens!AS165)</f>
        <v>#DIV/0!</v>
      </c>
      <c r="D237" s="9" t="e">
        <f aca="false">AVERAGE(Greens!AN165,Greens!AO165,Greens!AP165,Greens!AQ165)</f>
        <v>#DIV/0!</v>
      </c>
      <c r="E237" s="6" t="e">
        <f aca="false">AVERAGE(Greens!E165,Greens!F165,Greens!Q165,greens!#ref!)</f>
        <v>#NAME?</v>
      </c>
      <c r="F237" s="6" t="n">
        <f aca="false">Greens!O165</f>
        <v>0</v>
      </c>
    </row>
    <row r="238" customFormat="false" ht="15" hidden="false" customHeight="true" outlineLevel="0" collapsed="false">
      <c r="A238" s="83" t="s">
        <v>790</v>
      </c>
      <c r="B238" s="9" t="n">
        <f aca="false">AVERAGE(Greens!H11,Greens!I11,Greens!J11,Greens!L11,Greens!P11,Greens!R11,Greens!S11,Greens!T11,Greens!U11,Greens!V11,Greens!W11,Greens!X11,Greens!Y11,Greens!AB11,Greens!AC11,Greens!AD11,Greens!AG11)</f>
        <v>-0.875</v>
      </c>
      <c r="C238" s="58" t="n">
        <f aca="false">AVERAGE(Greens!B11,Greens!C11,Greens!D11,Greens!G11,Greens!K11,Greens!M11,Greens!N11,Greens!AA11,Greens!AE11,Greens!AF11,Greens!AH11,Greens!AI11,Greens!AJ11,Greens!AK11,Greens!AL11,Greens!AM11,Greens!AR11,Greens!AS11)</f>
        <v>1.03714285714286</v>
      </c>
      <c r="D238" s="58" t="n">
        <f aca="false">AVERAGE(Greens!AN11,Greens!AO11,Greens!AP11,Greens!AQ11)</f>
        <v>1.54333333333333</v>
      </c>
      <c r="E238" s="6" t="e">
        <f aca="false">AVERAGE(Greens!E11,Greens!F11,Greens!Q11,greens!#ref!)</f>
        <v>#NAME?</v>
      </c>
      <c r="F238" s="6" t="n">
        <f aca="false">Greens!O11</f>
        <v>0</v>
      </c>
    </row>
    <row r="239" customFormat="false" ht="15" hidden="false" customHeight="true" outlineLevel="0" collapsed="false">
      <c r="A239" s="83" t="s">
        <v>791</v>
      </c>
      <c r="B239" s="9" t="n">
        <f aca="false">AVERAGE(Greens!H107,Greens!I107,Greens!J107,Greens!L107,Greens!P107,Greens!R107,Greens!S107,Greens!T107,Greens!U107,Greens!V107,Greens!W107,Greens!X107,Greens!Y107,Greens!AB107,Greens!AC107,Greens!AD107,Greens!AG107)</f>
        <v>-0.93</v>
      </c>
      <c r="C239" s="58" t="n">
        <f aca="false">AVERAGE(Greens!B107,Greens!C107,Greens!D107,Greens!G107,Greens!K107,Greens!M107,Greens!N107,Greens!AA107,Greens!AE107,Greens!AF107,Greens!AH107,Greens!AI107,Greens!AJ107,Greens!AK107,Greens!AL107,Greens!AM107,Greens!AR107,Greens!AS107)</f>
        <v>-0.77625</v>
      </c>
      <c r="D239" s="58" t="n">
        <f aca="false">AVERAGE(Greens!AN107,Greens!AO107,Greens!AP107,Greens!AQ107)</f>
        <v>-0.425</v>
      </c>
      <c r="E239" s="6" t="e">
        <f aca="false">AVERAGE(Greens!E107,Greens!F107,Greens!Q107,greens!#ref!)</f>
        <v>#NAME?</v>
      </c>
      <c r="F239" s="6" t="n">
        <f aca="false">Greens!O107</f>
        <v>0</v>
      </c>
    </row>
    <row r="240" customFormat="false" ht="15" hidden="false" customHeight="true" outlineLevel="0" collapsed="false">
      <c r="A240" s="83" t="s">
        <v>792</v>
      </c>
      <c r="B240" s="9" t="n">
        <f aca="false">AVERAGE(Greens!H39,Greens!I39,Greens!J39,Greens!L39,Greens!P39,Greens!R39,Greens!S39,Greens!T39,Greens!U39,Greens!V39,Greens!W39,Greens!X39,Greens!Y39,Greens!AB39,Greens!AC39,Greens!AD39,Greens!AG39)</f>
        <v>-0.96</v>
      </c>
      <c r="C240" s="9" t="e">
        <f aca="false">AVERAGE(Greens!B39,Greens!C39,Greens!D39,Greens!G39,Greens!K39,Greens!M39,Greens!N39,Greens!AA39,Greens!AE39,Greens!AF39,Greens!AH39,Greens!AI39,Greens!AJ39,Greens!AK39,Greens!AL39,Greens!AM39,Greens!AR39,Greens!AS39)</f>
        <v>#DIV/0!</v>
      </c>
      <c r="D240" s="9" t="e">
        <f aca="false">AVERAGE(Greens!AN39,Greens!AO39,Greens!AP39,Greens!AQ39)</f>
        <v>#DIV/0!</v>
      </c>
      <c r="E240" s="6" t="e">
        <f aca="false">AVERAGE(Greens!E39,Greens!F39,Greens!Q39,greens!#ref!)</f>
        <v>#NAME?</v>
      </c>
      <c r="F240" s="6" t="n">
        <f aca="false">Greens!O39</f>
        <v>0</v>
      </c>
    </row>
    <row r="241" customFormat="false" ht="15" hidden="false" customHeight="true" outlineLevel="0" collapsed="false">
      <c r="A241" s="83" t="s">
        <v>793</v>
      </c>
      <c r="B241" s="9" t="n">
        <f aca="false">AVERAGE(Greens!H88,Greens!I88,Greens!J88,Greens!L88,Greens!P88,Greens!R88,Greens!S88,Greens!T88,Greens!U88,Greens!V88,Greens!W88,Greens!X88,Greens!Y88,Greens!AB88,Greens!AC88,Greens!AD88,Greens!AG88)</f>
        <v>-0.97</v>
      </c>
      <c r="C241" s="58" t="n">
        <f aca="false">AVERAGE(Greens!B88,Greens!C88,Greens!D88,Greens!G88,Greens!K88,Greens!M88,Greens!N88,Greens!AA88,Greens!AE88,Greens!AF88,Greens!AH88,Greens!AI88,Greens!AJ88,Greens!AK88,Greens!AL88,Greens!AM88,Greens!AR88,Greens!AS88)</f>
        <v>-0.517142857142857</v>
      </c>
      <c r="D241" s="58" t="n">
        <f aca="false">AVERAGE(Greens!AN88,Greens!AO88,Greens!AP88,Greens!AQ88)</f>
        <v>-0.4925</v>
      </c>
      <c r="E241" s="6" t="e">
        <f aca="false">AVERAGE(Greens!E88,Greens!F88,Greens!Q88,greens!#ref!)</f>
        <v>#NAME?</v>
      </c>
      <c r="F241" s="6" t="n">
        <f aca="false">Greens!O88</f>
        <v>0</v>
      </c>
    </row>
    <row r="242" customFormat="false" ht="15" hidden="false" customHeight="true" outlineLevel="0" collapsed="false">
      <c r="A242" s="83" t="s">
        <v>794</v>
      </c>
      <c r="B242" s="9" t="n">
        <f aca="false">AVERAGE(Greens!H97,Greens!I97,Greens!J97,Greens!L97,Greens!P97,Greens!R97,Greens!S97,Greens!T97,Greens!U97,Greens!V97,Greens!W97,Greens!X97,Greens!Y97,Greens!AB97,Greens!AC97,Greens!AD97,Greens!AG97)</f>
        <v>-0.985</v>
      </c>
      <c r="C242" s="58" t="n">
        <f aca="false">AVERAGE(Greens!B97,Greens!C97,Greens!D97,Greens!G97,Greens!K97,Greens!M97,Greens!N97,Greens!AA97,Greens!AE97,Greens!AF97,Greens!AH97,Greens!AI97,Greens!AJ97,Greens!AK97,Greens!AL97,Greens!AM97,Greens!AR97,Greens!AS97)</f>
        <v>0.144</v>
      </c>
      <c r="D242" s="58" t="n">
        <f aca="false">AVERAGE(Greens!AN97,Greens!AO97,Greens!AP97,Greens!AQ97)</f>
        <v>-0.04</v>
      </c>
      <c r="E242" s="6" t="e">
        <f aca="false">AVERAGE(Greens!E97,Greens!F97,Greens!Q97,greens!#ref!)</f>
        <v>#NAME?</v>
      </c>
      <c r="F242" s="6" t="n">
        <f aca="false">Greens!O97</f>
        <v>0</v>
      </c>
    </row>
    <row r="243" customFormat="false" ht="15" hidden="false" customHeight="true" outlineLevel="0" collapsed="false">
      <c r="A243" s="83" t="s">
        <v>795</v>
      </c>
      <c r="B243" s="9" t="n">
        <f aca="false">AVERAGE(Greens!H195,Greens!I195,Greens!J195,Greens!L195,Greens!P195,Greens!R195,Greens!S195,Greens!T195,Greens!U195,Greens!V195,Greens!W195,Greens!X195,Greens!Y195,Greens!AB195,Greens!AC195,Greens!AD195,Greens!AG195)</f>
        <v>-1.06</v>
      </c>
      <c r="C243" s="58" t="n">
        <f aca="false">AVERAGE(Greens!B195,Greens!C195,Greens!D195,Greens!G195,Greens!K195,Greens!M195,Greens!N195,Greens!AA195,Greens!AE195,Greens!AF195,Greens!AH195,Greens!AI195,Greens!AJ195,Greens!AK195,Greens!AL195,Greens!AM195,Greens!AR195,Greens!AS195)</f>
        <v>-0.311666666666667</v>
      </c>
      <c r="D243" s="58" t="n">
        <f aca="false">AVERAGE(Greens!AN195,Greens!AO195,Greens!AP195,Greens!AQ195)</f>
        <v>1.105</v>
      </c>
      <c r="E243" s="6" t="e">
        <f aca="false">AVERAGE(Greens!E195,Greens!F195,Greens!Q195,greens!#ref!)</f>
        <v>#NAME?</v>
      </c>
      <c r="F243" s="6" t="n">
        <f aca="false">Greens!O195</f>
        <v>0</v>
      </c>
    </row>
    <row r="244" customFormat="false" ht="15" hidden="false" customHeight="true" outlineLevel="0" collapsed="false">
      <c r="A244" s="83" t="s">
        <v>796</v>
      </c>
      <c r="B244" s="9" t="n">
        <f aca="false">AVERAGE(Greens!H253,Greens!I253,Greens!J253,Greens!L253,Greens!P253,Greens!R253,Greens!S253,Greens!T253,Greens!U253,Greens!V253,Greens!W253,Greens!X253,Greens!Y253,Greens!AB253,Greens!AC253,Greens!AD253,Greens!AG253)</f>
        <v>-1.07</v>
      </c>
      <c r="C244" s="58" t="n">
        <f aca="false">AVERAGE(Greens!B253,Greens!C253,Greens!D253,Greens!G253,Greens!K253,Greens!M253,Greens!N253,Greens!AA253,Greens!AE253,Greens!AF253,Greens!AH253,Greens!AI253,Greens!AJ253,Greens!AK253,Greens!AL253,Greens!AM253,Greens!AR253,Greens!AS253)</f>
        <v>0.49</v>
      </c>
      <c r="D244" s="58" t="n">
        <f aca="false">AVERAGE(Greens!AN253,Greens!AO253,Greens!AP253,Greens!AQ253)</f>
        <v>0.455</v>
      </c>
      <c r="E244" s="6" t="e">
        <f aca="false">AVERAGE(Greens!E253,Greens!F253,Greens!Q253,greens!#ref!)</f>
        <v>#NAME?</v>
      </c>
      <c r="F244" s="6" t="n">
        <f aca="false">Greens!O253</f>
        <v>0</v>
      </c>
    </row>
    <row r="245" customFormat="false" ht="15" hidden="false" customHeight="true" outlineLevel="0" collapsed="false">
      <c r="A245" s="83" t="s">
        <v>797</v>
      </c>
      <c r="B245" s="9" t="n">
        <f aca="false">AVERAGE(Greens!H131,Greens!I131,Greens!J131,Greens!L131,Greens!P131,Greens!R131,Greens!S131,Greens!T131,Greens!U131,Greens!V131,Greens!W131,Greens!X131,Greens!Y131,Greens!AB131,Greens!AC131,Greens!AD131,Greens!AG131)</f>
        <v>-1.19</v>
      </c>
      <c r="C245" s="58" t="n">
        <f aca="false">AVERAGE(Greens!B131,Greens!C131,Greens!D131,Greens!G131,Greens!K131,Greens!M131,Greens!N131,Greens!AA131,Greens!AE131,Greens!AF131,Greens!AH131,Greens!AI131,Greens!AJ131,Greens!AK131,Greens!AL131,Greens!AM131,Greens!AR131,Greens!AS131)</f>
        <v>-0.162857142857143</v>
      </c>
      <c r="D245" s="58" t="n">
        <f aca="false">AVERAGE(Greens!AN131,Greens!AO131,Greens!AP131,Greens!AQ131)</f>
        <v>0.82</v>
      </c>
      <c r="E245" s="6" t="e">
        <f aca="false">AVERAGE(Greens!E131,Greens!F131,Greens!Q131,greens!#ref!)</f>
        <v>#NAME?</v>
      </c>
      <c r="F245" s="6" t="n">
        <f aca="false">Greens!O131</f>
        <v>0</v>
      </c>
    </row>
    <row r="246" customFormat="false" ht="15" hidden="false" customHeight="true" outlineLevel="0" collapsed="false">
      <c r="A246" s="83" t="s">
        <v>798</v>
      </c>
      <c r="B246" s="9" t="n">
        <f aca="false">AVERAGE(Greens!H203,Greens!I203,Greens!J203,Greens!L203,Greens!P203,Greens!R203,Greens!S203,Greens!T203,Greens!U203,Greens!V203,Greens!W203,Greens!X203,Greens!Y203,Greens!AB203,Greens!AC203,Greens!AD203,Greens!AG203)</f>
        <v>-1.235</v>
      </c>
      <c r="C246" s="58" t="n">
        <f aca="false">AVERAGE(Greens!B203,Greens!C203,Greens!D203,Greens!G203,Greens!K203,Greens!M203,Greens!N203,Greens!AA203,Greens!AE203,Greens!AF203,Greens!AH203,Greens!AI203,Greens!AJ203,Greens!AK203,Greens!AL203,Greens!AM203,Greens!AR203,Greens!AS203)</f>
        <v>-0.183333333333333</v>
      </c>
      <c r="D246" s="58" t="n">
        <f aca="false">AVERAGE(Greens!AN203,Greens!AO203,Greens!AP203,Greens!AQ203)</f>
        <v>0.47</v>
      </c>
      <c r="E246" s="6" t="e">
        <f aca="false">AVERAGE(Greens!E203,Greens!F203,Greens!Q203,greens!#ref!)</f>
        <v>#NAME?</v>
      </c>
      <c r="F246" s="6" t="n">
        <f aca="false">Greens!O203</f>
        <v>0</v>
      </c>
    </row>
    <row r="247" customFormat="false" ht="15" hidden="false" customHeight="true" outlineLevel="0" collapsed="false">
      <c r="A247" s="83" t="s">
        <v>799</v>
      </c>
      <c r="B247" s="9" t="n">
        <f aca="false">AVERAGE(Greens!H142,Greens!I142,Greens!J142,Greens!L142,Greens!P142,Greens!R142,Greens!S142,Greens!T142,Greens!U142,Greens!V142,Greens!W142,Greens!X142,Greens!Y142,Greens!AB142,Greens!AC142,Greens!AD142,Greens!AG142)</f>
        <v>-1.3</v>
      </c>
      <c r="C247" s="58" t="n">
        <f aca="false">AVERAGE(Greens!B142,Greens!C142,Greens!D142,Greens!G142,Greens!K142,Greens!M142,Greens!N142,Greens!AA142,Greens!AE142,Greens!AF142,Greens!AH142,Greens!AI142,Greens!AJ142,Greens!AK142,Greens!AL142,Greens!AM142,Greens!AR142,Greens!AS142)</f>
        <v>-0.64</v>
      </c>
      <c r="D247" s="58" t="n">
        <f aca="false">AVERAGE(Greens!AN142,Greens!AO142,Greens!AP142,Greens!AQ142)</f>
        <v>-0.3325</v>
      </c>
      <c r="E247" s="6" t="e">
        <f aca="false">AVERAGE(Greens!E142,Greens!F142,Greens!Q142,greens!#ref!)</f>
        <v>#NAME?</v>
      </c>
      <c r="F247" s="6" t="n">
        <f aca="false">Greens!O142</f>
        <v>0</v>
      </c>
    </row>
    <row r="248" customFormat="false" ht="15" hidden="false" customHeight="true" outlineLevel="0" collapsed="false">
      <c r="A248" s="83" t="s">
        <v>800</v>
      </c>
      <c r="B248" s="9" t="n">
        <f aca="false">AVERAGE(Greens!H155,Greens!I155,Greens!J155,Greens!L155,Greens!P155,Greens!R155,Greens!S155,Greens!T155,Greens!U155,Greens!V155,Greens!W155,Greens!X155,Greens!Y155,Greens!AB155,Greens!AC155,Greens!AD155,Greens!AG155)</f>
        <v>-1.41</v>
      </c>
      <c r="C248" s="58" t="n">
        <f aca="false">AVERAGE(Greens!B155,Greens!C155,Greens!D155,Greens!G155,Greens!K155,Greens!M155,Greens!N155,Greens!AA155,Greens!AE155,Greens!AF155,Greens!AH155,Greens!AI155,Greens!AJ155,Greens!AK155,Greens!AL155,Greens!AM155,Greens!AR155,Greens!AS155)</f>
        <v>-0.266666666666667</v>
      </c>
      <c r="D248" s="58" t="n">
        <f aca="false">AVERAGE(Greens!AN155,Greens!AO155,Greens!AP155,Greens!AQ155)</f>
        <v>-0.05</v>
      </c>
      <c r="E248" s="6" t="e">
        <f aca="false">AVERAGE(Greens!E155,Greens!F155,Greens!Q155,greens!#ref!)</f>
        <v>#NAME?</v>
      </c>
      <c r="F248" s="6" t="n">
        <f aca="false">Greens!O155</f>
        <v>0</v>
      </c>
    </row>
    <row r="249" customFormat="false" ht="15" hidden="false" customHeight="true" outlineLevel="0" collapsed="false">
      <c r="A249" s="83" t="s">
        <v>801</v>
      </c>
      <c r="B249" s="9" t="n">
        <f aca="false">AVERAGE(Greens!H72,Greens!I72,Greens!J72,Greens!L72,Greens!P72,Greens!R72,Greens!S72,Greens!T72,Greens!U72,Greens!V72,Greens!W72,Greens!X72,Greens!Y72,Greens!AB72,Greens!AC72,Greens!AD72,Greens!AG72)</f>
        <v>-1.46</v>
      </c>
      <c r="C249" s="58" t="n">
        <f aca="false">AVERAGE(Greens!B72,Greens!C72,Greens!D72,Greens!G72,Greens!K72,Greens!M72,Greens!N72,Greens!AA72,Greens!AE72,Greens!AF72,Greens!AH72,Greens!AI72,Greens!AJ72,Greens!AK72,Greens!AL72,Greens!AM72,Greens!AR72,Greens!AS72)</f>
        <v>-1.07428571428571</v>
      </c>
      <c r="D249" s="58" t="n">
        <f aca="false">AVERAGE(Greens!AN72,Greens!AO72,Greens!AP72,Greens!AQ72)</f>
        <v>0.316666666666667</v>
      </c>
      <c r="E249" s="6" t="e">
        <f aca="false">AVERAGE(Greens!E72,Greens!F72,Greens!Q72,greens!#ref!)</f>
        <v>#NAME?</v>
      </c>
      <c r="F249" s="6" t="n">
        <f aca="false">Greens!O72</f>
        <v>0</v>
      </c>
    </row>
    <row r="250" customFormat="false" ht="15" hidden="false" customHeight="true" outlineLevel="0" collapsed="false">
      <c r="A250" s="83" t="s">
        <v>802</v>
      </c>
      <c r="B250" s="9" t="n">
        <f aca="false">AVERAGE(Greens!H215,Greens!I215,Greens!J215,Greens!L215,Greens!P215,Greens!R215,Greens!S215,Greens!T215,Greens!U215,Greens!V215,Greens!W215,Greens!X215,Greens!Y215,Greens!AB215,Greens!AC215,Greens!AD215,Greens!AG215)</f>
        <v>-1.62</v>
      </c>
      <c r="C250" s="58" t="n">
        <f aca="false">AVERAGE(Greens!B215,Greens!C215,Greens!D215,Greens!G215,Greens!K215,Greens!M215,Greens!N215,Greens!AA215,Greens!AE215,Greens!AF215,Greens!AH215,Greens!AI215,Greens!AJ215,Greens!AK215,Greens!AL215,Greens!AM215,Greens!AR215,Greens!AS215)</f>
        <v>-0.488571428571429</v>
      </c>
      <c r="D250" s="58" t="n">
        <f aca="false">AVERAGE(Greens!AN215,Greens!AO215,Greens!AP215,Greens!AQ215)</f>
        <v>-1.51666666666667</v>
      </c>
      <c r="E250" s="6" t="e">
        <f aca="false">AVERAGE(Greens!E215,Greens!F215,Greens!Q215,greens!#ref!)</f>
        <v>#NAME?</v>
      </c>
      <c r="F250" s="6" t="n">
        <f aca="false">Greens!O215</f>
        <v>0</v>
      </c>
    </row>
    <row r="251" customFormat="false" ht="15" hidden="false" customHeight="true" outlineLevel="0" collapsed="false">
      <c r="A251" s="83" t="s">
        <v>803</v>
      </c>
      <c r="B251" s="9" t="n">
        <f aca="false">AVERAGE(Greens!H228,Greens!I228,Greens!J228,Greens!L228,Greens!P228,Greens!R228,Greens!S228,Greens!T228,Greens!U228,Greens!V228,Greens!W228,Greens!X228,Greens!Y228,Greens!AB228,Greens!AC228,Greens!AD228,Greens!AG228)</f>
        <v>-1.65</v>
      </c>
      <c r="C251" s="58" t="n">
        <f aca="false">AVERAGE(Greens!B228,Greens!C228,Greens!D228,Greens!G228,Greens!K228,Greens!M228,Greens!N228,Greens!AA228,Greens!AE228,Greens!AF228,Greens!AH228,Greens!AI228,Greens!AJ228,Greens!AK228,Greens!AL228,Greens!AM228,Greens!AR228,Greens!AS228)</f>
        <v>0.0757142857142857</v>
      </c>
      <c r="D251" s="58" t="n">
        <f aca="false">AVERAGE(Greens!AN228,Greens!AO228,Greens!AP228,Greens!AQ228)</f>
        <v>-0.873333333333333</v>
      </c>
      <c r="E251" s="6" t="e">
        <f aca="false">AVERAGE(Greens!E228,Greens!F228,Greens!Q228,greens!#ref!)</f>
        <v>#NAME?</v>
      </c>
      <c r="F251" s="6" t="n">
        <f aca="false">Greens!O228</f>
        <v>0</v>
      </c>
    </row>
    <row r="252" customFormat="false" ht="15" hidden="false" customHeight="true" outlineLevel="0" collapsed="false">
      <c r="A252" s="83" t="s">
        <v>804</v>
      </c>
      <c r="B252" s="9" t="n">
        <f aca="false">AVERAGE(Greens!H187,Greens!I187,Greens!J187,Greens!L187,Greens!P187,Greens!R187,Greens!S187,Greens!T187,Greens!U187,Greens!V187,Greens!W187,Greens!X187,Greens!Y187,Greens!AB187,Greens!AC187,Greens!AD187,Greens!AG187)</f>
        <v>-1.765</v>
      </c>
      <c r="C252" s="58" t="n">
        <f aca="false">AVERAGE(Greens!B187,Greens!C187,Greens!D187,Greens!G187,Greens!K187,Greens!M187,Greens!N187,Greens!AA187,Greens!AE187,Greens!AF187,Greens!AH187,Greens!AI187,Greens!AJ187,Greens!AK187,Greens!AL187,Greens!AM187,Greens!AR187,Greens!AS187)</f>
        <v>0.278333333333333</v>
      </c>
      <c r="D252" s="58" t="n">
        <f aca="false">AVERAGE(Greens!AN187,Greens!AO187,Greens!AP187,Greens!AQ187)</f>
        <v>-0.455</v>
      </c>
      <c r="E252" s="6" t="e">
        <f aca="false">AVERAGE(Greens!E187,Greens!F187,Greens!Q187,greens!#ref!)</f>
        <v>#NAME?</v>
      </c>
      <c r="F252" s="6" t="n">
        <f aca="false">Greens!O187</f>
        <v>0</v>
      </c>
    </row>
    <row r="253" customFormat="false" ht="15" hidden="false" customHeight="true" outlineLevel="0" collapsed="false">
      <c r="A253" s="83" t="s">
        <v>805</v>
      </c>
      <c r="B253" s="9" t="n">
        <f aca="false">AVERAGE(Greens!H176,Greens!I176,Greens!J176,Greens!L176,Greens!P176,Greens!R176,Greens!S176,Greens!T176,Greens!U176,Greens!V176,Greens!W176,Greens!X176,Greens!Y176,Greens!AB176,Greens!AC176,Greens!AD176,Greens!AG176)</f>
        <v>-1.77</v>
      </c>
      <c r="C253" s="58" t="n">
        <f aca="false">AVERAGE(Greens!B176,Greens!C176,Greens!D176,Greens!G176,Greens!K176,Greens!M176,Greens!N176,Greens!AA176,Greens!AE176,Greens!AF176,Greens!AH176,Greens!AI176,Greens!AJ176,Greens!AK176,Greens!AL176,Greens!AM176,Greens!AR176,Greens!AS176)</f>
        <v>-0.5</v>
      </c>
      <c r="D253" s="58" t="n">
        <f aca="false">AVERAGE(Greens!AN176,Greens!AO176,Greens!AP176,Greens!AQ176)</f>
        <v>0.583333333333333</v>
      </c>
      <c r="E253" s="6" t="e">
        <f aca="false">AVERAGE(Greens!E176,Greens!F176,Greens!Q176,greens!#ref!)</f>
        <v>#NAME?</v>
      </c>
      <c r="F253" s="6" t="n">
        <f aca="false">Greens!O176</f>
        <v>0</v>
      </c>
    </row>
    <row r="254" customFormat="false" ht="15" hidden="false" customHeight="true" outlineLevel="0" collapsed="false">
      <c r="A254" s="83" t="s">
        <v>806</v>
      </c>
      <c r="B254" s="9" t="n">
        <f aca="false">AVERAGE(Greens!H235,Greens!I235,Greens!J235,Greens!L235,Greens!P235,Greens!R235,Greens!S235,Greens!T235,Greens!U235,Greens!V235,Greens!W235,Greens!X235,Greens!Y235,Greens!AB235,Greens!AC235,Greens!AD235,Greens!AG235)</f>
        <v>-1.85</v>
      </c>
      <c r="C254" s="58" t="n">
        <f aca="false">AVERAGE(Greens!B235,Greens!C235,Greens!D235,Greens!G235,Greens!K235,Greens!M235,Greens!N235,Greens!AA235,Greens!AE235,Greens!AF235,Greens!AH235,Greens!AI235,Greens!AJ235,Greens!AK235,Greens!AL235,Greens!AM235,Greens!AR235,Greens!AS235)</f>
        <v>0.0925</v>
      </c>
      <c r="D254" s="58" t="n">
        <f aca="false">AVERAGE(Greens!AN235,Greens!AO235,Greens!AP235,Greens!AQ235)</f>
        <v>-0.586666666666667</v>
      </c>
      <c r="E254" s="6" t="e">
        <f aca="false">AVERAGE(Greens!E235,Greens!F235,Greens!Q235,greens!#ref!)</f>
        <v>#NAME?</v>
      </c>
      <c r="F254" s="6" t="n">
        <f aca="false">Greens!O235</f>
        <v>0</v>
      </c>
    </row>
    <row r="255" customFormat="false" ht="15" hidden="false" customHeight="true" outlineLevel="0" collapsed="false">
      <c r="A255" s="84" t="s">
        <v>807</v>
      </c>
      <c r="B255" s="9" t="n">
        <f aca="false">AVERAGE(Greens!H143,Greens!I143,Greens!J143,Greens!L143,Greens!P143,Greens!R143,Greens!S143,Greens!T143,Greens!U143,Greens!V143,Greens!W143,Greens!X143,Greens!Y143,Greens!AB143,Greens!AC143,Greens!AD143,Greens!AG143)</f>
        <v>-2.095</v>
      </c>
      <c r="C255" s="58" t="e">
        <f aca="false">AVERAGE(Greens!B143,Greens!C143,Greens!D143,Greens!G143,Greens!K143,Greens!M143,Greens!N143,Greens!AA143,Greens!AE143,Greens!AF143,Greens!AH143,Greens!AI143,Greens!AJ143,Greens!AK143,Greens!AL143,Greens!AM143,Greens!AR143,Greens!AS143)</f>
        <v>#DIV/0!</v>
      </c>
      <c r="D255" s="58" t="e">
        <f aca="false">AVERAGE(Greens!AN143,Greens!AO143,Greens!AP143,Greens!AQ143)</f>
        <v>#DIV/0!</v>
      </c>
      <c r="E255" s="6" t="e">
        <f aca="false">AVERAGE(Greens!E143,Greens!F143,Greens!Q143,greens!#ref!)</f>
        <v>#NAME?</v>
      </c>
      <c r="F255" s="6" t="n">
        <f aca="false">Greens!O143</f>
        <v>0</v>
      </c>
    </row>
    <row r="256" customFormat="false" ht="15" hidden="false" customHeight="true" outlineLevel="0" collapsed="false">
      <c r="A256" s="83" t="s">
        <v>808</v>
      </c>
      <c r="B256" s="9" t="n">
        <f aca="false">AVERAGE(Greens!H212,Greens!I212,Greens!J212,Greens!L212,Greens!P212,Greens!R212,Greens!S212,Greens!T212,Greens!U212,Greens!V212,Greens!W212,Greens!X212,Greens!Y212,Greens!AB212,Greens!AC212,Greens!AD212,Greens!AG212)</f>
        <v>-3.57</v>
      </c>
      <c r="C256" s="58" t="n">
        <f aca="false">AVERAGE(Greens!B212,Greens!C212,Greens!D212,Greens!G212,Greens!K212,Greens!M212,Greens!N212,Greens!AA212,Greens!AE212,Greens!AF212,Greens!AH212,Greens!AI212,Greens!AJ212,Greens!AK212,Greens!AL212,Greens!AM212,Greens!AR212,Greens!AS212)</f>
        <v>-0.491111111111111</v>
      </c>
      <c r="D256" s="58" t="n">
        <f aca="false">AVERAGE(Greens!AN212,Greens!AO212,Greens!AP212,Greens!AQ212)</f>
        <v>-0.275</v>
      </c>
      <c r="E256" s="6" t="e">
        <f aca="false">AVERAGE(Greens!E212,Greens!F212,Greens!Q212,greens!#ref!)</f>
        <v>#NAME?</v>
      </c>
      <c r="F256" s="6" t="n">
        <f aca="false">Greens!O212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2024-03-28T17:05:22Z</dcterms:created>
  <dc:creator>Seth McBee</dc:creator>
  <dc:description/>
  <dc:language>en-US</dc:language>
  <cp:lastModifiedBy>Anthony Maggio</cp:lastModifiedBy>
  <dcterms:modified xsi:type="dcterms:W3CDTF">2026-08-10T14:19:36Z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